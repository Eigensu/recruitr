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Data" sheetId="1" r:id="rId5"/>
    <sheet state="visible" name="Open Positions" sheetId="2" r:id="rId6"/>
    <sheet state="visible" name="Candidate Pipeline" sheetId="3" r:id="rId7"/>
    <sheet state="visible" name="Dashboard" sheetId="4" r:id="rId8"/>
  </sheets>
  <definedNames>
    <definedName hidden="1" localSheetId="1" name="_xlnm._FilterDatabase">'Open Positions'!$A$1:$O$121</definedName>
    <definedName hidden="1" localSheetId="2" name="_xlnm._FilterDatabase">'Candidate Pipeline'!$A$3:$T$102</definedName>
  </definedNames>
  <calcPr/>
</workbook>
</file>

<file path=xl/sharedStrings.xml><?xml version="1.0" encoding="utf-8"?>
<sst xmlns="http://schemas.openxmlformats.org/spreadsheetml/2006/main" count="3595" uniqueCount="1020">
  <si>
    <t>⚙ MASTER DATA — Add new entries at the bottom of any column.</t>
  </si>
  <si>
    <t>💡 To add a new client: add next ID (CLI-XXX) in col A and name in col B. All other lists: just add below the last entry.</t>
  </si>
  <si>
    <t>Client ID</t>
  </si>
  <si>
    <t>Client Name</t>
  </si>
  <si>
    <t>Roles</t>
  </si>
  <si>
    <t>Departments</t>
  </si>
  <si>
    <t>Cities</t>
  </si>
  <si>
    <t>Seniority</t>
  </si>
  <si>
    <t>Pipeline Stages</t>
  </si>
  <si>
    <t>Position Status</t>
  </si>
  <si>
    <t>Recruiters</t>
  </si>
  <si>
    <t>CLI-001</t>
  </si>
  <si>
    <t>ABNAH</t>
  </si>
  <si>
    <t>ARM</t>
  </si>
  <si>
    <t>F&amp;B - Kitchen</t>
  </si>
  <si>
    <t>Mumbai</t>
  </si>
  <si>
    <t>Trainee</t>
  </si>
  <si>
    <t>Sent to Client</t>
  </si>
  <si>
    <t>Open</t>
  </si>
  <si>
    <t>Edwin</t>
  </si>
  <si>
    <t>CLI-002</t>
  </si>
  <si>
    <t>Abhinav Immigration</t>
  </si>
  <si>
    <t>Assistant Bartender</t>
  </si>
  <si>
    <t>F&amp;B - Service</t>
  </si>
  <si>
    <t>Delhi</t>
  </si>
  <si>
    <t>Junior</t>
  </si>
  <si>
    <t>Interview Scheduled</t>
  </si>
  <si>
    <t>On Hold</t>
  </si>
  <si>
    <t>Manokamna</t>
  </si>
  <si>
    <t>CLI-003</t>
  </si>
  <si>
    <t>Adarsh Sweets</t>
  </si>
  <si>
    <t>Assistant Front Office Manager</t>
  </si>
  <si>
    <t>Bar &amp; Beverages</t>
  </si>
  <si>
    <t>Bangalore</t>
  </si>
  <si>
    <t>Mid</t>
  </si>
  <si>
    <t>Result Awaited</t>
  </si>
  <si>
    <t>Closed - Filled</t>
  </si>
  <si>
    <t>Hardik</t>
  </si>
  <si>
    <t>CLI-004</t>
  </si>
  <si>
    <t>Agarwal Biryani</t>
  </si>
  <si>
    <t>Assistant Manager</t>
  </si>
  <si>
    <t>Front Office &amp; Rooms</t>
  </si>
  <si>
    <t>Hyderabad</t>
  </si>
  <si>
    <t>Senior</t>
  </si>
  <si>
    <t>Selected</t>
  </si>
  <si>
    <t>Closed - Cancelled</t>
  </si>
  <si>
    <t>Mohit</t>
  </si>
  <si>
    <t>CLI-005</t>
  </si>
  <si>
    <t>All in</t>
  </si>
  <si>
    <t>Assistant Outlet Manager</t>
  </si>
  <si>
    <t>Housekeeping</t>
  </si>
  <si>
    <t>Pune</t>
  </si>
  <si>
    <t>Leadership</t>
  </si>
  <si>
    <t>Rejected</t>
  </si>
  <si>
    <t>Aakash</t>
  </si>
  <si>
    <t>CLI-006</t>
  </si>
  <si>
    <t>Aria Communication</t>
  </si>
  <si>
    <t>Assistant Stores Manager</t>
  </si>
  <si>
    <t>HR &amp; Training</t>
  </si>
  <si>
    <t>Goa</t>
  </si>
  <si>
    <t>Hold</t>
  </si>
  <si>
    <t>CLI-007</t>
  </si>
  <si>
    <t>Atmosphere</t>
  </si>
  <si>
    <t>Asst Cafe Manager</t>
  </si>
  <si>
    <t>Marketing &amp; PR</t>
  </si>
  <si>
    <t>Chennai</t>
  </si>
  <si>
    <t>Offer Sent</t>
  </si>
  <si>
    <t>CLI-008</t>
  </si>
  <si>
    <t>August Café</t>
  </si>
  <si>
    <t>Bar Lead</t>
  </si>
  <si>
    <t>Sales &amp; Revenue</t>
  </si>
  <si>
    <t>Kolkata</t>
  </si>
  <si>
    <t>Offer Accepted</t>
  </si>
  <si>
    <t>CLI-009</t>
  </si>
  <si>
    <t>Aures hospitality</t>
  </si>
  <si>
    <t>Bar Manager</t>
  </si>
  <si>
    <t>Finance &amp; Accounts</t>
  </si>
  <si>
    <t>Ahmedabad</t>
  </si>
  <si>
    <t>Joined</t>
  </si>
  <si>
    <t>CLI-010</t>
  </si>
  <si>
    <t>BB</t>
  </si>
  <si>
    <t>Bar Supervisor</t>
  </si>
  <si>
    <t>Operations</t>
  </si>
  <si>
    <t>Jaipur</t>
  </si>
  <si>
    <t>Candidate Dropped</t>
  </si>
  <si>
    <t>CLI-011</t>
  </si>
  <si>
    <t>BTC</t>
  </si>
  <si>
    <t>Barback</t>
  </si>
  <si>
    <t>Store &amp; Purchase</t>
  </si>
  <si>
    <t>Other</t>
  </si>
  <si>
    <t>CLI-012</t>
  </si>
  <si>
    <t>Baesic Fit</t>
  </si>
  <si>
    <t>Barista</t>
  </si>
  <si>
    <t>Tech &amp; Data</t>
  </si>
  <si>
    <t>CLI-013</t>
  </si>
  <si>
    <t>Bare</t>
  </si>
  <si>
    <t>Barista Head</t>
  </si>
  <si>
    <t>CLI-014</t>
  </si>
  <si>
    <t>Blondie</t>
  </si>
  <si>
    <t>Barista Trainer</t>
  </si>
  <si>
    <t>CLI-015</t>
  </si>
  <si>
    <t>Circa 11</t>
  </si>
  <si>
    <t>Bartender</t>
  </si>
  <si>
    <t>CLI-016</t>
  </si>
  <si>
    <t>CocoCart</t>
  </si>
  <si>
    <t>CDP</t>
  </si>
  <si>
    <t>CLI-017</t>
  </si>
  <si>
    <t>DU Hospitality</t>
  </si>
  <si>
    <t>CRM</t>
  </si>
  <si>
    <t>CLI-018</t>
  </si>
  <si>
    <t>Diva</t>
  </si>
  <si>
    <t>Cafe Manager</t>
  </si>
  <si>
    <t>CLI-019</t>
  </si>
  <si>
    <t>Donmai</t>
  </si>
  <si>
    <t>Cafe Supervisor</t>
  </si>
  <si>
    <t>CLI-020</t>
  </si>
  <si>
    <t>Doppler</t>
  </si>
  <si>
    <t>Captain</t>
  </si>
  <si>
    <t>CLI-021</t>
  </si>
  <si>
    <t>Dough and Joe</t>
  </si>
  <si>
    <t>Cashier</t>
  </si>
  <si>
    <t>CLI-022</t>
  </si>
  <si>
    <t>EDD</t>
  </si>
  <si>
    <t>Chef</t>
  </si>
  <si>
    <t>CLI-023</t>
  </si>
  <si>
    <t>FHPL</t>
  </si>
  <si>
    <t>Commi</t>
  </si>
  <si>
    <t>CLI-024</t>
  </si>
  <si>
    <t>Flavour Pots</t>
  </si>
  <si>
    <t>Commi 1</t>
  </si>
  <si>
    <t>CLI-025</t>
  </si>
  <si>
    <t>Food Square</t>
  </si>
  <si>
    <t>Commi 2</t>
  </si>
  <si>
    <t>CLI-026</t>
  </si>
  <si>
    <t>Foodmatters</t>
  </si>
  <si>
    <t>Commi 3</t>
  </si>
  <si>
    <t>CLI-027</t>
  </si>
  <si>
    <t>Ghostkitchens</t>
  </si>
  <si>
    <t>Community Manager</t>
  </si>
  <si>
    <t>CLI-028</t>
  </si>
  <si>
    <t>Gupta Brands</t>
  </si>
  <si>
    <t>Content Strategist</t>
  </si>
  <si>
    <t>CLI-029</t>
  </si>
  <si>
    <t>Huddle and Score</t>
  </si>
  <si>
    <t>Counter Sales</t>
  </si>
  <si>
    <t>CLI-030</t>
  </si>
  <si>
    <t>Hummingtree</t>
  </si>
  <si>
    <t>DCDP</t>
  </si>
  <si>
    <t>CLI-031</t>
  </si>
  <si>
    <t>Hunger Inc</t>
  </si>
  <si>
    <t>Data Analyst</t>
  </si>
  <si>
    <t>CLI-032</t>
  </si>
  <si>
    <t>Idoru</t>
  </si>
  <si>
    <t>Director of Operations</t>
  </si>
  <si>
    <t>CLI-033</t>
  </si>
  <si>
    <t>Ikai</t>
  </si>
  <si>
    <t>Duty Manager</t>
  </si>
  <si>
    <t>CLI-034</t>
  </si>
  <si>
    <t>Izumi</t>
  </si>
  <si>
    <t>EA</t>
  </si>
  <si>
    <t>CLI-035</t>
  </si>
  <si>
    <t>Izumi - GOA</t>
  </si>
  <si>
    <t>Executive Chef</t>
  </si>
  <si>
    <t>CLI-036</t>
  </si>
  <si>
    <t>Kaia</t>
  </si>
  <si>
    <t>F&amp;B Associate</t>
  </si>
  <si>
    <t>CLI-037</t>
  </si>
  <si>
    <t>Kohinoor Group</t>
  </si>
  <si>
    <t>F&amp;B Controller</t>
  </si>
  <si>
    <t>CLI-038</t>
  </si>
  <si>
    <t>La Loca Maria</t>
  </si>
  <si>
    <t>F&amp;B Executive</t>
  </si>
  <si>
    <t>CLI-039</t>
  </si>
  <si>
    <t>Le 15</t>
  </si>
  <si>
    <t>F&amp;B Supervisor</t>
  </si>
  <si>
    <t>CLI-040</t>
  </si>
  <si>
    <t>Malsons</t>
  </si>
  <si>
    <t>FOE</t>
  </si>
  <si>
    <t>CLI-041</t>
  </si>
  <si>
    <t>Mia Cucina</t>
  </si>
  <si>
    <t>Floor Supervisor</t>
  </si>
  <si>
    <t>CLI-042</t>
  </si>
  <si>
    <t>Milagro (SLH)</t>
  </si>
  <si>
    <t>Front Desk</t>
  </si>
  <si>
    <t>CLI-043</t>
  </si>
  <si>
    <t>Monarch</t>
  </si>
  <si>
    <t>GRE</t>
  </si>
  <si>
    <t>CLI-044</t>
  </si>
  <si>
    <t>NOTO</t>
  </si>
  <si>
    <t>GRM</t>
  </si>
  <si>
    <t>CLI-045</t>
  </si>
  <si>
    <t>Neighbourhood</t>
  </si>
  <si>
    <t>General Manager</t>
  </si>
  <si>
    <t>CLI-046</t>
  </si>
  <si>
    <t>Nidhi and Mihir PR</t>
  </si>
  <si>
    <t>HK Supervisor</t>
  </si>
  <si>
    <t>CLI-047</t>
  </si>
  <si>
    <t>Nova</t>
  </si>
  <si>
    <t>HR</t>
  </si>
  <si>
    <t>CLI-048</t>
  </si>
  <si>
    <t>Ohris hospitality</t>
  </si>
  <si>
    <t>HR Head</t>
  </si>
  <si>
    <t>CLI-049</t>
  </si>
  <si>
    <t>Olive</t>
  </si>
  <si>
    <t>HR Manager</t>
  </si>
  <si>
    <t>CLI-050</t>
  </si>
  <si>
    <t>PSL</t>
  </si>
  <si>
    <t>Head Baker</t>
  </si>
  <si>
    <t>CLI-051</t>
  </si>
  <si>
    <t>Pebble-Street</t>
  </si>
  <si>
    <t>Head Chef</t>
  </si>
  <si>
    <t>CLI-052</t>
  </si>
  <si>
    <t>Quetz</t>
  </si>
  <si>
    <t>Head GRE</t>
  </si>
  <si>
    <t>CLI-053</t>
  </si>
  <si>
    <t>Red turtle</t>
  </si>
  <si>
    <t>Hostess</t>
  </si>
  <si>
    <t>CLI-054</t>
  </si>
  <si>
    <t>Ritika &amp; Co.</t>
  </si>
  <si>
    <t>Junior Bartender</t>
  </si>
  <si>
    <t>CLI-055</t>
  </si>
  <si>
    <t>Scarlett House</t>
  </si>
  <si>
    <t>Junior Sous Chef</t>
  </si>
  <si>
    <t>CLI-056</t>
  </si>
  <si>
    <t>Shalimar</t>
  </si>
  <si>
    <t>Kitchen Helper</t>
  </si>
  <si>
    <t>CLI-057</t>
  </si>
  <si>
    <t>Shalimar Hotel</t>
  </si>
  <si>
    <t>Kitchen Supervisor</t>
  </si>
  <si>
    <t>CLI-058</t>
  </si>
  <si>
    <t>Silver Train</t>
  </si>
  <si>
    <t>L&amp;D</t>
  </si>
  <si>
    <t>CLI-059</t>
  </si>
  <si>
    <t>Sivako</t>
  </si>
  <si>
    <t>Marketing Manager</t>
  </si>
  <si>
    <t>CLI-060</t>
  </si>
  <si>
    <t>Slink and Bardot</t>
  </si>
  <si>
    <t>Mixologist</t>
  </si>
  <si>
    <t>CLI-061</t>
  </si>
  <si>
    <t>Speciality</t>
  </si>
  <si>
    <t>OTA</t>
  </si>
  <si>
    <t>CLI-062</t>
  </si>
  <si>
    <t>Splendour</t>
  </si>
  <si>
    <t>Operations Head</t>
  </si>
  <si>
    <t>CLI-063</t>
  </si>
  <si>
    <t>TAB</t>
  </si>
  <si>
    <t>Operations Manager</t>
  </si>
  <si>
    <t>CLI-064</t>
  </si>
  <si>
    <t>TAT</t>
  </si>
  <si>
    <t>CLI-065</t>
  </si>
  <si>
    <t>The Hummingtree</t>
  </si>
  <si>
    <t>Outlet Manager</t>
  </si>
  <si>
    <t>CLI-066</t>
  </si>
  <si>
    <t>The Kin Hotel</t>
  </si>
  <si>
    <t>Outlet Supervisor</t>
  </si>
  <si>
    <t>CLI-067</t>
  </si>
  <si>
    <t>The Nest</t>
  </si>
  <si>
    <t>PR</t>
  </si>
  <si>
    <t>CLI-068</t>
  </si>
  <si>
    <t>The Ranch</t>
  </si>
  <si>
    <t>PR Executive</t>
  </si>
  <si>
    <t>CLI-069</t>
  </si>
  <si>
    <t>Tropicool</t>
  </si>
  <si>
    <t>Packaging Assistant</t>
  </si>
  <si>
    <t>CLI-070</t>
  </si>
  <si>
    <t>True palate</t>
  </si>
  <si>
    <t>Payroll</t>
  </si>
  <si>
    <t>CLI-071</t>
  </si>
  <si>
    <t>UGIPL</t>
  </si>
  <si>
    <t>Purchase</t>
  </si>
  <si>
    <t>CLI-072</t>
  </si>
  <si>
    <t>Zima</t>
  </si>
  <si>
    <t>QC</t>
  </si>
  <si>
    <t>CLI-073</t>
  </si>
  <si>
    <t>HNH Salad</t>
  </si>
  <si>
    <t>RM</t>
  </si>
  <si>
    <t>CLI-074</t>
  </si>
  <si>
    <t>Apero by Malvika</t>
  </si>
  <si>
    <t>Receptionist</t>
  </si>
  <si>
    <t>CLI-075</t>
  </si>
  <si>
    <t>Bastian</t>
  </si>
  <si>
    <t>Room Sales</t>
  </si>
  <si>
    <t>CLI-076</t>
  </si>
  <si>
    <t>Green Gains</t>
  </si>
  <si>
    <t>SCM Head</t>
  </si>
  <si>
    <t>CLI-077</t>
  </si>
  <si>
    <t>SLH</t>
  </si>
  <si>
    <t>Sales</t>
  </si>
  <si>
    <t>CLI-078</t>
  </si>
  <si>
    <t>Niko</t>
  </si>
  <si>
    <t>Senior Barista</t>
  </si>
  <si>
    <t>Courtside</t>
  </si>
  <si>
    <t>Senior Bartender</t>
  </si>
  <si>
    <t>Penang Table</t>
  </si>
  <si>
    <t>Senior CDP</t>
  </si>
  <si>
    <t>TGC</t>
  </si>
  <si>
    <t>Senior Captain</t>
  </si>
  <si>
    <t>Corleone's</t>
  </si>
  <si>
    <t>Senior GRE</t>
  </si>
  <si>
    <t>Nenapu</t>
  </si>
  <si>
    <t>Senior Sous Chef</t>
  </si>
  <si>
    <t>Senior Steward</t>
  </si>
  <si>
    <t>Social Media Manager</t>
  </si>
  <si>
    <t>Sommelier</t>
  </si>
  <si>
    <t>Sous Chef</t>
  </si>
  <si>
    <t>Sr. Duty Manager</t>
  </si>
  <si>
    <t>Steward</t>
  </si>
  <si>
    <t>Store Manager</t>
  </si>
  <si>
    <t>Stores Manager</t>
  </si>
  <si>
    <t>Supervisor</t>
  </si>
  <si>
    <t>Supply Chain</t>
  </si>
  <si>
    <t>Team Leader</t>
  </si>
  <si>
    <t>Trainee Captain</t>
  </si>
  <si>
    <t>Training Manager</t>
  </si>
  <si>
    <t>Waiter</t>
  </si>
  <si>
    <t>Aggregator Manager</t>
  </si>
  <si>
    <t>Graphic Designer</t>
  </si>
  <si>
    <t>🏨 OPEN POSITIONS</t>
  </si>
  <si>
    <t>💡 Select Client Name → Position ID, Client ID, Filled and Remaining populate automatically. Teal columns are auto — do not edit.</t>
  </si>
  <si>
    <t>Position ID</t>
  </si>
  <si>
    <t>Role</t>
  </si>
  <si>
    <t>Department</t>
  </si>
  <si>
    <t>City</t>
  </si>
  <si>
    <t>Date Opened</t>
  </si>
  <si>
    <t>Target Close</t>
  </si>
  <si>
    <t>Assigned To</t>
  </si>
  <si>
    <t>No. of Openings</t>
  </si>
  <si>
    <t>Status</t>
  </si>
  <si>
    <t>Remarks</t>
  </si>
  <si>
    <t>Filled</t>
  </si>
  <si>
    <t>Remaining</t>
  </si>
  <si>
    <t>CLI-031-POS-001</t>
  </si>
  <si>
    <t>Cafe Steward</t>
  </si>
  <si>
    <t>CLI-031-POS-002</t>
  </si>
  <si>
    <t>CLI-026-POS-001</t>
  </si>
  <si>
    <t>Closed</t>
  </si>
  <si>
    <t>CLI-026-POS-002</t>
  </si>
  <si>
    <t>CLI-026-POS-003</t>
  </si>
  <si>
    <t>CLI-001-POS-001</t>
  </si>
  <si>
    <t>CLI-001-POS-002</t>
  </si>
  <si>
    <t>CLI-001-POS-003</t>
  </si>
  <si>
    <t>CLI-014-POS-001</t>
  </si>
  <si>
    <t>CLI-014-POS-002</t>
  </si>
  <si>
    <t>CLI-014-POS-003</t>
  </si>
  <si>
    <t>CLI-014-POS-004</t>
  </si>
  <si>
    <t>CLI-016-POS-001</t>
  </si>
  <si>
    <t>CLI-071-POS-001</t>
  </si>
  <si>
    <t>Pizza Chef</t>
  </si>
  <si>
    <t>CLI-071-POS-002</t>
  </si>
  <si>
    <t>CLI-071-POS-003</t>
  </si>
  <si>
    <t>CLI-061-POS-001</t>
  </si>
  <si>
    <t>CLI-061-POS-002</t>
  </si>
  <si>
    <t>CLI-061-POS-003</t>
  </si>
  <si>
    <t>CLI-061-POS-004</t>
  </si>
  <si>
    <t>Selected and Joining from 1st of May</t>
  </si>
  <si>
    <t>CLI-061-POS-005</t>
  </si>
  <si>
    <t>CLI-061-POS-006</t>
  </si>
  <si>
    <t>Marketing Head</t>
  </si>
  <si>
    <t>CLI-045-POS-001</t>
  </si>
  <si>
    <t>CLI-045-POS-002</t>
  </si>
  <si>
    <t>CLI-022-POS-001</t>
  </si>
  <si>
    <t>CLI-022-POS-002</t>
  </si>
  <si>
    <t>CLI-022-POS-003</t>
  </si>
  <si>
    <t>CLI-022-POS-004</t>
  </si>
  <si>
    <t>CLI-022-POS-005</t>
  </si>
  <si>
    <t>CLI-038-POS-001</t>
  </si>
  <si>
    <t>Chef De Cuisine</t>
  </si>
  <si>
    <t>CLI-038-POS-002</t>
  </si>
  <si>
    <t>CLI-038-POS-003</t>
  </si>
  <si>
    <t>CLI-038-POS-004</t>
  </si>
  <si>
    <t>CLI-038-POS-005</t>
  </si>
  <si>
    <t>CLI-038-POS-006</t>
  </si>
  <si>
    <t>CLI-015-POS-001</t>
  </si>
  <si>
    <t>CLI-015-POS-002</t>
  </si>
  <si>
    <t>CLI-005-POS-001</t>
  </si>
  <si>
    <t>Banquet Manager</t>
  </si>
  <si>
    <t>CLI-005-POS-002</t>
  </si>
  <si>
    <t>CLI-005-POS-003</t>
  </si>
  <si>
    <t>CLI-073-POS-001</t>
  </si>
  <si>
    <t>R&amp;D Chef</t>
  </si>
  <si>
    <t>CLI-073-POS-002</t>
  </si>
  <si>
    <t>CLI-073-POS-003</t>
  </si>
  <si>
    <t>CLI-074-POS-001</t>
  </si>
  <si>
    <t>Cold and hot kitchen</t>
  </si>
  <si>
    <t>CLI-075-POS-001</t>
  </si>
  <si>
    <t>CLI-075-POS-002</t>
  </si>
  <si>
    <t>Cloud Kitchen</t>
  </si>
  <si>
    <t>CLI-075-POS-003</t>
  </si>
  <si>
    <t>Megh Replacement</t>
  </si>
  <si>
    <t>CLI-075-POS-004</t>
  </si>
  <si>
    <t>CLI-020-POS-001</t>
  </si>
  <si>
    <t>CLI-020-POS-002</t>
  </si>
  <si>
    <t>1 for Matcha</t>
  </si>
  <si>
    <t>CLI-020-POS-003</t>
  </si>
  <si>
    <t>CLI-020-POS-004</t>
  </si>
  <si>
    <t>CLI-020-POS-005</t>
  </si>
  <si>
    <t>CLI-020-POS-006</t>
  </si>
  <si>
    <t>1 Commi 2 and 1 Commi 3</t>
  </si>
  <si>
    <t>CLI-020-POS-007</t>
  </si>
  <si>
    <t>CLI-037-POS-001</t>
  </si>
  <si>
    <t>CLI-037-POS-002</t>
  </si>
  <si>
    <t>CLI-005-POS-004</t>
  </si>
  <si>
    <t>CLI-014-POS-005</t>
  </si>
  <si>
    <t>Barista &amp; Senior Barista</t>
  </si>
  <si>
    <t>CLI-001-POS-004</t>
  </si>
  <si>
    <t>Stewards</t>
  </si>
  <si>
    <t>CLI-014-POS-006</t>
  </si>
  <si>
    <t>Stewards,Asst Stewards</t>
  </si>
  <si>
    <t>CLI-014-POS-007</t>
  </si>
  <si>
    <t>Hostess,GRE</t>
  </si>
  <si>
    <t>CLI-075-POS-005</t>
  </si>
  <si>
    <t>L&amp;D Executive</t>
  </si>
  <si>
    <t>CLI-075-POS-006</t>
  </si>
  <si>
    <t>Payroll Executive</t>
  </si>
  <si>
    <t>CLI-076-POS-001</t>
  </si>
  <si>
    <t>Team Member</t>
  </si>
  <si>
    <t>CLI-034-POS-001</t>
  </si>
  <si>
    <t>Bartender, Sr Bartender</t>
  </si>
  <si>
    <t>CLI-034-POS-002</t>
  </si>
  <si>
    <t>CLI-034-POS-003</t>
  </si>
  <si>
    <t>CLI-039-POS-001</t>
  </si>
  <si>
    <t>Order taking,Packaging</t>
  </si>
  <si>
    <t>CLI-039-POS-002</t>
  </si>
  <si>
    <t>Eggs,Sandwiches</t>
  </si>
  <si>
    <t>CLI-039-POS-003</t>
  </si>
  <si>
    <t>Macroons</t>
  </si>
  <si>
    <t>CLI-039-POS-004</t>
  </si>
  <si>
    <t>Basic Coffee making</t>
  </si>
  <si>
    <t>CLI-050-POS-001</t>
  </si>
  <si>
    <t>CLI-005-POS-005</t>
  </si>
  <si>
    <t>Dosa &amp; South Indian Chef</t>
  </si>
  <si>
    <t>Continental Food</t>
  </si>
  <si>
    <t>Baker Chef - Breads</t>
  </si>
  <si>
    <t>Sous Chef - Bakery</t>
  </si>
  <si>
    <t>Commi 1- Tandoor</t>
  </si>
  <si>
    <t>Commi 3- Chaat Section</t>
  </si>
  <si>
    <t>Sous Chef - Sushi</t>
  </si>
  <si>
    <t>Sous Chef - Dimsum</t>
  </si>
  <si>
    <t>Junior Sous - Sushi</t>
  </si>
  <si>
    <t>junior Sous - Dimsum</t>
  </si>
  <si>
    <t>CDP - Sushi &amp; Dimsum</t>
  </si>
  <si>
    <t>CDP - Continental</t>
  </si>
  <si>
    <t>DCDP - Continental</t>
  </si>
  <si>
    <t>Commi - Continental</t>
  </si>
  <si>
    <t>Cincin &amp; Supasan both</t>
  </si>
  <si>
    <t>Host , Hostess &amp; GRE</t>
  </si>
  <si>
    <t>Bar Manager - Mocktail Bar</t>
  </si>
  <si>
    <t>Bartenders - Mocktail Bar</t>
  </si>
  <si>
    <t>Barista - Coffee &amp; Matcha</t>
  </si>
  <si>
    <t>Wellness Juice Bar</t>
  </si>
  <si>
    <t>18-25k</t>
  </si>
  <si>
    <t>around 15k</t>
  </si>
  <si>
    <t>👤 CANDIDATE PIPELINE</t>
  </si>
  <si>
    <t>💡 DB Cand ID links back to the Candidate Database. Select Client Name → Client ID auto-fills. Pipeline Cand ID auto-generates.</t>
  </si>
  <si>
    <t>Pipeline ID</t>
  </si>
  <si>
    <t>DB Cand ID</t>
  </si>
  <si>
    <t>Candidate Name</t>
  </si>
  <si>
    <t>Role Applied For</t>
  </si>
  <si>
    <t>Current Company</t>
  </si>
  <si>
    <t>Stage</t>
  </si>
  <si>
    <t>Sourced By</t>
  </si>
  <si>
    <t>Date Added</t>
  </si>
  <si>
    <t>Last Updated</t>
  </si>
  <si>
    <t>Next Follow-up</t>
  </si>
  <si>
    <t>Client Feedback</t>
  </si>
  <si>
    <t>PIP-001</t>
  </si>
  <si>
    <t>CAN-007</t>
  </si>
  <si>
    <t>Lakshita Shaw</t>
  </si>
  <si>
    <t>Love &amp; Latte Juhu</t>
  </si>
  <si>
    <t>PIP-002</t>
  </si>
  <si>
    <t>Keval Javadia</t>
  </si>
  <si>
    <t>Baang</t>
  </si>
  <si>
    <t>PIP-003</t>
  </si>
  <si>
    <t>Vedant Nimbre</t>
  </si>
  <si>
    <t>Rahega</t>
  </si>
  <si>
    <t>PIP-004</t>
  </si>
  <si>
    <t>Priya Jerome Gonsalves</t>
  </si>
  <si>
    <t>Fresher</t>
  </si>
  <si>
    <t>PIP-005</t>
  </si>
  <si>
    <t>Aarti Rokade</t>
  </si>
  <si>
    <t>Not working</t>
  </si>
  <si>
    <t>PIP-006</t>
  </si>
  <si>
    <t>Sanskrita Ekawade</t>
  </si>
  <si>
    <t>Starbucks</t>
  </si>
  <si>
    <t>PIP-007</t>
  </si>
  <si>
    <t>Chetan Medhekar</t>
  </si>
  <si>
    <t>Bouee Coffee Roasters</t>
  </si>
  <si>
    <t>Gujarat</t>
  </si>
  <si>
    <t>PIP-008</t>
  </si>
  <si>
    <t>Sangram Patil</t>
  </si>
  <si>
    <t>None</t>
  </si>
  <si>
    <t>PIP-009</t>
  </si>
  <si>
    <t>Prajwal Sawant</t>
  </si>
  <si>
    <t>PIP-010</t>
  </si>
  <si>
    <t>Ainul Khan</t>
  </si>
  <si>
    <t>The Oberoi,Mumbai</t>
  </si>
  <si>
    <t>PIP-011</t>
  </si>
  <si>
    <t>Mihir Bagwe</t>
  </si>
  <si>
    <t>PIP-012</t>
  </si>
  <si>
    <t>Khuhbu Magar</t>
  </si>
  <si>
    <t>Milagro</t>
  </si>
  <si>
    <t>PIP-013</t>
  </si>
  <si>
    <t>Pushkaraj Gurav</t>
  </si>
  <si>
    <t>Trident,Nariman Point</t>
  </si>
  <si>
    <t>PIP-014</t>
  </si>
  <si>
    <t>Nishant Kadam</t>
  </si>
  <si>
    <t>Fratterniti/EHV</t>
  </si>
  <si>
    <t>PIP-016</t>
  </si>
  <si>
    <t>Prakash Pradhan</t>
  </si>
  <si>
    <t>Massive</t>
  </si>
  <si>
    <t>PIP-017</t>
  </si>
  <si>
    <t>CAN-008</t>
  </si>
  <si>
    <t>Akhil Chavan</t>
  </si>
  <si>
    <t>Impressario</t>
  </si>
  <si>
    <t>PIP-018</t>
  </si>
  <si>
    <t>CAN-009</t>
  </si>
  <si>
    <t>Saurabh Vengurlekar</t>
  </si>
  <si>
    <t>Cantina</t>
  </si>
  <si>
    <t>PIP-019</t>
  </si>
  <si>
    <t>Prasad Parab</t>
  </si>
  <si>
    <t>Foo</t>
  </si>
  <si>
    <t>PIP-020</t>
  </si>
  <si>
    <t>Moin Pawar</t>
  </si>
  <si>
    <t>Mc Donalds</t>
  </si>
  <si>
    <t>PIP-021</t>
  </si>
  <si>
    <t>Dinesh Nishad</t>
  </si>
  <si>
    <t>PIP-022</t>
  </si>
  <si>
    <t>Rashmi Walavalkar</t>
  </si>
  <si>
    <t>PIP-023</t>
  </si>
  <si>
    <t>CAN-033</t>
  </si>
  <si>
    <t>Aarti Jaiswar</t>
  </si>
  <si>
    <t>ODE</t>
  </si>
  <si>
    <t>PIP-024</t>
  </si>
  <si>
    <t>Pritam Bhindani</t>
  </si>
  <si>
    <t>Leela</t>
  </si>
  <si>
    <t>DNR</t>
  </si>
  <si>
    <t>PIP-025</t>
  </si>
  <si>
    <t>Purvi Mhambrey</t>
  </si>
  <si>
    <t>TVA</t>
  </si>
  <si>
    <t>PIP-026</t>
  </si>
  <si>
    <t>Firoj Khan</t>
  </si>
  <si>
    <t>Ananta Spa</t>
  </si>
  <si>
    <t>PIP-027</t>
  </si>
  <si>
    <t>Ami Desai</t>
  </si>
  <si>
    <t>Bizspark ventures</t>
  </si>
  <si>
    <t>PIP-028</t>
  </si>
  <si>
    <t>Trisha Karambar</t>
  </si>
  <si>
    <t>Back Benchers Digital</t>
  </si>
  <si>
    <t>PIP-029</t>
  </si>
  <si>
    <t>Omkar Shinde</t>
  </si>
  <si>
    <t>Thee Wild Berry</t>
  </si>
  <si>
    <t>PIP-030</t>
  </si>
  <si>
    <t>Surendra Singh</t>
  </si>
  <si>
    <t>St Regis</t>
  </si>
  <si>
    <t>PIP-031</t>
  </si>
  <si>
    <t>Nengboi Haokip</t>
  </si>
  <si>
    <t>Brunch and Cake</t>
  </si>
  <si>
    <t>PIP-032</t>
  </si>
  <si>
    <t>Vinay Nair</t>
  </si>
  <si>
    <t>Persuing a different opportunity in Ahmedabad</t>
  </si>
  <si>
    <t>PIP-033</t>
  </si>
  <si>
    <t>CAN-037</t>
  </si>
  <si>
    <t>Imli Longchari</t>
  </si>
  <si>
    <t>Gunpowder</t>
  </si>
  <si>
    <t>Not upto the mark</t>
  </si>
  <si>
    <t>I have shared it with Circa 11</t>
  </si>
  <si>
    <t>PIP-034</t>
  </si>
  <si>
    <t>Nadeem Merchant</t>
  </si>
  <si>
    <t>PIP-035</t>
  </si>
  <si>
    <t>Satish Jadhav</t>
  </si>
  <si>
    <t>PIP-036</t>
  </si>
  <si>
    <t>Vikash Kumar</t>
  </si>
  <si>
    <t>Hotel Cross Lane</t>
  </si>
  <si>
    <t>PIP-037</t>
  </si>
  <si>
    <t>Aquib Fayaz</t>
  </si>
  <si>
    <t>PIP-038</t>
  </si>
  <si>
    <t>Rushikesh Chavan</t>
  </si>
  <si>
    <t>PIP-039</t>
  </si>
  <si>
    <t>Mahinoor Sayyed</t>
  </si>
  <si>
    <t>PIP-040</t>
  </si>
  <si>
    <t>Yuvraj Singh</t>
  </si>
  <si>
    <t>Jio</t>
  </si>
  <si>
    <t>Joined Bombay Canteen</t>
  </si>
  <si>
    <t>PIP-041</t>
  </si>
  <si>
    <t>Manish Sharma</t>
  </si>
  <si>
    <t>Tao Fu</t>
  </si>
  <si>
    <t>PIP-042</t>
  </si>
  <si>
    <t>Riya Surve</t>
  </si>
  <si>
    <t>PIP-043</t>
  </si>
  <si>
    <t>Gautam Karmakar</t>
  </si>
  <si>
    <t>Ditas</t>
  </si>
  <si>
    <t>PIP-044</t>
  </si>
  <si>
    <t>Aditya Purohit</t>
  </si>
  <si>
    <t>Personal Chef</t>
  </si>
  <si>
    <t>PIP-045</t>
  </si>
  <si>
    <t>Venkatesh Rathod</t>
  </si>
  <si>
    <t>PIP-046</t>
  </si>
  <si>
    <t>Akash Dalui</t>
  </si>
  <si>
    <t>PIP-047</t>
  </si>
  <si>
    <t>CAN-048</t>
  </si>
  <si>
    <t>Saikumar Yatham</t>
  </si>
  <si>
    <t>Palms, Jumeriah</t>
  </si>
  <si>
    <t>PIP-048</t>
  </si>
  <si>
    <t>CAN-049</t>
  </si>
  <si>
    <t>Harish Eppapali</t>
  </si>
  <si>
    <t>Mia Cuccina</t>
  </si>
  <si>
    <t>PIP-049</t>
  </si>
  <si>
    <t>CAN-050</t>
  </si>
  <si>
    <t>Dennis Hmangaizhzuala</t>
  </si>
  <si>
    <t>Eatopia</t>
  </si>
  <si>
    <t>PIP-050</t>
  </si>
  <si>
    <t>CAN-051</t>
  </si>
  <si>
    <t>Heena Kadavadkar</t>
  </si>
  <si>
    <t>Toit</t>
  </si>
  <si>
    <t>Good at work</t>
  </si>
  <si>
    <t>PIP-051</t>
  </si>
  <si>
    <t>CAN-052</t>
  </si>
  <si>
    <t>Sameer Khan</t>
  </si>
  <si>
    <t>PIP-052</t>
  </si>
  <si>
    <t>CAN-053</t>
  </si>
  <si>
    <t>Sharnal Ronald Sequeira</t>
  </si>
  <si>
    <t>Inox</t>
  </si>
  <si>
    <t>PIP-053</t>
  </si>
  <si>
    <t>Mohan Kundu</t>
  </si>
  <si>
    <t>Royal Carribean</t>
  </si>
  <si>
    <t>EX LAVONNE AND CITYGUILDS</t>
  </si>
  <si>
    <t>PIP-054</t>
  </si>
  <si>
    <t>Aaghaz AMir</t>
  </si>
  <si>
    <t>STAGIER</t>
  </si>
  <si>
    <t>PIP-055</t>
  </si>
  <si>
    <t>Ram Singh</t>
  </si>
  <si>
    <t>All In</t>
  </si>
  <si>
    <t>Didn't join</t>
  </si>
  <si>
    <t>PIP-056</t>
  </si>
  <si>
    <t>Neha Sambherao</t>
  </si>
  <si>
    <t>Things2do</t>
  </si>
  <si>
    <t>PIP-057</t>
  </si>
  <si>
    <t>Raushun Kumar</t>
  </si>
  <si>
    <t>Seven Eleven</t>
  </si>
  <si>
    <t>Selected joining on 10th April</t>
  </si>
  <si>
    <t>PIP-058</t>
  </si>
  <si>
    <t>Ketan Shejwal</t>
  </si>
  <si>
    <t xml:space="preserve">Jio </t>
  </si>
  <si>
    <t>Waiting for Candidate confirmation</t>
  </si>
  <si>
    <t>PIP-059</t>
  </si>
  <si>
    <t>Aryan Chaudhari</t>
  </si>
  <si>
    <t>Mirage Hotel</t>
  </si>
  <si>
    <t>PIP-060</t>
  </si>
  <si>
    <t>Prathamesh Keluskar</t>
  </si>
  <si>
    <t>True Palate</t>
  </si>
  <si>
    <t>Bayview</t>
  </si>
  <si>
    <t>PIP-061</t>
  </si>
  <si>
    <t>Umair Shaikh</t>
  </si>
  <si>
    <t>Compass</t>
  </si>
  <si>
    <t>PIP-062</t>
  </si>
  <si>
    <t>Priyanshu Tripathi</t>
  </si>
  <si>
    <t>PIP-063</t>
  </si>
  <si>
    <t>Eesha Jhaveri</t>
  </si>
  <si>
    <t>Burma Burma</t>
  </si>
  <si>
    <t>PIP-064</t>
  </si>
  <si>
    <t>Royce Dsouza</t>
  </si>
  <si>
    <t>Rejected offer, didn't join</t>
  </si>
  <si>
    <t>PIP-065</t>
  </si>
  <si>
    <t>Senpong Chuba</t>
  </si>
  <si>
    <t>The Leela Palace, Bangalore</t>
  </si>
  <si>
    <t>PIP-066</t>
  </si>
  <si>
    <t>Ruthvik</t>
  </si>
  <si>
    <t>Postcard Hotel</t>
  </si>
  <si>
    <t>PIP-067</t>
  </si>
  <si>
    <t>Ridhik Khati</t>
  </si>
  <si>
    <t>Mulki</t>
  </si>
  <si>
    <t>PIP-068</t>
  </si>
  <si>
    <t>Om Salgaonkar</t>
  </si>
  <si>
    <t>Slink&amp;Bardot</t>
  </si>
  <si>
    <t>PIP-069</t>
  </si>
  <si>
    <t>Ashlesha Vinde</t>
  </si>
  <si>
    <t>Hylo Taproom</t>
  </si>
  <si>
    <t>PIP-070</t>
  </si>
  <si>
    <t>Ronak Shetty</t>
  </si>
  <si>
    <t>Fushi Island</t>
  </si>
  <si>
    <t>PIP-071</t>
  </si>
  <si>
    <t>Shijin</t>
  </si>
  <si>
    <t>EBS GOA</t>
  </si>
  <si>
    <t>PIP-072</t>
  </si>
  <si>
    <t>CAN-086</t>
  </si>
  <si>
    <t>Rakesh Kumar</t>
  </si>
  <si>
    <t>DLF HOSPITALITY</t>
  </si>
  <si>
    <t>PIP-073</t>
  </si>
  <si>
    <t>Ninoshka Satam</t>
  </si>
  <si>
    <t>Telphonic round done, scheduled for f2f</t>
  </si>
  <si>
    <t>PIP-074</t>
  </si>
  <si>
    <t>Sahil Shaikh</t>
  </si>
  <si>
    <t>Hinduja</t>
  </si>
  <si>
    <t>Candidate joined elsewhere</t>
  </si>
  <si>
    <t>Madhura Thanekar</t>
  </si>
  <si>
    <t>Vaishali Maurya</t>
  </si>
  <si>
    <t>Karan Chauhan</t>
  </si>
  <si>
    <t>Devesh Katkar</t>
  </si>
  <si>
    <t>Rushabh Jadhav</t>
  </si>
  <si>
    <t>Raheja</t>
  </si>
  <si>
    <t>Kunal Salian</t>
  </si>
  <si>
    <t>Rohan Hajare</t>
  </si>
  <si>
    <t>Fresh catch</t>
  </si>
  <si>
    <t>Aniket Parulekar</t>
  </si>
  <si>
    <t>Didn't fit in budget</t>
  </si>
  <si>
    <t>Harsh Kadam</t>
  </si>
  <si>
    <t>Sayyad Sagir</t>
  </si>
  <si>
    <t>Love &amp; Latte</t>
  </si>
  <si>
    <t>Lanmi Zingkhai</t>
  </si>
  <si>
    <t>Khanimphi Khudai</t>
  </si>
  <si>
    <t>The Indus club</t>
  </si>
  <si>
    <t>Rajeev Kashyap</t>
  </si>
  <si>
    <t>none</t>
  </si>
  <si>
    <t>Nitin Panwaar</t>
  </si>
  <si>
    <t>Sanket Adawade</t>
  </si>
  <si>
    <t>Dave &amp; Busters</t>
  </si>
  <si>
    <t>Sagar Warekar</t>
  </si>
  <si>
    <t>Faiz Khan</t>
  </si>
  <si>
    <t>Sneha Salgaonkar</t>
  </si>
  <si>
    <t>Asif Kalnad</t>
  </si>
  <si>
    <t>Leon Dsouza</t>
  </si>
  <si>
    <t>Sunil Makwana</t>
  </si>
  <si>
    <t>03-Ape-26</t>
  </si>
  <si>
    <t>Saniya Pawase</t>
  </si>
  <si>
    <t>Manish Gupta</t>
  </si>
  <si>
    <t>Boojee</t>
  </si>
  <si>
    <t>Rahul Rodayal</t>
  </si>
  <si>
    <t>Amaru</t>
  </si>
  <si>
    <t>Pawan Pandey</t>
  </si>
  <si>
    <t>Bhavesh Kedare</t>
  </si>
  <si>
    <t>Cin cin</t>
  </si>
  <si>
    <t>Smruti Khote</t>
  </si>
  <si>
    <t>Prachita Kamble</t>
  </si>
  <si>
    <t>Belgian waffle</t>
  </si>
  <si>
    <t>Praveen Kumar</t>
  </si>
  <si>
    <t>Zane's Cafe</t>
  </si>
  <si>
    <t>Pawan Galve</t>
  </si>
  <si>
    <t>Hitchki</t>
  </si>
  <si>
    <t>Akshay Belani</t>
  </si>
  <si>
    <t>Bhavesh Upadhyay</t>
  </si>
  <si>
    <t>Devendra Mhabdi</t>
  </si>
  <si>
    <t>Clinton Mall</t>
  </si>
  <si>
    <t>Jamun Goa</t>
  </si>
  <si>
    <t>Sahil Ayyar</t>
  </si>
  <si>
    <t>Sneha Rajguru</t>
  </si>
  <si>
    <t>Hav Coffee</t>
  </si>
  <si>
    <t>Pratik Bhosale</t>
  </si>
  <si>
    <t>Cafe Grounded</t>
  </si>
  <si>
    <t>Hridaya Bobadi</t>
  </si>
  <si>
    <t>Aishwarya Khandekar</t>
  </si>
  <si>
    <t>Reliance</t>
  </si>
  <si>
    <t>Anjali Kispota</t>
  </si>
  <si>
    <t>MD Dulare</t>
  </si>
  <si>
    <t>Retreat drink and dine</t>
  </si>
  <si>
    <t>PIP-122</t>
  </si>
  <si>
    <t>Carin John</t>
  </si>
  <si>
    <t>Latango Delhi</t>
  </si>
  <si>
    <t>PIP-123</t>
  </si>
  <si>
    <t>Nitin Rao</t>
  </si>
  <si>
    <t>Vietnom</t>
  </si>
  <si>
    <t>Baldeep Singh</t>
  </si>
  <si>
    <t>Taj SATS</t>
  </si>
  <si>
    <t>Jauhar Khan</t>
  </si>
  <si>
    <t>Sahil Pote</t>
  </si>
  <si>
    <t>Kapil Jaiwal</t>
  </si>
  <si>
    <t>FOOD MATTERS</t>
  </si>
  <si>
    <t>Sushant Chaube</t>
  </si>
  <si>
    <t>Manas Joglekar</t>
  </si>
  <si>
    <t>FLURRYS</t>
  </si>
  <si>
    <t>Adarsh Shingh</t>
  </si>
  <si>
    <t>ST REGIS</t>
  </si>
  <si>
    <t>Vishal Singh Bisht</t>
  </si>
  <si>
    <t>HAMMERZ</t>
  </si>
  <si>
    <t>Abhishek Gupta</t>
  </si>
  <si>
    <t>Syed Azhar</t>
  </si>
  <si>
    <t>BLUE TOKAI</t>
  </si>
  <si>
    <t>Faloh</t>
  </si>
  <si>
    <t>CAFE Grounded</t>
  </si>
  <si>
    <t>Atharav Padavar</t>
  </si>
  <si>
    <t>FRESHER</t>
  </si>
  <si>
    <t>Siddesh Gurav</t>
  </si>
  <si>
    <t>TUNGA</t>
  </si>
  <si>
    <t>Ritika Kadam</t>
  </si>
  <si>
    <t>TAJ PALACE</t>
  </si>
  <si>
    <t>Ojas Rajure</t>
  </si>
  <si>
    <t>MASSIVE</t>
  </si>
  <si>
    <t>Keith Britto</t>
  </si>
  <si>
    <t>SPECIALTY</t>
  </si>
  <si>
    <t>Jay prajapat</t>
  </si>
  <si>
    <t>HARAJUKO</t>
  </si>
  <si>
    <t>Dhan bhim</t>
  </si>
  <si>
    <t>PAPAYA</t>
  </si>
  <si>
    <t>Shadil Ali</t>
  </si>
  <si>
    <t>Vanessa Cardoz</t>
  </si>
  <si>
    <t>Ishdeep Singh</t>
  </si>
  <si>
    <t>DAVE &amp; Busters</t>
  </si>
  <si>
    <t>Gaurav Chauhan</t>
  </si>
  <si>
    <t>KMC</t>
  </si>
  <si>
    <t>CAN-181</t>
  </si>
  <si>
    <t>Mohsin Khatib</t>
  </si>
  <si>
    <t>PAULS</t>
  </si>
  <si>
    <t>CAN-182</t>
  </si>
  <si>
    <t>Purshuttam Shedge</t>
  </si>
  <si>
    <t>FOUR SEASONS</t>
  </si>
  <si>
    <t>CAN-183</t>
  </si>
  <si>
    <t>Yash Shinde</t>
  </si>
  <si>
    <t>Indra Sunari</t>
  </si>
  <si>
    <t>FEASTIBLE</t>
  </si>
  <si>
    <t>Mehul Kulkarni</t>
  </si>
  <si>
    <t>Malido Cafe</t>
  </si>
  <si>
    <t>Mansi Thakur</t>
  </si>
  <si>
    <t>Fairmont</t>
  </si>
  <si>
    <t>Mehraj Shaikh</t>
  </si>
  <si>
    <t>Sameer Shaikh</t>
  </si>
  <si>
    <t>Freelance</t>
  </si>
  <si>
    <t>Moh Shaikh</t>
  </si>
  <si>
    <t>Devanand Vitthal</t>
  </si>
  <si>
    <t>Prakash Venkatesh</t>
  </si>
  <si>
    <t>Sushil Nirmal</t>
  </si>
  <si>
    <t>Vice global Tapas</t>
  </si>
  <si>
    <t>salary offered was too less, put forward to milagro</t>
  </si>
  <si>
    <t>Anand Singh</t>
  </si>
  <si>
    <t>Social</t>
  </si>
  <si>
    <t>Ankit Vaity</t>
  </si>
  <si>
    <t>Chalet Hotels</t>
  </si>
  <si>
    <t>Jatin More</t>
  </si>
  <si>
    <t>Coco Cafe</t>
  </si>
  <si>
    <t>Nitin Sharma</t>
  </si>
  <si>
    <t>Vishwas Vishwakarma</t>
  </si>
  <si>
    <t>One Horizon</t>
  </si>
  <si>
    <t>Aniruddha Malkar</t>
  </si>
  <si>
    <t>Mirah</t>
  </si>
  <si>
    <t>Dheeraj Bhelwal</t>
  </si>
  <si>
    <t>JW Marriott</t>
  </si>
  <si>
    <t>Payal Dhangar</t>
  </si>
  <si>
    <t>joined somewhere else</t>
  </si>
  <si>
    <t>Pooja Haldankar</t>
  </si>
  <si>
    <t>Pebble street</t>
  </si>
  <si>
    <t>Jignesh Jethwa</t>
  </si>
  <si>
    <t>Blondie Cafe</t>
  </si>
  <si>
    <t>Amey Kolekar</t>
  </si>
  <si>
    <t>Boojee Cafe</t>
  </si>
  <si>
    <t>Mark Matthew</t>
  </si>
  <si>
    <t>1 BHK</t>
  </si>
  <si>
    <t>Nikhil Dhumal</t>
  </si>
  <si>
    <t>Sakshi Bhargava</t>
  </si>
  <si>
    <t>The Machan</t>
  </si>
  <si>
    <t>Akash Chaurasiya</t>
  </si>
  <si>
    <t>Trident BKC</t>
  </si>
  <si>
    <t>Zaid Mohd Khan</t>
  </si>
  <si>
    <t>Subway</t>
  </si>
  <si>
    <t>Heeten Kumar Mar</t>
  </si>
  <si>
    <t>Manager</t>
  </si>
  <si>
    <t>Amisha Jadhav</t>
  </si>
  <si>
    <t>Randall John</t>
  </si>
  <si>
    <t>Shailendra Singh</t>
  </si>
  <si>
    <t>Faredoons</t>
  </si>
  <si>
    <t>Nilam Mestry</t>
  </si>
  <si>
    <t>PVR</t>
  </si>
  <si>
    <t>Jackson Nadar</t>
  </si>
  <si>
    <t>Darry's house</t>
  </si>
  <si>
    <t>Sabir shailkh</t>
  </si>
  <si>
    <t>Ronakn Jha</t>
  </si>
  <si>
    <t>PVR INOX</t>
  </si>
  <si>
    <t>dave and busters</t>
  </si>
  <si>
    <t>Darshan Sonar</t>
  </si>
  <si>
    <t>Venjal Pereira</t>
  </si>
  <si>
    <t>Mallesh Kanaveni</t>
  </si>
  <si>
    <t>Rushikesh More</t>
  </si>
  <si>
    <t>Rushabh Pawar</t>
  </si>
  <si>
    <t>Sahil Kurup</t>
  </si>
  <si>
    <t>Abnah</t>
  </si>
  <si>
    <t>Prince Fernandes</t>
  </si>
  <si>
    <t>Aryan Machhi</t>
  </si>
  <si>
    <t>Nikesh Mohite</t>
  </si>
  <si>
    <t>Nutcracker</t>
  </si>
  <si>
    <t>Sonam Prasad</t>
  </si>
  <si>
    <t>Zaringla Kashung</t>
  </si>
  <si>
    <t>amaru</t>
  </si>
  <si>
    <t>Sahil Thapania</t>
  </si>
  <si>
    <t>Lien Patel</t>
  </si>
  <si>
    <t>Raheja's</t>
  </si>
  <si>
    <t>Deepak Mehra</t>
  </si>
  <si>
    <t>Derrick Crasto</t>
  </si>
  <si>
    <t>Sunny Shetty</t>
  </si>
  <si>
    <t>Imelda Marceda</t>
  </si>
  <si>
    <t>Pratik Shinde</t>
  </si>
  <si>
    <t>Sante spa</t>
  </si>
  <si>
    <t>Sumit Jha</t>
  </si>
  <si>
    <t>CCI Club</t>
  </si>
  <si>
    <t>Bharat Yadav</t>
  </si>
  <si>
    <t>Kala Ghoda Cafe</t>
  </si>
  <si>
    <t>Siya Singh</t>
  </si>
  <si>
    <t>Vidhi Chauhan</t>
  </si>
  <si>
    <t>One sweet day</t>
  </si>
  <si>
    <t>Shazmin Budhani</t>
  </si>
  <si>
    <t>Raj Masih</t>
  </si>
  <si>
    <t>The Nook</t>
  </si>
  <si>
    <t>Vijay Thapa</t>
  </si>
  <si>
    <t>Nikhil Gupta</t>
  </si>
  <si>
    <t>The Primo</t>
  </si>
  <si>
    <t>Darshak Raut</t>
  </si>
  <si>
    <t>Derrick Gracias</t>
  </si>
  <si>
    <t>Novotel</t>
  </si>
  <si>
    <t>Sejal Kardak</t>
  </si>
  <si>
    <t>Siddesh Akte</t>
  </si>
  <si>
    <t>MCA</t>
  </si>
  <si>
    <t>Sabhjeet yadav</t>
  </si>
  <si>
    <t>Kukeluku</t>
  </si>
  <si>
    <t>Saif Dakhve</t>
  </si>
  <si>
    <t>Apero</t>
  </si>
  <si>
    <t>Aditya Kundan</t>
  </si>
  <si>
    <t>Krunal Bandodkar</t>
  </si>
  <si>
    <t>Mezcalita</t>
  </si>
  <si>
    <t>Sandeep Sunar</t>
  </si>
  <si>
    <t>Fireback</t>
  </si>
  <si>
    <t>Hetansh Mestry</t>
  </si>
  <si>
    <t>Nikhil Purandare</t>
  </si>
  <si>
    <t>August</t>
  </si>
  <si>
    <t>Najmul hasan</t>
  </si>
  <si>
    <t>Jasmeen Chawla</t>
  </si>
  <si>
    <t>Sandhya Kamble</t>
  </si>
  <si>
    <t>Ankit Pardhi</t>
  </si>
  <si>
    <t>Amit Kumar Chavan</t>
  </si>
  <si>
    <t>Vijesh Salian</t>
  </si>
  <si>
    <t>Unfiltrd</t>
  </si>
  <si>
    <t>Chetan Kothmire</t>
  </si>
  <si>
    <t>Raveena Poojari</t>
  </si>
  <si>
    <t>Amir Ansari</t>
  </si>
  <si>
    <t>Ashwin Kamble</t>
  </si>
  <si>
    <t>Tanmay Ayre</t>
  </si>
  <si>
    <t>Aures</t>
  </si>
  <si>
    <t>Diksha Pednekar</t>
  </si>
  <si>
    <t>G5A Port</t>
  </si>
  <si>
    <t>Snehal Kekan</t>
  </si>
  <si>
    <t>Inter-Continental</t>
  </si>
  <si>
    <t>Prerna Kamble</t>
  </si>
  <si>
    <t>Satyajit Ghorai</t>
  </si>
  <si>
    <t>Club Horizon</t>
  </si>
  <si>
    <t>Dipankar Biswas</t>
  </si>
  <si>
    <t>Haseebul shaikh</t>
  </si>
  <si>
    <t>Bhavesh Gupta</t>
  </si>
  <si>
    <t>Nidhi Pardeshi</t>
  </si>
  <si>
    <t>Shubham Kadu</t>
  </si>
  <si>
    <t>Nandini Mishra</t>
  </si>
  <si>
    <t>Sky High events</t>
  </si>
  <si>
    <t>Arpan Chandanshiv</t>
  </si>
  <si>
    <t>Akash Gaikwad</t>
  </si>
  <si>
    <t>Mahesh Gawli</t>
  </si>
  <si>
    <t>Full moon</t>
  </si>
  <si>
    <t>Veenet Amin</t>
  </si>
  <si>
    <t>Goa Portuguesa</t>
  </si>
  <si>
    <t>Anuradha Gambhir</t>
  </si>
  <si>
    <t>Ringo</t>
  </si>
  <si>
    <t>Vinay Nagar</t>
  </si>
  <si>
    <t>Thyme &amp; Whisk</t>
  </si>
  <si>
    <t>Sumedha Bandekar</t>
  </si>
  <si>
    <t>Gloria Hrangchal</t>
  </si>
  <si>
    <t>Kofuku</t>
  </si>
  <si>
    <t>Rajesh Kumar</t>
  </si>
  <si>
    <t>Akshay Khare</t>
  </si>
  <si>
    <t>Anushree Kumar</t>
  </si>
  <si>
    <t>Ali Akbar Travels</t>
  </si>
  <si>
    <t>Nitin Solanki</t>
  </si>
  <si>
    <t>Dominic Fernandes</t>
  </si>
  <si>
    <t>Sahil Gurav</t>
  </si>
  <si>
    <t>Vinchui Mahong</t>
  </si>
  <si>
    <t>Gladwin Gomes</t>
  </si>
  <si>
    <t>Enosh Mayers</t>
  </si>
  <si>
    <t>Tabbasum Shaikh</t>
  </si>
  <si>
    <t>Chandrashekar C.</t>
  </si>
  <si>
    <t>Pradip Karan</t>
  </si>
  <si>
    <t>olive</t>
  </si>
  <si>
    <t>Siddhant Powar</t>
  </si>
  <si>
    <t>Shreyas Mahadik</t>
  </si>
  <si>
    <t>Arjun Dange</t>
  </si>
  <si>
    <t>Gitesh Jadhav</t>
  </si>
  <si>
    <t>Bhuvanesh Prakash</t>
  </si>
  <si>
    <t>Shibham Mallick</t>
  </si>
  <si>
    <t>Sahara Star</t>
  </si>
  <si>
    <t>Dhruvi Parab</t>
  </si>
  <si>
    <t>Mangesh Shete</t>
  </si>
  <si>
    <t>Dessert Therapy</t>
  </si>
  <si>
    <t xml:space="preserve">Siddharth </t>
  </si>
  <si>
    <t>Aniket Kumar</t>
  </si>
  <si>
    <t>Quorum,Hyderabad</t>
  </si>
  <si>
    <t>Ramesh Damai</t>
  </si>
  <si>
    <t>Soleha Baig</t>
  </si>
  <si>
    <t>toast pasta bar</t>
  </si>
  <si>
    <t>Dhruv Kanojia</t>
  </si>
  <si>
    <t>Otra</t>
  </si>
  <si>
    <t>Archana Kakkal</t>
  </si>
  <si>
    <t>Allora Restaurants</t>
  </si>
  <si>
    <t>Abhishek Kharwar</t>
  </si>
  <si>
    <t>Earth Cafe</t>
  </si>
  <si>
    <t>Dolly Valmiki</t>
  </si>
  <si>
    <t>Mc Donald's</t>
  </si>
  <si>
    <t>Biswanath Das</t>
  </si>
  <si>
    <t>Jia - The Oriental Kitchen</t>
  </si>
  <si>
    <t>Ashley Crasto</t>
  </si>
  <si>
    <t>Rohit Sahu</t>
  </si>
  <si>
    <t>Heatl Melekar</t>
  </si>
  <si>
    <t>Hrangaone Yangna</t>
  </si>
  <si>
    <t>📊  RECRUITMENT DASHBOARD  —  Auto-updates. No manual entry needed here.</t>
  </si>
  <si>
    <t>LIVE OVERVIEW</t>
  </si>
  <si>
    <t>Open Positions</t>
  </si>
  <si>
    <t>Total Seats Open</t>
  </si>
  <si>
    <t>Seats Filled</t>
  </si>
  <si>
    <t>Total In Pipeline</t>
  </si>
  <si>
    <t>Offers Accepted</t>
  </si>
  <si>
    <t>PIPELINE STAGE BREAKDOWN</t>
  </si>
  <si>
    <t>RECRUITER STATS</t>
  </si>
  <si>
    <t>Count</t>
  </si>
  <si>
    <t>% of Pipeline</t>
  </si>
  <si>
    <t>Recruiter</t>
  </si>
  <si>
    <t>Open Seats</t>
  </si>
  <si>
    <t>In Pipeline</t>
  </si>
  <si>
    <t>CLIENT ACTIVITY  —  updates automatically</t>
  </si>
  <si>
    <t>Every client added to Open Positions appears here automatically.</t>
  </si>
  <si>
    <t>Total Seats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</si>
</sst>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-mmm-yy"/>
    <numFmt numFmtId="165" formatCode="d- mmm-yy"/>
    <numFmt numFmtId="166" formatCode="dd\-mmm\-yy"/>
    <numFmt numFmtId="167" formatCode="DD-MMM-YY"/>
  </numFmts>
  <fonts count="24">
    <font>
      <sz val="11.0"/>
      <color theme="1"/>
      <name val="Calibri"/>
      <scheme val="minor"/>
    </font>
    <font>
      <b/>
      <sz val="11.0"/>
      <color rgb="FFFFFFFF"/>
      <name val="Arial"/>
    </font>
    <font/>
    <font>
      <i/>
      <sz val="8.0"/>
      <color rgb="FF555555"/>
      <name val="Arial"/>
    </font>
    <font>
      <b/>
      <sz val="9.0"/>
      <color rgb="FFFFFFFF"/>
      <name val="Arial"/>
    </font>
    <font>
      <b/>
      <sz val="9.0"/>
      <color rgb="FF1F3864"/>
      <name val="Arial"/>
    </font>
    <font>
      <sz val="9.0"/>
      <color rgb="FF1A1A1A"/>
      <name val="Arial"/>
    </font>
    <font>
      <sz val="11.0"/>
      <color rgb="FF000000"/>
      <name val="Calibri"/>
    </font>
    <font>
      <b/>
      <sz val="13.0"/>
      <color rgb="FFFFFFFF"/>
      <name val="Arial"/>
    </font>
    <font>
      <i/>
      <sz val="8.0"/>
      <color rgb="FF1A7A82"/>
      <name val="Arial"/>
    </font>
    <font>
      <i/>
      <sz val="9.0"/>
      <color rgb="FF1A7A82"/>
      <name val="Arial"/>
    </font>
    <font>
      <sz val="7.0"/>
      <color rgb="FFFFFFFF"/>
      <name val="Arial"/>
    </font>
    <font>
      <color theme="1"/>
      <name val="Calibri"/>
      <scheme val="minor"/>
    </font>
    <font>
      <sz val="9.0"/>
      <color rgb="FF000000"/>
      <name val="Arial"/>
    </font>
    <font>
      <sz val="10.0"/>
      <color rgb="FF1A1A1A"/>
      <name val="Arial"/>
    </font>
    <font>
      <i/>
      <sz val="9.0"/>
      <color rgb="FF1F3864"/>
      <name val="Arial"/>
    </font>
    <font>
      <b/>
      <sz val="12.0"/>
      <color rgb="FFFFFFFF"/>
      <name val="Arial"/>
    </font>
    <font>
      <b/>
      <sz val="10.0"/>
      <color rgb="FFFFFFFF"/>
      <name val="Arial"/>
    </font>
    <font>
      <b/>
      <sz val="8.0"/>
      <color rgb="FFFFFFFF"/>
      <name val="Arial"/>
    </font>
    <font>
      <b/>
      <sz val="24.0"/>
      <color rgb="FF1F3864"/>
      <name val="Arial"/>
    </font>
    <font>
      <b/>
      <sz val="24.0"/>
      <color rgb="FF2E75B6"/>
      <name val="Arial"/>
    </font>
    <font>
      <b/>
      <sz val="24.0"/>
      <color rgb="FF375623"/>
      <name val="Arial"/>
    </font>
    <font>
      <b/>
      <sz val="24.0"/>
      <color rgb="FF1A7A82"/>
      <name val="Arial"/>
    </font>
    <font>
      <b/>
      <sz val="24.0"/>
      <color rgb="FFBF6A00"/>
      <name val="Arial"/>
    </font>
  </fonts>
  <fills count="17">
    <fill>
      <patternFill patternType="none"/>
    </fill>
    <fill>
      <patternFill patternType="lightGray"/>
    </fill>
    <fill>
      <patternFill patternType="solid">
        <fgColor rgb="FF44546A"/>
        <bgColor rgb="FF44546A"/>
      </patternFill>
    </fill>
    <fill>
      <patternFill patternType="solid">
        <fgColor rgb="FFEAF4F5"/>
        <bgColor rgb="FFEAF4F5"/>
      </patternFill>
    </fill>
    <fill>
      <patternFill patternType="solid">
        <fgColor rgb="FF1F3864"/>
        <bgColor rgb="FF1F3864"/>
      </patternFill>
    </fill>
    <fill>
      <patternFill patternType="solid">
        <fgColor rgb="FF1A7A82"/>
        <bgColor rgb="FF1A7A82"/>
      </patternFill>
    </fill>
    <fill>
      <patternFill patternType="solid">
        <fgColor rgb="FF2E75B6"/>
        <bgColor rgb="FF2E75B6"/>
      </patternFill>
    </fill>
    <fill>
      <patternFill patternType="solid">
        <fgColor rgb="FF375623"/>
        <bgColor rgb="FF375623"/>
      </patternFill>
    </fill>
    <fill>
      <patternFill patternType="solid">
        <fgColor rgb="FFBF6A00"/>
        <bgColor rgb="FFBF6A00"/>
      </patternFill>
    </fill>
    <fill>
      <patternFill patternType="solid">
        <fgColor rgb="FFD9EEF1"/>
        <bgColor rgb="FFD9EEF1"/>
      </patternFill>
    </fill>
    <fill>
      <patternFill patternType="solid">
        <fgColor rgb="FFDEEAF1"/>
        <bgColor rgb="FFDEEAF1"/>
      </patternFill>
    </fill>
    <fill>
      <patternFill patternType="solid">
        <fgColor rgb="FFE2EFDA"/>
        <bgColor rgb="FFE2EFDA"/>
      </patternFill>
    </fill>
    <fill>
      <patternFill patternType="solid">
        <fgColor rgb="FFF5F5F5"/>
        <bgColor rgb="FFF5F5F5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C5E8EA"/>
        <bgColor rgb="FFC5E8EA"/>
      </patternFill>
    </fill>
    <fill>
      <patternFill patternType="solid">
        <fgColor rgb="FFCFE2F3"/>
        <bgColor rgb="FFCFE2F3"/>
      </patternFill>
    </fill>
  </fills>
  <borders count="15">
    <border/>
    <border>
      <bottom/>
    </border>
    <border>
      <right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/>
      <top/>
    </border>
    <border>
      <top/>
    </border>
    <border>
      <right/>
      <top/>
    </border>
  </borders>
  <cellStyleXfs count="1">
    <xf borderId="0" fillId="0" fontId="0" numFmtId="0" applyAlignment="1" applyFont="1"/>
  </cellStyleXfs>
  <cellXfs count="1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1" fillId="0" fontId="2" numFmtId="0" xfId="0" applyBorder="1" applyFont="1"/>
    <xf borderId="2" fillId="0" fontId="2" numFmtId="0" xfId="0" applyBorder="1" applyFont="1"/>
    <xf borderId="1" fillId="3" fontId="3" numFmtId="0" xfId="0" applyAlignment="1" applyBorder="1" applyFill="1" applyFont="1">
      <alignment horizontal="left" readingOrder="0" shrinkToFit="0" wrapText="0"/>
    </xf>
    <xf borderId="0" fillId="4" fontId="4" numFmtId="0" xfId="0" applyAlignment="1" applyFill="1" applyFont="1">
      <alignment horizontal="center" readingOrder="0"/>
    </xf>
    <xf borderId="0" fillId="5" fontId="4" numFmtId="0" xfId="0" applyAlignment="1" applyFill="1" applyFont="1">
      <alignment horizontal="center" readingOrder="0"/>
    </xf>
    <xf borderId="0" fillId="6" fontId="4" numFmtId="0" xfId="0" applyAlignment="1" applyFill="1" applyFont="1">
      <alignment horizontal="center" readingOrder="0"/>
    </xf>
    <xf borderId="0" fillId="7" fontId="4" numFmtId="0" xfId="0" applyAlignment="1" applyFill="1" applyFont="1">
      <alignment horizontal="center" readingOrder="0"/>
    </xf>
    <xf borderId="0" fillId="2" fontId="4" numFmtId="0" xfId="0" applyAlignment="1" applyFont="1">
      <alignment horizontal="center" readingOrder="0"/>
    </xf>
    <xf borderId="0" fillId="8" fontId="4" numFmtId="0" xfId="0" applyAlignment="1" applyFill="1" applyFont="1">
      <alignment horizontal="center" readingOrder="0"/>
    </xf>
    <xf borderId="0" fillId="9" fontId="5" numFmtId="0" xfId="0" applyAlignment="1" applyFill="1" applyFont="1">
      <alignment horizontal="center" readingOrder="0"/>
    </xf>
    <xf borderId="0" fillId="9" fontId="6" numFmtId="0" xfId="0" applyAlignment="1" applyFont="1">
      <alignment horizontal="left" readingOrder="0"/>
    </xf>
    <xf borderId="0" fillId="10" fontId="6" numFmtId="0" xfId="0" applyAlignment="1" applyFill="1" applyFont="1">
      <alignment horizontal="left" readingOrder="0"/>
    </xf>
    <xf borderId="0" fillId="11" fontId="6" numFmtId="0" xfId="0" applyAlignment="1" applyFill="1" applyFont="1">
      <alignment horizontal="left" readingOrder="0"/>
    </xf>
    <xf borderId="0" fillId="12" fontId="6" numFmtId="0" xfId="0" applyAlignment="1" applyFill="1" applyFont="1">
      <alignment horizontal="left" readingOrder="0"/>
    </xf>
    <xf borderId="0" fillId="13" fontId="6" numFmtId="0" xfId="0" applyAlignment="1" applyFill="1" applyFont="1">
      <alignment horizontal="left" readingOrder="0"/>
    </xf>
    <xf borderId="0" fillId="14" fontId="5" numFmtId="0" xfId="0" applyAlignment="1" applyFill="1" applyFont="1">
      <alignment horizontal="center" readingOrder="0"/>
    </xf>
    <xf borderId="0" fillId="14" fontId="6" numFmtId="0" xfId="0" applyAlignment="1" applyFont="1">
      <alignment horizontal="left" readingOrder="0"/>
    </xf>
    <xf borderId="0" fillId="0" fontId="7" numFmtId="0" xfId="0" applyAlignment="1" applyFont="1">
      <alignment shrinkToFit="0" vertical="bottom" wrapText="0"/>
    </xf>
    <xf borderId="0" fillId="14" fontId="6" numFmtId="0" xfId="0" applyAlignment="1" applyFont="1">
      <alignment horizontal="left"/>
    </xf>
    <xf borderId="0" fillId="14" fontId="7" numFmtId="0" xfId="0" applyAlignment="1" applyFont="1">
      <alignment shrinkToFit="0" vertical="bottom" wrapText="0"/>
    </xf>
    <xf borderId="3" fillId="14" fontId="5" numFmtId="0" xfId="0" applyAlignment="1" applyBorder="1" applyFont="1">
      <alignment horizontal="center" readingOrder="0"/>
    </xf>
    <xf borderId="3" fillId="0" fontId="7" numFmtId="0" xfId="0" applyAlignment="1" applyBorder="1" applyFont="1">
      <alignment horizontal="left" readingOrder="0" shrinkToFit="0" vertical="bottom" wrapText="0"/>
    </xf>
    <xf borderId="3" fillId="0" fontId="7" numFmtId="0" xfId="0" applyAlignment="1" applyBorder="1" applyFont="1">
      <alignment readingOrder="0" shrinkToFit="0" vertical="bottom" wrapText="0"/>
    </xf>
    <xf borderId="0" fillId="0" fontId="7" numFmtId="0" xfId="0" applyAlignment="1" applyFont="1">
      <alignment readingOrder="0" shrinkToFit="0" vertical="bottom" wrapText="0"/>
    </xf>
    <xf borderId="0" fillId="0" fontId="7" numFmtId="0" xfId="0" applyAlignment="1" applyFont="1">
      <alignment horizontal="left" readingOrder="0" shrinkToFit="0" vertical="bottom" wrapText="0"/>
    </xf>
    <xf borderId="1" fillId="4" fontId="8" numFmtId="0" xfId="0" applyAlignment="1" applyBorder="1" applyFont="1">
      <alignment horizontal="center" readingOrder="0" shrinkToFit="0" wrapText="0"/>
    </xf>
    <xf borderId="1" fillId="3" fontId="9" numFmtId="0" xfId="0" applyAlignment="1" applyBorder="1" applyFont="1">
      <alignment horizontal="left" readingOrder="0" shrinkToFit="0" wrapText="0"/>
    </xf>
    <xf borderId="0" fillId="9" fontId="10" numFmtId="0" xfId="0" applyAlignment="1" applyFont="1">
      <alignment horizontal="center" readingOrder="0"/>
    </xf>
    <xf borderId="0" fillId="10" fontId="6" numFmtId="0" xfId="0" applyAlignment="1" applyFont="1">
      <alignment horizontal="left" readingOrder="0" vertical="bottom"/>
    </xf>
    <xf borderId="0" fillId="10" fontId="6" numFmtId="0" xfId="0" applyAlignment="1" applyFont="1">
      <alignment horizontal="center" readingOrder="0" vertical="bottom"/>
    </xf>
    <xf borderId="0" fillId="10" fontId="7" numFmtId="0" xfId="0" applyAlignment="1" applyFont="1">
      <alignment vertical="bottom"/>
    </xf>
    <xf borderId="4" fillId="14" fontId="11" numFmtId="0" xfId="0" applyBorder="1" applyFont="1"/>
    <xf borderId="0" fillId="3" fontId="10" numFmtId="0" xfId="0" applyAlignment="1" applyFont="1">
      <alignment horizontal="center" readingOrder="0"/>
    </xf>
    <xf borderId="0" fillId="14" fontId="6" numFmtId="0" xfId="0" applyAlignment="1" applyFont="1">
      <alignment horizontal="left" readingOrder="0" vertical="bottom"/>
    </xf>
    <xf borderId="0" fillId="14" fontId="6" numFmtId="0" xfId="0" applyAlignment="1" applyFont="1">
      <alignment horizontal="center" readingOrder="0" vertical="bottom"/>
    </xf>
    <xf borderId="0" fillId="14" fontId="7" numFmtId="0" xfId="0" applyAlignment="1" applyFont="1">
      <alignment vertical="bottom"/>
    </xf>
    <xf borderId="0" fillId="10" fontId="7" numFmtId="0" xfId="0" applyAlignment="1" applyFont="1">
      <alignment horizontal="left" readingOrder="0" vertical="bottom"/>
    </xf>
    <xf borderId="0" fillId="14" fontId="7" numFmtId="0" xfId="0" applyAlignment="1" applyFont="1">
      <alignment horizontal="left" readingOrder="0" vertical="bottom"/>
    </xf>
    <xf borderId="0" fillId="14" fontId="7" numFmtId="164" xfId="0" applyAlignment="1" applyFont="1" applyNumberFormat="1">
      <alignment horizontal="right" readingOrder="0" vertical="bottom"/>
    </xf>
    <xf borderId="0" fillId="14" fontId="7" numFmtId="165" xfId="0" applyAlignment="1" applyFont="1" applyNumberFormat="1">
      <alignment horizontal="right" readingOrder="0" vertical="bottom"/>
    </xf>
    <xf borderId="0" fillId="14" fontId="6" numFmtId="0" xfId="0" applyAlignment="1" applyFont="1">
      <alignment horizontal="center" readingOrder="0"/>
    </xf>
    <xf borderId="0" fillId="14" fontId="7" numFmtId="0" xfId="0" applyFont="1"/>
    <xf borderId="0" fillId="10" fontId="6" numFmtId="0" xfId="0" applyAlignment="1" applyFont="1">
      <alignment horizontal="center" readingOrder="0"/>
    </xf>
    <xf borderId="0" fillId="10" fontId="7" numFmtId="0" xfId="0" applyFont="1"/>
    <xf borderId="0" fillId="10" fontId="6" numFmtId="15" xfId="0" applyAlignment="1" applyFont="1" applyNumberFormat="1">
      <alignment horizontal="center" readingOrder="0"/>
    </xf>
    <xf borderId="0" fillId="14" fontId="6" numFmtId="15" xfId="0" applyAlignment="1" applyFont="1" applyNumberFormat="1">
      <alignment horizontal="center" readingOrder="0"/>
    </xf>
    <xf borderId="0" fillId="14" fontId="6" numFmtId="166" xfId="0" applyAlignment="1" applyFont="1" applyNumberFormat="1">
      <alignment horizontal="center" readingOrder="0"/>
    </xf>
    <xf borderId="0" fillId="14" fontId="6" numFmtId="166" xfId="0" applyAlignment="1" applyFont="1" applyNumberFormat="1">
      <alignment horizontal="center"/>
    </xf>
    <xf borderId="0" fillId="10" fontId="6" numFmtId="166" xfId="0" applyAlignment="1" applyFont="1" applyNumberFormat="1">
      <alignment horizontal="center" readingOrder="0"/>
    </xf>
    <xf borderId="0" fillId="10" fontId="6" numFmtId="166" xfId="0" applyAlignment="1" applyFont="1" applyNumberFormat="1">
      <alignment horizontal="center"/>
    </xf>
    <xf borderId="0" fillId="10" fontId="6" numFmtId="0" xfId="0" applyAlignment="1" applyFont="1">
      <alignment horizontal="left"/>
    </xf>
    <xf borderId="0" fillId="14" fontId="6" numFmtId="0" xfId="0" applyAlignment="1" applyFont="1">
      <alignment horizontal="left"/>
    </xf>
    <xf borderId="0" fillId="0" fontId="6" numFmtId="166" xfId="0" applyAlignment="1" applyFont="1" applyNumberFormat="1">
      <alignment horizontal="center" readingOrder="0"/>
    </xf>
    <xf borderId="0" fillId="9" fontId="10" numFmtId="0" xfId="0" applyAlignment="1" applyFont="1">
      <alignment horizontal="center"/>
    </xf>
    <xf borderId="0" fillId="3" fontId="10" numFmtId="0" xfId="0" applyAlignment="1" applyFont="1">
      <alignment horizontal="center"/>
    </xf>
    <xf borderId="0" fillId="10" fontId="6" numFmtId="0" xfId="0" applyAlignment="1" applyFont="1">
      <alignment horizontal="center"/>
    </xf>
    <xf borderId="0" fillId="14" fontId="6" numFmtId="0" xfId="0" applyAlignment="1" applyFont="1">
      <alignment horizontal="center"/>
    </xf>
    <xf borderId="0" fillId="0" fontId="12" numFmtId="0" xfId="0" applyFont="1"/>
    <xf borderId="1" fillId="5" fontId="8" numFmtId="0" xfId="0" applyAlignment="1" applyBorder="1" applyFont="1">
      <alignment horizontal="center" readingOrder="0" shrinkToFit="0" wrapText="0"/>
    </xf>
    <xf borderId="0" fillId="15" fontId="10" numFmtId="0" xfId="0" applyAlignment="1" applyFill="1" applyFont="1">
      <alignment horizontal="center" readingOrder="0"/>
    </xf>
    <xf borderId="0" fillId="9" fontId="10" numFmtId="0" xfId="0" applyAlignment="1" applyFont="1">
      <alignment horizontal="center" readingOrder="0" shrinkToFit="0" wrapText="0"/>
    </xf>
    <xf borderId="0" fillId="9" fontId="6" numFmtId="0" xfId="0" applyAlignment="1" applyFont="1">
      <alignment horizontal="center" readingOrder="0"/>
    </xf>
    <xf borderId="0" fillId="9" fontId="6" numFmtId="166" xfId="0" applyAlignment="1" applyFont="1" applyNumberFormat="1">
      <alignment horizontal="center" readingOrder="0"/>
    </xf>
    <xf borderId="0" fillId="9" fontId="6" numFmtId="166" xfId="0" applyAlignment="1" applyFont="1" applyNumberFormat="1">
      <alignment horizontal="center"/>
    </xf>
    <xf borderId="0" fillId="9" fontId="6" numFmtId="0" xfId="0" applyAlignment="1" applyFont="1">
      <alignment horizontal="left"/>
    </xf>
    <xf borderId="0" fillId="9" fontId="6" numFmtId="0" xfId="0" applyAlignment="1" applyFont="1">
      <alignment horizontal="center"/>
    </xf>
    <xf borderId="0" fillId="15" fontId="10" numFmtId="0" xfId="0" applyAlignment="1" applyFont="1">
      <alignment horizontal="center"/>
    </xf>
    <xf borderId="0" fillId="10" fontId="6" numFmtId="0" xfId="0" applyAlignment="1" applyFont="1">
      <alignment horizontal="left"/>
    </xf>
    <xf borderId="0" fillId="3" fontId="10" numFmtId="0" xfId="0" applyAlignment="1" applyFont="1">
      <alignment horizontal="center" readingOrder="0" shrinkToFit="0" wrapText="0"/>
    </xf>
    <xf borderId="0" fillId="16" fontId="6" numFmtId="166" xfId="0" applyAlignment="1" applyFill="1" applyFont="1" applyNumberFormat="1">
      <alignment horizontal="center" readingOrder="0"/>
    </xf>
    <xf borderId="0" fillId="10" fontId="10" numFmtId="0" xfId="0" applyAlignment="1" applyFont="1">
      <alignment horizontal="center" readingOrder="0" shrinkToFit="0" wrapText="0"/>
    </xf>
    <xf borderId="0" fillId="0" fontId="13" numFmtId="0" xfId="0" applyAlignment="1" applyFont="1">
      <alignment horizontal="left" readingOrder="0" shrinkToFit="0" wrapText="0"/>
    </xf>
    <xf borderId="0" fillId="10" fontId="10" numFmtId="0" xfId="0" applyAlignment="1" applyFont="1">
      <alignment horizontal="center" readingOrder="0"/>
    </xf>
    <xf borderId="0" fillId="0" fontId="10" numFmtId="0" xfId="0" applyAlignment="1" applyFont="1">
      <alignment horizontal="center" readingOrder="0"/>
    </xf>
    <xf borderId="0" fillId="14" fontId="14" numFmtId="0" xfId="0" applyAlignment="1" applyFont="1">
      <alignment horizontal="left" readingOrder="0"/>
    </xf>
    <xf borderId="0" fillId="0" fontId="10" numFmtId="0" xfId="0" applyAlignment="1" applyFont="1">
      <alignment horizontal="center" shrinkToFit="0" vertical="center" wrapText="1"/>
    </xf>
    <xf borderId="0" fillId="14" fontId="6" numFmtId="0" xfId="0" applyAlignment="1" applyFont="1">
      <alignment horizontal="left" readingOrder="0" shrinkToFit="0" vertical="center" wrapText="1"/>
    </xf>
    <xf borderId="5" fillId="3" fontId="10" numFmtId="0" xfId="0" applyAlignment="1" applyBorder="1" applyFont="1">
      <alignment horizontal="center" shrinkToFit="0" vertical="center" wrapText="1"/>
    </xf>
    <xf borderId="0" fillId="9" fontId="6" numFmtId="0" xfId="0" applyAlignment="1" applyFont="1">
      <alignment horizontal="left" readingOrder="0" shrinkToFit="0" vertical="center" wrapText="1"/>
    </xf>
    <xf borderId="0" fillId="10" fontId="10" numFmtId="0" xfId="0" applyAlignment="1" applyFont="1">
      <alignment horizontal="center" shrinkToFit="0" vertical="center" wrapText="1"/>
    </xf>
    <xf borderId="0" fillId="10" fontId="15" numFmtId="0" xfId="0" applyAlignment="1" applyFont="1">
      <alignment horizontal="center" readingOrder="0"/>
    </xf>
    <xf borderId="0" fillId="0" fontId="15" numFmtId="0" xfId="0" applyAlignment="1" applyFont="1">
      <alignment horizontal="center" readingOrder="0"/>
    </xf>
    <xf borderId="5" fillId="9" fontId="10" numFmtId="0" xfId="0" applyAlignment="1" applyBorder="1" applyFont="1">
      <alignment horizontal="center" shrinkToFit="0" vertical="center" wrapText="1"/>
    </xf>
    <xf borderId="5" fillId="10" fontId="6" numFmtId="0" xfId="0" applyAlignment="1" applyBorder="1" applyFont="1">
      <alignment horizontal="left" readingOrder="0" shrinkToFit="0" vertical="center" wrapText="1"/>
    </xf>
    <xf borderId="5" fillId="3" fontId="10" numFmtId="0" xfId="0" applyAlignment="1" applyBorder="1" applyFont="1">
      <alignment horizontal="center" shrinkToFit="0" wrapText="1"/>
    </xf>
    <xf borderId="5" fillId="14" fontId="6" numFmtId="0" xfId="0" applyAlignment="1" applyBorder="1" applyFont="1">
      <alignment shrinkToFit="0" wrapText="1"/>
    </xf>
    <xf borderId="0" fillId="9" fontId="6" numFmtId="164" xfId="0" applyAlignment="1" applyFont="1" applyNumberFormat="1">
      <alignment horizontal="center" readingOrder="0"/>
    </xf>
    <xf borderId="5" fillId="10" fontId="6" numFmtId="0" xfId="0" applyAlignment="1" applyBorder="1" applyFont="1">
      <alignment shrinkToFit="0" wrapText="1"/>
    </xf>
    <xf borderId="5" fillId="14" fontId="6" numFmtId="0" xfId="0" applyAlignment="1" applyBorder="1" applyFont="1">
      <alignment horizontal="left" readingOrder="0" shrinkToFit="0" vertical="center" wrapText="1"/>
    </xf>
    <xf borderId="0" fillId="10" fontId="10" numFmtId="0" xfId="0" applyAlignment="1" applyFont="1">
      <alignment horizontal="center" readingOrder="0" vertical="center"/>
    </xf>
    <xf borderId="5" fillId="9" fontId="10" numFmtId="0" xfId="0" applyAlignment="1" applyBorder="1" applyFont="1">
      <alignment horizontal="center" shrinkToFit="0" wrapText="1"/>
    </xf>
    <xf borderId="5" fillId="10" fontId="6" numFmtId="167" xfId="0" applyAlignment="1" applyBorder="1" applyFont="1" applyNumberFormat="1">
      <alignment horizontal="center" shrinkToFit="0" wrapText="1"/>
    </xf>
    <xf borderId="5" fillId="10" fontId="6" numFmtId="167" xfId="0" applyAlignment="1" applyBorder="1" applyFont="1" applyNumberFormat="1">
      <alignment horizontal="center" readingOrder="0" shrinkToFit="0" wrapText="1"/>
    </xf>
    <xf borderId="5" fillId="14" fontId="6" numFmtId="167" xfId="0" applyAlignment="1" applyBorder="1" applyFont="1" applyNumberFormat="1">
      <alignment horizontal="center" shrinkToFit="0" wrapText="1"/>
    </xf>
    <xf borderId="5" fillId="14" fontId="6" numFmtId="167" xfId="0" applyAlignment="1" applyBorder="1" applyFont="1" applyNumberFormat="1">
      <alignment horizontal="center" readingOrder="0" shrinkToFit="0" wrapText="1"/>
    </xf>
    <xf borderId="5" fillId="9" fontId="10" numFmtId="0" xfId="0" applyAlignment="1" applyBorder="1" applyFont="1">
      <alignment horizontal="center" readingOrder="0" shrinkToFit="0" wrapText="1"/>
    </xf>
    <xf borderId="5" fillId="3" fontId="10" numFmtId="0" xfId="0" applyAlignment="1" applyBorder="1" applyFont="1">
      <alignment horizontal="center" readingOrder="0" shrinkToFit="0" wrapText="1"/>
    </xf>
    <xf borderId="5" fillId="10" fontId="6" numFmtId="0" xfId="0" applyAlignment="1" applyBorder="1" applyFont="1">
      <alignment readingOrder="0" shrinkToFit="0" wrapText="1"/>
    </xf>
    <xf borderId="6" fillId="4" fontId="16" numFmtId="0" xfId="0" applyAlignment="1" applyBorder="1" applyFont="1">
      <alignment horizontal="center" vertical="center"/>
    </xf>
    <xf borderId="7" fillId="0" fontId="2" numFmtId="0" xfId="0" applyBorder="1" applyFont="1"/>
    <xf borderId="8" fillId="0" fontId="2" numFmtId="0" xfId="0" applyBorder="1" applyFont="1"/>
    <xf borderId="9" fillId="2" fontId="17" numFmtId="0" xfId="0" applyAlignment="1" applyBorder="1" applyFont="1">
      <alignment horizontal="center" vertical="center"/>
    </xf>
    <xf borderId="10" fillId="0" fontId="2" numFmtId="0" xfId="0" applyBorder="1" applyFont="1"/>
    <xf borderId="11" fillId="0" fontId="2" numFmtId="0" xfId="0" applyBorder="1" applyFont="1"/>
    <xf borderId="5" fillId="4" fontId="18" numFmtId="0" xfId="0" applyAlignment="1" applyBorder="1" applyFont="1">
      <alignment horizontal="center" shrinkToFit="0" vertical="center" wrapText="1"/>
    </xf>
    <xf borderId="5" fillId="6" fontId="18" numFmtId="0" xfId="0" applyAlignment="1" applyBorder="1" applyFont="1">
      <alignment horizontal="center" shrinkToFit="0" vertical="center" wrapText="1"/>
    </xf>
    <xf borderId="5" fillId="7" fontId="18" numFmtId="0" xfId="0" applyAlignment="1" applyBorder="1" applyFont="1">
      <alignment horizontal="center" shrinkToFit="0" vertical="center" wrapText="1"/>
    </xf>
    <xf borderId="5" fillId="5" fontId="18" numFmtId="0" xfId="0" applyAlignment="1" applyBorder="1" applyFont="1">
      <alignment horizontal="center" shrinkToFit="0" vertical="center" wrapText="1"/>
    </xf>
    <xf borderId="5" fillId="8" fontId="18" numFmtId="0" xfId="0" applyAlignment="1" applyBorder="1" applyFont="1">
      <alignment horizontal="center" shrinkToFit="0" vertical="center" wrapText="1"/>
    </xf>
    <xf borderId="5" fillId="14" fontId="19" numFmtId="0" xfId="0" applyAlignment="1" applyBorder="1" applyFont="1">
      <alignment horizontal="center" vertical="center"/>
    </xf>
    <xf borderId="5" fillId="14" fontId="20" numFmtId="0" xfId="0" applyAlignment="1" applyBorder="1" applyFont="1">
      <alignment horizontal="center" vertical="center"/>
    </xf>
    <xf borderId="5" fillId="14" fontId="21" numFmtId="0" xfId="0" applyAlignment="1" applyBorder="1" applyFont="1">
      <alignment horizontal="center" vertical="center"/>
    </xf>
    <xf borderId="5" fillId="14" fontId="22" numFmtId="0" xfId="0" applyAlignment="1" applyBorder="1" applyFont="1">
      <alignment horizontal="center" vertical="center"/>
    </xf>
    <xf borderId="5" fillId="14" fontId="23" numFmtId="0" xfId="0" applyAlignment="1" applyBorder="1" applyFont="1">
      <alignment horizontal="center" vertical="center"/>
    </xf>
    <xf borderId="6" fillId="2" fontId="17" numFmtId="0" xfId="0" applyAlignment="1" applyBorder="1" applyFont="1">
      <alignment horizontal="center" vertical="center"/>
    </xf>
    <xf borderId="5" fillId="5" fontId="4" numFmtId="0" xfId="0" applyAlignment="1" applyBorder="1" applyFont="1">
      <alignment horizontal="center" shrinkToFit="0" vertical="center" wrapText="1"/>
    </xf>
    <xf borderId="5" fillId="4" fontId="4" numFmtId="0" xfId="0" applyAlignment="1" applyBorder="1" applyFont="1">
      <alignment horizontal="center" shrinkToFit="0" vertical="center" wrapText="1"/>
    </xf>
    <xf borderId="5" fillId="14" fontId="6" numFmtId="0" xfId="0" applyAlignment="1" applyBorder="1" applyFont="1">
      <alignment horizontal="left" shrinkToFit="0" vertical="center" wrapText="1"/>
    </xf>
    <xf borderId="5" fillId="14" fontId="6" numFmtId="0" xfId="0" applyAlignment="1" applyBorder="1" applyFont="1">
      <alignment horizontal="center" shrinkToFit="0" vertical="center" wrapText="1"/>
    </xf>
    <xf borderId="5" fillId="14" fontId="6" numFmtId="9" xfId="0" applyAlignment="1" applyBorder="1" applyFont="1" applyNumberFormat="1">
      <alignment horizontal="center" shrinkToFit="0" vertical="center" wrapText="1"/>
    </xf>
    <xf borderId="5" fillId="9" fontId="6" numFmtId="0" xfId="0" applyAlignment="1" applyBorder="1" applyFont="1">
      <alignment horizontal="left" shrinkToFit="0" vertical="center" wrapText="1"/>
    </xf>
    <xf borderId="5" fillId="9" fontId="6" numFmtId="0" xfId="0" applyAlignment="1" applyBorder="1" applyFont="1">
      <alignment horizontal="center" shrinkToFit="0" vertical="center" wrapText="1"/>
    </xf>
    <xf borderId="5" fillId="9" fontId="6" numFmtId="9" xfId="0" applyAlignment="1" applyBorder="1" applyFont="1" applyNumberFormat="1">
      <alignment horizontal="center" shrinkToFit="0" vertical="center" wrapText="1"/>
    </xf>
    <xf borderId="5" fillId="10" fontId="6" numFmtId="0" xfId="0" applyAlignment="1" applyBorder="1" applyFont="1">
      <alignment horizontal="left" shrinkToFit="0" vertical="center" wrapText="1"/>
    </xf>
    <xf borderId="5" fillId="10" fontId="6" numFmtId="0" xfId="0" applyAlignment="1" applyBorder="1" applyFont="1">
      <alignment horizontal="center" shrinkToFit="0" vertical="center" wrapText="1"/>
    </xf>
    <xf borderId="12" fillId="3" fontId="9" numFmtId="0" xfId="0" applyAlignment="1" applyBorder="1" applyFont="1">
      <alignment horizontal="left" vertical="center"/>
    </xf>
    <xf borderId="13" fillId="0" fontId="2" numFmtId="0" xfId="0" applyBorder="1" applyFont="1"/>
    <xf borderId="14" fillId="0" fontId="2" numFmtId="0" xfId="0" applyBorder="1" applyFont="1"/>
    <xf borderId="3" fillId="4" fontId="4" numFmtId="0" xfId="0" applyAlignment="1" applyBorder="1" applyFont="1">
      <alignment horizontal="center" shrinkToFit="0" vertical="center" wrapText="1"/>
    </xf>
    <xf borderId="3" fillId="9" fontId="6" numFmtId="0" xfId="0" applyAlignment="1" applyBorder="1" applyFont="1">
      <alignment horizontal="left" shrinkToFit="0" vertical="center" wrapText="1"/>
    </xf>
    <xf borderId="3" fillId="14" fontId="6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08080"/>
    <pageSetUpPr/>
  </sheetPr>
  <sheetViews>
    <sheetView showGridLines="0" workbookViewId="0"/>
  </sheetViews>
  <sheetFormatPr customHeight="1" defaultColWidth="14.43" defaultRowHeight="15.0"/>
  <cols>
    <col customWidth="1" min="1" max="1" width="12.0"/>
    <col customWidth="1" min="2" max="3" width="26.0"/>
    <col customWidth="1" min="4" max="4" width="20.0"/>
    <col customWidth="1" min="5" max="5" width="16.0"/>
    <col customWidth="1" min="6" max="6" width="14.0"/>
    <col customWidth="1" min="7" max="7" width="26.0"/>
    <col customWidth="1" min="8" max="8" width="20.0"/>
    <col customWidth="1" min="9" max="9" width="16.0"/>
    <col customWidth="1" min="10" max="26" width="8.71"/>
  </cols>
  <sheetData>
    <row r="1" ht="31.5" customHeight="1">
      <c r="A1" s="1" t="s">
        <v>0</v>
      </c>
      <c r="B1" s="2"/>
      <c r="C1" s="2"/>
      <c r="D1" s="2"/>
      <c r="E1" s="2"/>
      <c r="F1" s="2"/>
      <c r="G1" s="2"/>
      <c r="H1" s="2"/>
      <c r="I1" s="3"/>
    </row>
    <row r="2" ht="18.0" customHeight="1">
      <c r="A2" s="4" t="s">
        <v>1</v>
      </c>
      <c r="B2" s="2"/>
      <c r="C2" s="2"/>
      <c r="D2" s="2"/>
      <c r="E2" s="2"/>
      <c r="F2" s="2"/>
      <c r="G2" s="2"/>
      <c r="H2" s="2"/>
      <c r="I2" s="3"/>
    </row>
    <row r="3" ht="24.0" customHeight="1">
      <c r="A3" s="5" t="s">
        <v>2</v>
      </c>
      <c r="B3" s="6" t="s">
        <v>3</v>
      </c>
      <c r="C3" s="7" t="s">
        <v>4</v>
      </c>
      <c r="D3" s="8" t="s">
        <v>5</v>
      </c>
      <c r="E3" s="9" t="s">
        <v>6</v>
      </c>
      <c r="F3" s="10" t="s">
        <v>7</v>
      </c>
      <c r="G3" s="7" t="s">
        <v>8</v>
      </c>
      <c r="H3" s="8" t="s">
        <v>9</v>
      </c>
      <c r="I3" s="6" t="s">
        <v>10</v>
      </c>
    </row>
    <row r="4" ht="14.25" customHeight="1">
      <c r="A4" s="11" t="s">
        <v>11</v>
      </c>
      <c r="B4" s="12" t="s">
        <v>12</v>
      </c>
      <c r="C4" s="13" t="s">
        <v>13</v>
      </c>
      <c r="D4" s="14" t="s">
        <v>14</v>
      </c>
      <c r="E4" s="15" t="s">
        <v>15</v>
      </c>
      <c r="F4" s="16" t="s">
        <v>16</v>
      </c>
      <c r="G4" s="13" t="s">
        <v>17</v>
      </c>
      <c r="H4" s="14" t="s">
        <v>18</v>
      </c>
      <c r="I4" s="12" t="s">
        <v>19</v>
      </c>
    </row>
    <row r="5" ht="14.25" customHeight="1">
      <c r="A5" s="17" t="s">
        <v>20</v>
      </c>
      <c r="B5" s="18" t="s">
        <v>21</v>
      </c>
      <c r="C5" s="18" t="s">
        <v>22</v>
      </c>
      <c r="D5" s="18" t="s">
        <v>23</v>
      </c>
      <c r="E5" s="18" t="s">
        <v>24</v>
      </c>
      <c r="F5" s="18" t="s">
        <v>25</v>
      </c>
      <c r="G5" s="18" t="s">
        <v>26</v>
      </c>
      <c r="H5" s="18" t="s">
        <v>27</v>
      </c>
      <c r="I5" s="18" t="s">
        <v>28</v>
      </c>
    </row>
    <row r="6" ht="14.25" customHeight="1">
      <c r="A6" s="11" t="s">
        <v>29</v>
      </c>
      <c r="B6" s="12" t="s">
        <v>30</v>
      </c>
      <c r="C6" s="13" t="s">
        <v>31</v>
      </c>
      <c r="D6" s="14" t="s">
        <v>32</v>
      </c>
      <c r="E6" s="15" t="s">
        <v>33</v>
      </c>
      <c r="F6" s="16" t="s">
        <v>34</v>
      </c>
      <c r="G6" s="13" t="s">
        <v>35</v>
      </c>
      <c r="H6" s="14" t="s">
        <v>36</v>
      </c>
      <c r="I6" s="12" t="s">
        <v>37</v>
      </c>
    </row>
    <row r="7" ht="14.25" customHeight="1">
      <c r="A7" s="17" t="s">
        <v>38</v>
      </c>
      <c r="B7" s="18" t="s">
        <v>39</v>
      </c>
      <c r="C7" s="18" t="s">
        <v>40</v>
      </c>
      <c r="D7" s="18" t="s">
        <v>41</v>
      </c>
      <c r="E7" s="18" t="s">
        <v>42</v>
      </c>
      <c r="F7" s="18" t="s">
        <v>43</v>
      </c>
      <c r="G7" s="18" t="s">
        <v>44</v>
      </c>
      <c r="H7" s="18" t="s">
        <v>45</v>
      </c>
      <c r="I7" s="18" t="s">
        <v>46</v>
      </c>
    </row>
    <row r="8" ht="14.25" customHeight="1">
      <c r="A8" s="11" t="s">
        <v>47</v>
      </c>
      <c r="B8" s="12" t="s">
        <v>48</v>
      </c>
      <c r="C8" s="13" t="s">
        <v>49</v>
      </c>
      <c r="D8" s="14" t="s">
        <v>50</v>
      </c>
      <c r="E8" s="15" t="s">
        <v>51</v>
      </c>
      <c r="F8" s="16" t="s">
        <v>52</v>
      </c>
      <c r="G8" s="13" t="s">
        <v>53</v>
      </c>
      <c r="H8" s="19"/>
      <c r="I8" s="12" t="s">
        <v>54</v>
      </c>
    </row>
    <row r="9" ht="14.25" customHeight="1">
      <c r="A9" s="17" t="s">
        <v>55</v>
      </c>
      <c r="B9" s="18" t="s">
        <v>56</v>
      </c>
      <c r="C9" s="18" t="s">
        <v>57</v>
      </c>
      <c r="D9" s="18" t="s">
        <v>58</v>
      </c>
      <c r="E9" s="18" t="s">
        <v>59</v>
      </c>
      <c r="F9" s="19"/>
      <c r="G9" s="18" t="s">
        <v>60</v>
      </c>
      <c r="H9" s="19"/>
      <c r="I9" s="20"/>
    </row>
    <row r="10" ht="14.25" customHeight="1">
      <c r="A10" s="11" t="s">
        <v>61</v>
      </c>
      <c r="B10" s="12" t="s">
        <v>62</v>
      </c>
      <c r="C10" s="13" t="s">
        <v>63</v>
      </c>
      <c r="D10" s="14" t="s">
        <v>64</v>
      </c>
      <c r="E10" s="15" t="s">
        <v>65</v>
      </c>
      <c r="F10" s="19"/>
      <c r="G10" s="13" t="s">
        <v>66</v>
      </c>
      <c r="H10" s="19"/>
      <c r="I10" s="20"/>
    </row>
    <row r="11" ht="14.25" customHeight="1">
      <c r="A11" s="17" t="s">
        <v>67</v>
      </c>
      <c r="B11" s="18" t="s">
        <v>68</v>
      </c>
      <c r="C11" s="18" t="s">
        <v>69</v>
      </c>
      <c r="D11" s="18" t="s">
        <v>70</v>
      </c>
      <c r="E11" s="18" t="s">
        <v>71</v>
      </c>
      <c r="F11" s="19"/>
      <c r="G11" s="18" t="s">
        <v>72</v>
      </c>
      <c r="H11" s="19"/>
      <c r="I11" s="20"/>
    </row>
    <row r="12" ht="14.25" customHeight="1">
      <c r="A12" s="11" t="s">
        <v>73</v>
      </c>
      <c r="B12" s="12" t="s">
        <v>74</v>
      </c>
      <c r="C12" s="13" t="s">
        <v>75</v>
      </c>
      <c r="D12" s="14" t="s">
        <v>76</v>
      </c>
      <c r="E12" s="15" t="s">
        <v>77</v>
      </c>
      <c r="F12" s="19"/>
      <c r="G12" s="13" t="s">
        <v>78</v>
      </c>
      <c r="H12" s="19"/>
      <c r="I12" s="20"/>
    </row>
    <row r="13" ht="14.25" customHeight="1">
      <c r="A13" s="17" t="s">
        <v>79</v>
      </c>
      <c r="B13" s="18" t="s">
        <v>80</v>
      </c>
      <c r="C13" s="18" t="s">
        <v>81</v>
      </c>
      <c r="D13" s="18" t="s">
        <v>82</v>
      </c>
      <c r="E13" s="18" t="s">
        <v>83</v>
      </c>
      <c r="F13" s="19"/>
      <c r="G13" s="18" t="s">
        <v>84</v>
      </c>
      <c r="H13" s="19"/>
      <c r="I13" s="20"/>
    </row>
    <row r="14" ht="14.25" customHeight="1">
      <c r="A14" s="11" t="s">
        <v>85</v>
      </c>
      <c r="B14" s="12" t="s">
        <v>86</v>
      </c>
      <c r="C14" s="13" t="s">
        <v>87</v>
      </c>
      <c r="D14" s="14" t="s">
        <v>88</v>
      </c>
      <c r="E14" s="15" t="s">
        <v>89</v>
      </c>
      <c r="F14" s="19"/>
      <c r="G14" s="20"/>
      <c r="H14" s="19"/>
      <c r="I14" s="19"/>
    </row>
    <row r="15" ht="14.25" customHeight="1">
      <c r="A15" s="17" t="s">
        <v>90</v>
      </c>
      <c r="B15" s="18" t="s">
        <v>91</v>
      </c>
      <c r="C15" s="18" t="s">
        <v>92</v>
      </c>
      <c r="D15" s="18" t="s">
        <v>93</v>
      </c>
      <c r="E15" s="19"/>
      <c r="F15" s="19"/>
      <c r="G15" s="20"/>
      <c r="H15" s="19"/>
      <c r="I15" s="19"/>
    </row>
    <row r="16" ht="14.25" customHeight="1">
      <c r="A16" s="11" t="s">
        <v>94</v>
      </c>
      <c r="B16" s="12" t="s">
        <v>95</v>
      </c>
      <c r="C16" s="13" t="s">
        <v>96</v>
      </c>
      <c r="D16" s="14" t="s">
        <v>89</v>
      </c>
      <c r="E16" s="19"/>
      <c r="F16" s="19"/>
      <c r="G16" s="20"/>
      <c r="H16" s="19"/>
      <c r="I16" s="19"/>
    </row>
    <row r="17" ht="14.25" customHeight="1">
      <c r="A17" s="17" t="s">
        <v>97</v>
      </c>
      <c r="B17" s="18" t="s">
        <v>98</v>
      </c>
      <c r="C17" s="18" t="s">
        <v>99</v>
      </c>
      <c r="D17" s="19"/>
      <c r="E17" s="19"/>
      <c r="F17" s="19"/>
      <c r="G17" s="20"/>
      <c r="H17" s="19"/>
      <c r="I17" s="19"/>
    </row>
    <row r="18" ht="14.25" customHeight="1">
      <c r="A18" s="11" t="s">
        <v>100</v>
      </c>
      <c r="B18" s="12" t="s">
        <v>101</v>
      </c>
      <c r="C18" s="13" t="s">
        <v>102</v>
      </c>
      <c r="D18" s="19"/>
      <c r="E18" s="19"/>
      <c r="F18" s="19"/>
      <c r="G18" s="20"/>
      <c r="H18" s="19"/>
      <c r="I18" s="19"/>
    </row>
    <row r="19" ht="14.25" customHeight="1">
      <c r="A19" s="17" t="s">
        <v>103</v>
      </c>
      <c r="B19" s="18" t="s">
        <v>104</v>
      </c>
      <c r="C19" s="18" t="s">
        <v>105</v>
      </c>
      <c r="D19" s="19"/>
      <c r="E19" s="19"/>
      <c r="F19" s="19"/>
      <c r="G19" s="20"/>
      <c r="H19" s="19"/>
      <c r="I19" s="19"/>
    </row>
    <row r="20" ht="14.25" customHeight="1">
      <c r="A20" s="11" t="s">
        <v>106</v>
      </c>
      <c r="B20" s="12" t="s">
        <v>107</v>
      </c>
      <c r="C20" s="13" t="s">
        <v>108</v>
      </c>
      <c r="D20" s="19"/>
      <c r="E20" s="19"/>
      <c r="F20" s="19"/>
      <c r="G20" s="20"/>
      <c r="H20" s="19"/>
      <c r="I20" s="19"/>
    </row>
    <row r="21" ht="14.25" customHeight="1">
      <c r="A21" s="17" t="s">
        <v>109</v>
      </c>
      <c r="B21" s="18" t="s">
        <v>110</v>
      </c>
      <c r="C21" s="18" t="s">
        <v>111</v>
      </c>
      <c r="D21" s="19"/>
      <c r="E21" s="19"/>
      <c r="F21" s="19"/>
      <c r="G21" s="20"/>
      <c r="H21" s="19"/>
      <c r="I21" s="19"/>
    </row>
    <row r="22" ht="14.25" customHeight="1">
      <c r="A22" s="11" t="s">
        <v>112</v>
      </c>
      <c r="B22" s="12" t="s">
        <v>113</v>
      </c>
      <c r="C22" s="13" t="s">
        <v>114</v>
      </c>
      <c r="D22" s="19"/>
      <c r="E22" s="19"/>
      <c r="F22" s="19"/>
      <c r="G22" s="20"/>
      <c r="H22" s="19"/>
      <c r="I22" s="19"/>
    </row>
    <row r="23" ht="14.25" customHeight="1">
      <c r="A23" s="17" t="s">
        <v>115</v>
      </c>
      <c r="B23" s="18" t="s">
        <v>116</v>
      </c>
      <c r="C23" s="18" t="s">
        <v>117</v>
      </c>
      <c r="D23" s="19"/>
      <c r="E23" s="19"/>
      <c r="F23" s="19"/>
      <c r="G23" s="20"/>
      <c r="H23" s="19"/>
      <c r="I23" s="19"/>
    </row>
    <row r="24" ht="14.25" customHeight="1">
      <c r="A24" s="11" t="s">
        <v>118</v>
      </c>
      <c r="B24" s="12" t="s">
        <v>119</v>
      </c>
      <c r="C24" s="13" t="s">
        <v>120</v>
      </c>
      <c r="D24" s="19"/>
      <c r="E24" s="19"/>
      <c r="F24" s="19"/>
      <c r="G24" s="21"/>
      <c r="H24" s="19"/>
      <c r="I24" s="19"/>
    </row>
    <row r="25" ht="14.25" customHeight="1">
      <c r="A25" s="17" t="s">
        <v>121</v>
      </c>
      <c r="B25" s="18" t="s">
        <v>122</v>
      </c>
      <c r="C25" s="18" t="s">
        <v>123</v>
      </c>
      <c r="D25" s="19"/>
      <c r="E25" s="19"/>
      <c r="F25" s="19"/>
      <c r="G25" s="19"/>
      <c r="H25" s="19"/>
      <c r="I25" s="19"/>
    </row>
    <row r="26" ht="14.25" customHeight="1">
      <c r="A26" s="11" t="s">
        <v>124</v>
      </c>
      <c r="B26" s="12" t="s">
        <v>125</v>
      </c>
      <c r="C26" s="13" t="s">
        <v>126</v>
      </c>
      <c r="D26" s="19"/>
      <c r="E26" s="19"/>
      <c r="F26" s="19"/>
      <c r="G26" s="19"/>
      <c r="H26" s="19"/>
      <c r="I26" s="19"/>
    </row>
    <row r="27" ht="14.25" customHeight="1">
      <c r="A27" s="17" t="s">
        <v>127</v>
      </c>
      <c r="B27" s="18" t="s">
        <v>128</v>
      </c>
      <c r="C27" s="18" t="s">
        <v>129</v>
      </c>
      <c r="D27" s="19"/>
      <c r="E27" s="19"/>
      <c r="F27" s="19"/>
      <c r="G27" s="19"/>
      <c r="H27" s="19"/>
      <c r="I27" s="19"/>
    </row>
    <row r="28" ht="14.25" customHeight="1">
      <c r="A28" s="11" t="s">
        <v>130</v>
      </c>
      <c r="B28" s="12" t="s">
        <v>131</v>
      </c>
      <c r="C28" s="13" t="s">
        <v>132</v>
      </c>
      <c r="D28" s="19"/>
      <c r="E28" s="19"/>
      <c r="F28" s="19"/>
      <c r="G28" s="19"/>
      <c r="H28" s="19"/>
      <c r="I28" s="19"/>
    </row>
    <row r="29" ht="14.25" customHeight="1">
      <c r="A29" s="17" t="s">
        <v>133</v>
      </c>
      <c r="B29" s="18" t="s">
        <v>134</v>
      </c>
      <c r="C29" s="18" t="s">
        <v>135</v>
      </c>
      <c r="D29" s="19"/>
      <c r="E29" s="19"/>
      <c r="F29" s="19"/>
      <c r="G29" s="19"/>
      <c r="H29" s="19"/>
      <c r="I29" s="19"/>
    </row>
    <row r="30" ht="14.25" customHeight="1">
      <c r="A30" s="11" t="s">
        <v>136</v>
      </c>
      <c r="B30" s="12" t="s">
        <v>137</v>
      </c>
      <c r="C30" s="13" t="s">
        <v>138</v>
      </c>
      <c r="D30" s="19"/>
      <c r="E30" s="19"/>
      <c r="F30" s="19"/>
      <c r="G30" s="19"/>
      <c r="H30" s="19"/>
      <c r="I30" s="19"/>
    </row>
    <row r="31" ht="14.25" customHeight="1">
      <c r="A31" s="17" t="s">
        <v>139</v>
      </c>
      <c r="B31" s="18" t="s">
        <v>140</v>
      </c>
      <c r="C31" s="18" t="s">
        <v>141</v>
      </c>
      <c r="D31" s="19"/>
      <c r="E31" s="19"/>
      <c r="F31" s="19"/>
      <c r="G31" s="19"/>
      <c r="H31" s="19"/>
      <c r="I31" s="19"/>
    </row>
    <row r="32" ht="14.25" customHeight="1">
      <c r="A32" s="11" t="s">
        <v>142</v>
      </c>
      <c r="B32" s="12" t="s">
        <v>143</v>
      </c>
      <c r="C32" s="13" t="s">
        <v>144</v>
      </c>
      <c r="D32" s="19"/>
      <c r="E32" s="19"/>
      <c r="F32" s="19"/>
      <c r="G32" s="19"/>
      <c r="H32" s="19"/>
      <c r="I32" s="19"/>
    </row>
    <row r="33" ht="14.25" customHeight="1">
      <c r="A33" s="17" t="s">
        <v>145</v>
      </c>
      <c r="B33" s="18" t="s">
        <v>146</v>
      </c>
      <c r="C33" s="18" t="s">
        <v>147</v>
      </c>
      <c r="D33" s="19"/>
      <c r="E33" s="19"/>
      <c r="F33" s="19"/>
      <c r="G33" s="19"/>
      <c r="H33" s="19"/>
      <c r="I33" s="19"/>
    </row>
    <row r="34" ht="14.25" customHeight="1">
      <c r="A34" s="11" t="s">
        <v>148</v>
      </c>
      <c r="B34" s="12" t="s">
        <v>149</v>
      </c>
      <c r="C34" s="13" t="s">
        <v>150</v>
      </c>
      <c r="D34" s="19"/>
      <c r="E34" s="19"/>
      <c r="F34" s="19"/>
      <c r="G34" s="19"/>
      <c r="H34" s="19"/>
      <c r="I34" s="19"/>
    </row>
    <row r="35" ht="14.25" customHeight="1">
      <c r="A35" s="17" t="s">
        <v>151</v>
      </c>
      <c r="B35" s="18" t="s">
        <v>152</v>
      </c>
      <c r="C35" s="18" t="s">
        <v>153</v>
      </c>
      <c r="D35" s="19"/>
      <c r="E35" s="19"/>
      <c r="F35" s="19"/>
      <c r="G35" s="19"/>
      <c r="H35" s="19"/>
      <c r="I35" s="19"/>
    </row>
    <row r="36" ht="14.25" customHeight="1">
      <c r="A36" s="11" t="s">
        <v>154</v>
      </c>
      <c r="B36" s="12" t="s">
        <v>155</v>
      </c>
      <c r="C36" s="13" t="s">
        <v>156</v>
      </c>
      <c r="D36" s="19"/>
      <c r="E36" s="19"/>
      <c r="F36" s="19"/>
      <c r="G36" s="19"/>
      <c r="H36" s="19"/>
      <c r="I36" s="19"/>
    </row>
    <row r="37" ht="14.25" customHeight="1">
      <c r="A37" s="17" t="s">
        <v>157</v>
      </c>
      <c r="B37" s="18" t="s">
        <v>158</v>
      </c>
      <c r="C37" s="18" t="s">
        <v>159</v>
      </c>
      <c r="D37" s="19"/>
      <c r="E37" s="19"/>
      <c r="F37" s="19"/>
      <c r="G37" s="19"/>
      <c r="H37" s="19"/>
      <c r="I37" s="19"/>
    </row>
    <row r="38" ht="14.25" customHeight="1">
      <c r="A38" s="11" t="s">
        <v>160</v>
      </c>
      <c r="B38" s="12" t="s">
        <v>161</v>
      </c>
      <c r="C38" s="13" t="s">
        <v>162</v>
      </c>
      <c r="D38" s="19"/>
      <c r="E38" s="19"/>
      <c r="F38" s="19"/>
      <c r="G38" s="19"/>
      <c r="H38" s="19"/>
      <c r="I38" s="19"/>
    </row>
    <row r="39" ht="14.25" customHeight="1">
      <c r="A39" s="17" t="s">
        <v>163</v>
      </c>
      <c r="B39" s="18" t="s">
        <v>164</v>
      </c>
      <c r="C39" s="18" t="s">
        <v>165</v>
      </c>
      <c r="D39" s="19"/>
      <c r="E39" s="19"/>
      <c r="F39" s="19"/>
      <c r="G39" s="19"/>
      <c r="H39" s="19"/>
      <c r="I39" s="19"/>
    </row>
    <row r="40" ht="14.25" customHeight="1">
      <c r="A40" s="11" t="s">
        <v>166</v>
      </c>
      <c r="B40" s="12" t="s">
        <v>167</v>
      </c>
      <c r="C40" s="13" t="s">
        <v>168</v>
      </c>
      <c r="D40" s="19"/>
      <c r="E40" s="19"/>
      <c r="F40" s="19"/>
      <c r="G40" s="19"/>
      <c r="H40" s="19"/>
      <c r="I40" s="19"/>
    </row>
    <row r="41" ht="14.25" customHeight="1">
      <c r="A41" s="17" t="s">
        <v>169</v>
      </c>
      <c r="B41" s="18" t="s">
        <v>170</v>
      </c>
      <c r="C41" s="18" t="s">
        <v>171</v>
      </c>
      <c r="D41" s="19"/>
      <c r="E41" s="19"/>
      <c r="F41" s="19"/>
      <c r="G41" s="19"/>
      <c r="H41" s="19"/>
      <c r="I41" s="19"/>
    </row>
    <row r="42" ht="14.25" customHeight="1">
      <c r="A42" s="11" t="s">
        <v>172</v>
      </c>
      <c r="B42" s="12" t="s">
        <v>173</v>
      </c>
      <c r="C42" s="13" t="s">
        <v>174</v>
      </c>
      <c r="D42" s="19"/>
      <c r="E42" s="19"/>
      <c r="F42" s="19"/>
      <c r="G42" s="19"/>
      <c r="H42" s="19"/>
      <c r="I42" s="19"/>
    </row>
    <row r="43" ht="14.25" customHeight="1">
      <c r="A43" s="17" t="s">
        <v>175</v>
      </c>
      <c r="B43" s="18" t="s">
        <v>176</v>
      </c>
      <c r="C43" s="18" t="s">
        <v>177</v>
      </c>
      <c r="D43" s="19"/>
      <c r="E43" s="19"/>
      <c r="F43" s="19"/>
      <c r="G43" s="19"/>
      <c r="H43" s="19"/>
      <c r="I43" s="19"/>
    </row>
    <row r="44" ht="14.25" customHeight="1">
      <c r="A44" s="11" t="s">
        <v>178</v>
      </c>
      <c r="B44" s="12" t="s">
        <v>179</v>
      </c>
      <c r="C44" s="13" t="s">
        <v>180</v>
      </c>
      <c r="D44" s="19"/>
      <c r="E44" s="19"/>
      <c r="F44" s="19"/>
      <c r="G44" s="19"/>
      <c r="H44" s="19"/>
      <c r="I44" s="19"/>
    </row>
    <row r="45" ht="14.25" customHeight="1">
      <c r="A45" s="17" t="s">
        <v>181</v>
      </c>
      <c r="B45" s="18" t="s">
        <v>182</v>
      </c>
      <c r="C45" s="18" t="s">
        <v>183</v>
      </c>
      <c r="D45" s="19"/>
      <c r="E45" s="19"/>
      <c r="F45" s="19"/>
      <c r="G45" s="19"/>
      <c r="H45" s="19"/>
      <c r="I45" s="19"/>
    </row>
    <row r="46" ht="14.25" customHeight="1">
      <c r="A46" s="11" t="s">
        <v>184</v>
      </c>
      <c r="B46" s="12" t="s">
        <v>185</v>
      </c>
      <c r="C46" s="13" t="s">
        <v>186</v>
      </c>
      <c r="D46" s="19"/>
      <c r="E46" s="19"/>
      <c r="F46" s="19"/>
      <c r="G46" s="19"/>
      <c r="H46" s="19"/>
      <c r="I46" s="19"/>
    </row>
    <row r="47" ht="14.25" customHeight="1">
      <c r="A47" s="17" t="s">
        <v>187</v>
      </c>
      <c r="B47" s="18" t="s">
        <v>188</v>
      </c>
      <c r="C47" s="18" t="s">
        <v>189</v>
      </c>
      <c r="D47" s="19"/>
      <c r="E47" s="19"/>
      <c r="F47" s="19"/>
      <c r="G47" s="19"/>
      <c r="H47" s="19"/>
      <c r="I47" s="19"/>
    </row>
    <row r="48" ht="14.25" customHeight="1">
      <c r="A48" s="11" t="s">
        <v>190</v>
      </c>
      <c r="B48" s="12" t="s">
        <v>191</v>
      </c>
      <c r="C48" s="13" t="s">
        <v>192</v>
      </c>
      <c r="D48" s="19"/>
      <c r="E48" s="19"/>
      <c r="F48" s="19"/>
      <c r="G48" s="19"/>
      <c r="H48" s="19"/>
      <c r="I48" s="19"/>
    </row>
    <row r="49" ht="14.25" customHeight="1">
      <c r="A49" s="17" t="s">
        <v>193</v>
      </c>
      <c r="B49" s="18" t="s">
        <v>194</v>
      </c>
      <c r="C49" s="18" t="s">
        <v>195</v>
      </c>
      <c r="D49" s="19"/>
      <c r="E49" s="19"/>
      <c r="F49" s="19"/>
      <c r="G49" s="19"/>
      <c r="H49" s="19"/>
      <c r="I49" s="19"/>
    </row>
    <row r="50" ht="14.25" customHeight="1">
      <c r="A50" s="11" t="s">
        <v>196</v>
      </c>
      <c r="B50" s="12" t="s">
        <v>197</v>
      </c>
      <c r="C50" s="13" t="s">
        <v>198</v>
      </c>
      <c r="D50" s="19"/>
      <c r="E50" s="19"/>
      <c r="F50" s="19"/>
      <c r="G50" s="19"/>
      <c r="H50" s="19"/>
      <c r="I50" s="19"/>
    </row>
    <row r="51" ht="14.25" customHeight="1">
      <c r="A51" s="17" t="s">
        <v>199</v>
      </c>
      <c r="B51" s="18" t="s">
        <v>200</v>
      </c>
      <c r="C51" s="18" t="s">
        <v>201</v>
      </c>
      <c r="D51" s="19"/>
      <c r="E51" s="19"/>
      <c r="F51" s="19"/>
      <c r="G51" s="19"/>
      <c r="H51" s="19"/>
      <c r="I51" s="19"/>
    </row>
    <row r="52" ht="14.25" customHeight="1">
      <c r="A52" s="11" t="s">
        <v>202</v>
      </c>
      <c r="B52" s="12" t="s">
        <v>203</v>
      </c>
      <c r="C52" s="13" t="s">
        <v>204</v>
      </c>
      <c r="D52" s="19"/>
      <c r="E52" s="19"/>
      <c r="F52" s="19"/>
      <c r="G52" s="19"/>
      <c r="H52" s="19"/>
      <c r="I52" s="19"/>
    </row>
    <row r="53" ht="14.25" customHeight="1">
      <c r="A53" s="17" t="s">
        <v>205</v>
      </c>
      <c r="B53" s="18" t="s">
        <v>206</v>
      </c>
      <c r="C53" s="18" t="s">
        <v>207</v>
      </c>
      <c r="D53" s="19"/>
      <c r="E53" s="19"/>
      <c r="F53" s="19"/>
      <c r="G53" s="19"/>
      <c r="H53" s="19"/>
      <c r="I53" s="19"/>
    </row>
    <row r="54" ht="14.25" customHeight="1">
      <c r="A54" s="11" t="s">
        <v>208</v>
      </c>
      <c r="B54" s="12" t="s">
        <v>209</v>
      </c>
      <c r="C54" s="13" t="s">
        <v>210</v>
      </c>
      <c r="D54" s="19"/>
      <c r="E54" s="19"/>
      <c r="F54" s="19"/>
      <c r="G54" s="19"/>
      <c r="H54" s="19"/>
      <c r="I54" s="19"/>
    </row>
    <row r="55" ht="14.25" customHeight="1">
      <c r="A55" s="17" t="s">
        <v>211</v>
      </c>
      <c r="B55" s="18" t="s">
        <v>212</v>
      </c>
      <c r="C55" s="18" t="s">
        <v>213</v>
      </c>
      <c r="D55" s="19"/>
      <c r="E55" s="19"/>
      <c r="F55" s="19"/>
      <c r="G55" s="19"/>
      <c r="H55" s="19"/>
      <c r="I55" s="19"/>
    </row>
    <row r="56" ht="14.25" customHeight="1">
      <c r="A56" s="11" t="s">
        <v>214</v>
      </c>
      <c r="B56" s="12" t="s">
        <v>215</v>
      </c>
      <c r="C56" s="13" t="s">
        <v>216</v>
      </c>
      <c r="D56" s="19"/>
      <c r="E56" s="19"/>
      <c r="F56" s="19"/>
      <c r="G56" s="19"/>
      <c r="H56" s="19"/>
      <c r="I56" s="19"/>
    </row>
    <row r="57" ht="14.25" customHeight="1">
      <c r="A57" s="17" t="s">
        <v>217</v>
      </c>
      <c r="B57" s="18" t="s">
        <v>218</v>
      </c>
      <c r="C57" s="18" t="s">
        <v>219</v>
      </c>
      <c r="D57" s="19"/>
      <c r="E57" s="19"/>
      <c r="F57" s="19"/>
      <c r="G57" s="19"/>
      <c r="H57" s="19"/>
      <c r="I57" s="19"/>
    </row>
    <row r="58" ht="14.25" customHeight="1">
      <c r="A58" s="11" t="s">
        <v>220</v>
      </c>
      <c r="B58" s="12" t="s">
        <v>221</v>
      </c>
      <c r="C58" s="13" t="s">
        <v>222</v>
      </c>
      <c r="D58" s="19"/>
      <c r="E58" s="19"/>
      <c r="F58" s="19"/>
      <c r="G58" s="19"/>
      <c r="H58" s="19"/>
      <c r="I58" s="19"/>
    </row>
    <row r="59" ht="14.25" customHeight="1">
      <c r="A59" s="17" t="s">
        <v>223</v>
      </c>
      <c r="B59" s="18" t="s">
        <v>224</v>
      </c>
      <c r="C59" s="18" t="s">
        <v>225</v>
      </c>
      <c r="D59" s="19"/>
      <c r="E59" s="19"/>
      <c r="F59" s="19"/>
      <c r="G59" s="19"/>
      <c r="H59" s="19"/>
      <c r="I59" s="19"/>
    </row>
    <row r="60" ht="14.25" customHeight="1">
      <c r="A60" s="11" t="s">
        <v>226</v>
      </c>
      <c r="B60" s="12" t="s">
        <v>227</v>
      </c>
      <c r="C60" s="13" t="s">
        <v>228</v>
      </c>
      <c r="D60" s="19"/>
      <c r="E60" s="19"/>
      <c r="F60" s="19"/>
      <c r="G60" s="19"/>
      <c r="H60" s="19"/>
      <c r="I60" s="19"/>
    </row>
    <row r="61" ht="14.25" customHeight="1">
      <c r="A61" s="17" t="s">
        <v>229</v>
      </c>
      <c r="B61" s="18" t="s">
        <v>230</v>
      </c>
      <c r="C61" s="18" t="s">
        <v>231</v>
      </c>
      <c r="D61" s="19"/>
      <c r="E61" s="19"/>
      <c r="F61" s="19"/>
      <c r="G61" s="19"/>
      <c r="H61" s="19"/>
      <c r="I61" s="19"/>
    </row>
    <row r="62" ht="14.25" customHeight="1">
      <c r="A62" s="11" t="s">
        <v>232</v>
      </c>
      <c r="B62" s="12" t="s">
        <v>233</v>
      </c>
      <c r="C62" s="13" t="s">
        <v>234</v>
      </c>
      <c r="D62" s="19"/>
      <c r="E62" s="19"/>
      <c r="F62" s="19"/>
      <c r="G62" s="19"/>
      <c r="H62" s="19"/>
      <c r="I62" s="19"/>
    </row>
    <row r="63" ht="14.25" customHeight="1">
      <c r="A63" s="17" t="s">
        <v>235</v>
      </c>
      <c r="B63" s="18" t="s">
        <v>236</v>
      </c>
      <c r="C63" s="18" t="s">
        <v>237</v>
      </c>
      <c r="D63" s="19"/>
      <c r="E63" s="19"/>
      <c r="F63" s="19"/>
      <c r="G63" s="19"/>
      <c r="H63" s="19"/>
      <c r="I63" s="19"/>
    </row>
    <row r="64" ht="14.25" customHeight="1">
      <c r="A64" s="11" t="s">
        <v>238</v>
      </c>
      <c r="B64" s="12" t="s">
        <v>239</v>
      </c>
      <c r="C64" s="13" t="s">
        <v>240</v>
      </c>
      <c r="D64" s="19"/>
      <c r="E64" s="19"/>
      <c r="F64" s="19"/>
      <c r="G64" s="19"/>
      <c r="H64" s="19"/>
      <c r="I64" s="19"/>
    </row>
    <row r="65" ht="14.25" customHeight="1">
      <c r="A65" s="17" t="s">
        <v>241</v>
      </c>
      <c r="B65" s="18" t="s">
        <v>242</v>
      </c>
      <c r="C65" s="18" t="s">
        <v>243</v>
      </c>
      <c r="D65" s="19"/>
      <c r="E65" s="19"/>
      <c r="F65" s="19"/>
      <c r="G65" s="19"/>
      <c r="H65" s="19"/>
      <c r="I65" s="19"/>
    </row>
    <row r="66" ht="14.25" customHeight="1">
      <c r="A66" s="11" t="s">
        <v>244</v>
      </c>
      <c r="B66" s="12" t="s">
        <v>245</v>
      </c>
      <c r="C66" s="13" t="s">
        <v>246</v>
      </c>
      <c r="D66" s="19"/>
      <c r="E66" s="19"/>
      <c r="F66" s="19"/>
      <c r="G66" s="19"/>
      <c r="H66" s="19"/>
      <c r="I66" s="19"/>
    </row>
    <row r="67" ht="14.25" customHeight="1">
      <c r="A67" s="17" t="s">
        <v>247</v>
      </c>
      <c r="B67" s="18" t="s">
        <v>248</v>
      </c>
      <c r="C67" s="18" t="s">
        <v>89</v>
      </c>
      <c r="D67" s="19"/>
      <c r="E67" s="19"/>
      <c r="F67" s="19"/>
      <c r="G67" s="19"/>
      <c r="H67" s="19"/>
      <c r="I67" s="19"/>
    </row>
    <row r="68" ht="14.25" customHeight="1">
      <c r="A68" s="11" t="s">
        <v>249</v>
      </c>
      <c r="B68" s="12" t="s">
        <v>250</v>
      </c>
      <c r="C68" s="13" t="s">
        <v>251</v>
      </c>
      <c r="D68" s="19"/>
      <c r="E68" s="19"/>
      <c r="F68" s="19"/>
      <c r="G68" s="19"/>
      <c r="H68" s="19"/>
      <c r="I68" s="19"/>
    </row>
    <row r="69" ht="14.25" customHeight="1">
      <c r="A69" s="17" t="s">
        <v>252</v>
      </c>
      <c r="B69" s="18" t="s">
        <v>253</v>
      </c>
      <c r="C69" s="18" t="s">
        <v>254</v>
      </c>
      <c r="D69" s="19"/>
      <c r="E69" s="19"/>
      <c r="F69" s="19"/>
      <c r="G69" s="19"/>
      <c r="H69" s="19"/>
      <c r="I69" s="19"/>
    </row>
    <row r="70" ht="14.25" customHeight="1">
      <c r="A70" s="11" t="s">
        <v>255</v>
      </c>
      <c r="B70" s="12" t="s">
        <v>256</v>
      </c>
      <c r="C70" s="13" t="s">
        <v>257</v>
      </c>
      <c r="D70" s="19"/>
      <c r="E70" s="19"/>
      <c r="F70" s="19"/>
      <c r="G70" s="19"/>
      <c r="H70" s="19"/>
      <c r="I70" s="19"/>
    </row>
    <row r="71" ht="14.25" customHeight="1">
      <c r="A71" s="17" t="s">
        <v>258</v>
      </c>
      <c r="B71" s="18" t="s">
        <v>259</v>
      </c>
      <c r="C71" s="18" t="s">
        <v>260</v>
      </c>
      <c r="D71" s="19"/>
      <c r="E71" s="19"/>
      <c r="F71" s="19"/>
      <c r="G71" s="19"/>
      <c r="H71" s="19"/>
      <c r="I71" s="19"/>
    </row>
    <row r="72" ht="14.25" customHeight="1">
      <c r="A72" s="11" t="s">
        <v>261</v>
      </c>
      <c r="B72" s="12" t="s">
        <v>262</v>
      </c>
      <c r="C72" s="13" t="s">
        <v>263</v>
      </c>
      <c r="D72" s="19"/>
      <c r="E72" s="19"/>
      <c r="F72" s="19"/>
      <c r="G72" s="19"/>
      <c r="H72" s="19"/>
      <c r="I72" s="19"/>
    </row>
    <row r="73" ht="14.25" customHeight="1">
      <c r="A73" s="17" t="s">
        <v>264</v>
      </c>
      <c r="B73" s="18" t="s">
        <v>265</v>
      </c>
      <c r="C73" s="18" t="s">
        <v>266</v>
      </c>
      <c r="D73" s="19"/>
      <c r="E73" s="19"/>
      <c r="F73" s="19"/>
      <c r="G73" s="19"/>
      <c r="H73" s="19"/>
      <c r="I73" s="19"/>
    </row>
    <row r="74" ht="14.25" customHeight="1">
      <c r="A74" s="11" t="s">
        <v>267</v>
      </c>
      <c r="B74" s="12" t="s">
        <v>268</v>
      </c>
      <c r="C74" s="13" t="s">
        <v>269</v>
      </c>
      <c r="D74" s="19"/>
      <c r="E74" s="19"/>
      <c r="F74" s="19"/>
      <c r="G74" s="19"/>
      <c r="H74" s="19"/>
      <c r="I74" s="19"/>
    </row>
    <row r="75" ht="14.25" customHeight="1">
      <c r="A75" s="17" t="s">
        <v>270</v>
      </c>
      <c r="B75" s="18" t="s">
        <v>271</v>
      </c>
      <c r="C75" s="18" t="s">
        <v>272</v>
      </c>
      <c r="D75" s="19"/>
      <c r="E75" s="19"/>
      <c r="F75" s="19"/>
      <c r="G75" s="19"/>
      <c r="H75" s="19"/>
      <c r="I75" s="19"/>
    </row>
    <row r="76" ht="14.25" customHeight="1">
      <c r="A76" s="22" t="s">
        <v>273</v>
      </c>
      <c r="B76" s="23" t="s">
        <v>274</v>
      </c>
      <c r="C76" s="13" t="s">
        <v>275</v>
      </c>
      <c r="D76" s="19"/>
      <c r="E76" s="19"/>
      <c r="F76" s="19"/>
      <c r="G76" s="19"/>
      <c r="H76" s="19"/>
      <c r="I76" s="19"/>
    </row>
    <row r="77" ht="14.25" customHeight="1">
      <c r="A77" s="22" t="s">
        <v>276</v>
      </c>
      <c r="B77" s="23" t="s">
        <v>277</v>
      </c>
      <c r="C77" s="18" t="s">
        <v>278</v>
      </c>
      <c r="D77" s="19"/>
      <c r="E77" s="19"/>
      <c r="F77" s="19"/>
      <c r="G77" s="19"/>
      <c r="H77" s="19"/>
      <c r="I77" s="19"/>
    </row>
    <row r="78" ht="14.25" customHeight="1">
      <c r="A78" s="22" t="s">
        <v>279</v>
      </c>
      <c r="B78" s="23" t="s">
        <v>280</v>
      </c>
      <c r="C78" s="13" t="s">
        <v>281</v>
      </c>
      <c r="D78" s="19"/>
      <c r="E78" s="19"/>
      <c r="F78" s="19"/>
      <c r="G78" s="19"/>
      <c r="H78" s="19"/>
      <c r="I78" s="19"/>
    </row>
    <row r="79" ht="14.25" customHeight="1">
      <c r="A79" s="22" t="s">
        <v>282</v>
      </c>
      <c r="B79" s="23" t="s">
        <v>283</v>
      </c>
      <c r="C79" s="18" t="s">
        <v>284</v>
      </c>
      <c r="D79" s="19"/>
      <c r="E79" s="19"/>
      <c r="F79" s="19"/>
      <c r="G79" s="19"/>
      <c r="H79" s="19"/>
      <c r="I79" s="19"/>
    </row>
    <row r="80" ht="14.25" customHeight="1">
      <c r="A80" s="22" t="s">
        <v>285</v>
      </c>
      <c r="B80" s="23" t="s">
        <v>286</v>
      </c>
      <c r="C80" s="13" t="s">
        <v>287</v>
      </c>
      <c r="D80" s="19"/>
      <c r="E80" s="19"/>
      <c r="F80" s="19"/>
      <c r="G80" s="19"/>
      <c r="H80" s="19"/>
      <c r="I80" s="19"/>
    </row>
    <row r="81" ht="14.25" customHeight="1">
      <c r="A81" s="22" t="s">
        <v>288</v>
      </c>
      <c r="B81" s="24" t="s">
        <v>289</v>
      </c>
      <c r="C81" s="18" t="s">
        <v>290</v>
      </c>
      <c r="D81" s="19"/>
      <c r="E81" s="19"/>
      <c r="F81" s="19"/>
      <c r="G81" s="19"/>
      <c r="H81" s="19"/>
      <c r="I81" s="19"/>
    </row>
    <row r="82" ht="14.25" customHeight="1">
      <c r="A82" s="19"/>
      <c r="B82" s="25" t="s">
        <v>291</v>
      </c>
      <c r="C82" s="13" t="s">
        <v>292</v>
      </c>
      <c r="D82" s="19"/>
      <c r="E82" s="19"/>
      <c r="F82" s="19"/>
      <c r="G82" s="19"/>
      <c r="H82" s="19"/>
      <c r="I82" s="19"/>
    </row>
    <row r="83" ht="14.25" customHeight="1">
      <c r="A83" s="19"/>
      <c r="B83" s="25" t="s">
        <v>293</v>
      </c>
      <c r="C83" s="18" t="s">
        <v>294</v>
      </c>
      <c r="D83" s="19"/>
      <c r="E83" s="19"/>
      <c r="F83" s="19"/>
      <c r="G83" s="19"/>
      <c r="H83" s="19"/>
      <c r="I83" s="19"/>
    </row>
    <row r="84" ht="14.25" customHeight="1">
      <c r="A84" s="19"/>
      <c r="B84" s="25" t="s">
        <v>295</v>
      </c>
      <c r="C84" s="13" t="s">
        <v>296</v>
      </c>
      <c r="D84" s="19"/>
      <c r="E84" s="19"/>
      <c r="F84" s="19"/>
      <c r="G84" s="19"/>
      <c r="H84" s="19"/>
      <c r="I84" s="19"/>
    </row>
    <row r="85" ht="14.25" customHeight="1">
      <c r="A85" s="19"/>
      <c r="B85" s="25" t="s">
        <v>297</v>
      </c>
      <c r="C85" s="18" t="s">
        <v>298</v>
      </c>
      <c r="D85" s="19"/>
      <c r="E85" s="19"/>
      <c r="F85" s="19"/>
      <c r="G85" s="19"/>
      <c r="H85" s="19"/>
      <c r="I85" s="19"/>
    </row>
    <row r="86" ht="14.25" customHeight="1">
      <c r="A86" s="19"/>
      <c r="B86" s="25" t="s">
        <v>299</v>
      </c>
      <c r="C86" s="13" t="s">
        <v>300</v>
      </c>
      <c r="D86" s="19"/>
      <c r="E86" s="19"/>
      <c r="F86" s="19"/>
      <c r="G86" s="19"/>
      <c r="H86" s="19"/>
      <c r="I86" s="19"/>
    </row>
    <row r="87" ht="14.25" customHeight="1">
      <c r="A87" s="19"/>
      <c r="B87" s="19"/>
      <c r="C87" s="18" t="s">
        <v>301</v>
      </c>
      <c r="D87" s="19"/>
      <c r="E87" s="19"/>
      <c r="F87" s="19"/>
      <c r="G87" s="19"/>
      <c r="H87" s="19"/>
      <c r="I87" s="19"/>
    </row>
    <row r="88" ht="14.25" customHeight="1">
      <c r="A88" s="19"/>
      <c r="B88" s="19"/>
      <c r="C88" s="13" t="s">
        <v>302</v>
      </c>
      <c r="D88" s="19"/>
      <c r="E88" s="19"/>
      <c r="F88" s="19"/>
      <c r="G88" s="19"/>
      <c r="H88" s="19"/>
      <c r="I88" s="19"/>
    </row>
    <row r="89" ht="14.25" customHeight="1">
      <c r="A89" s="19"/>
      <c r="B89" s="19"/>
      <c r="C89" s="18" t="s">
        <v>303</v>
      </c>
      <c r="D89" s="19"/>
      <c r="E89" s="19"/>
      <c r="F89" s="19"/>
      <c r="G89" s="19"/>
      <c r="H89" s="19"/>
      <c r="I89" s="19"/>
    </row>
    <row r="90" ht="14.25" customHeight="1">
      <c r="A90" s="19"/>
      <c r="B90" s="19"/>
      <c r="C90" s="13" t="s">
        <v>304</v>
      </c>
      <c r="D90" s="19"/>
      <c r="E90" s="19"/>
      <c r="F90" s="19"/>
      <c r="G90" s="19"/>
      <c r="H90" s="19"/>
      <c r="I90" s="19"/>
    </row>
    <row r="91" ht="14.25" customHeight="1">
      <c r="A91" s="19"/>
      <c r="B91" s="19"/>
      <c r="C91" s="18" t="s">
        <v>305</v>
      </c>
      <c r="D91" s="19"/>
      <c r="E91" s="19"/>
      <c r="F91" s="19"/>
      <c r="G91" s="19"/>
      <c r="H91" s="19"/>
      <c r="I91" s="19"/>
    </row>
    <row r="92" ht="14.25" customHeight="1">
      <c r="A92" s="19"/>
      <c r="B92" s="19"/>
      <c r="C92" s="13" t="s">
        <v>306</v>
      </c>
      <c r="D92" s="19"/>
      <c r="E92" s="19"/>
      <c r="F92" s="19"/>
      <c r="G92" s="19"/>
      <c r="H92" s="19"/>
      <c r="I92" s="19"/>
    </row>
    <row r="93" ht="14.25" customHeight="1">
      <c r="A93" s="19"/>
      <c r="B93" s="19"/>
      <c r="C93" s="18" t="s">
        <v>307</v>
      </c>
      <c r="D93" s="19"/>
      <c r="E93" s="19"/>
      <c r="F93" s="19"/>
      <c r="G93" s="19"/>
      <c r="H93" s="19"/>
      <c r="I93" s="19"/>
    </row>
    <row r="94" ht="14.25" customHeight="1">
      <c r="A94" s="19"/>
      <c r="B94" s="19"/>
      <c r="C94" s="13" t="s">
        <v>308</v>
      </c>
      <c r="D94" s="19"/>
      <c r="E94" s="19"/>
      <c r="F94" s="19"/>
      <c r="G94" s="19"/>
      <c r="H94" s="19"/>
      <c r="I94" s="19"/>
    </row>
    <row r="95" ht="14.25" customHeight="1">
      <c r="A95" s="19"/>
      <c r="B95" s="19"/>
      <c r="C95" s="18" t="s">
        <v>309</v>
      </c>
      <c r="D95" s="19"/>
      <c r="E95" s="19"/>
      <c r="F95" s="19"/>
      <c r="G95" s="19"/>
      <c r="H95" s="19"/>
      <c r="I95" s="19"/>
    </row>
    <row r="96" ht="14.25" customHeight="1">
      <c r="A96" s="19"/>
      <c r="B96" s="19"/>
      <c r="C96" s="13" t="s">
        <v>310</v>
      </c>
      <c r="D96" s="19"/>
      <c r="E96" s="19"/>
      <c r="F96" s="19"/>
      <c r="G96" s="19"/>
      <c r="H96" s="19"/>
      <c r="I96" s="19"/>
    </row>
    <row r="97" ht="14.25" customHeight="1">
      <c r="A97" s="19"/>
      <c r="B97" s="19"/>
      <c r="C97" s="18" t="s">
        <v>311</v>
      </c>
      <c r="D97" s="19"/>
      <c r="E97" s="19"/>
      <c r="F97" s="19"/>
      <c r="G97" s="19"/>
      <c r="H97" s="19"/>
      <c r="I97" s="19"/>
    </row>
    <row r="98" ht="14.25" customHeight="1">
      <c r="A98" s="19"/>
      <c r="B98" s="19"/>
      <c r="C98" s="13" t="s">
        <v>312</v>
      </c>
      <c r="D98" s="19"/>
      <c r="E98" s="19"/>
      <c r="F98" s="19"/>
      <c r="G98" s="19"/>
      <c r="H98" s="19"/>
      <c r="I98" s="19"/>
    </row>
    <row r="99" ht="14.25" customHeight="1">
      <c r="A99" s="19"/>
      <c r="B99" s="19"/>
      <c r="C99" s="18" t="s">
        <v>313</v>
      </c>
      <c r="D99" s="19"/>
      <c r="E99" s="19"/>
      <c r="F99" s="19"/>
      <c r="G99" s="19"/>
      <c r="H99" s="19"/>
      <c r="I99" s="19"/>
    </row>
    <row r="100" ht="14.25" customHeight="1">
      <c r="A100" s="19"/>
      <c r="B100" s="19"/>
      <c r="C100" s="13" t="s">
        <v>314</v>
      </c>
      <c r="D100" s="19"/>
      <c r="E100" s="19"/>
      <c r="F100" s="19"/>
      <c r="G100" s="19"/>
      <c r="H100" s="19"/>
      <c r="I100" s="19"/>
    </row>
    <row r="101" ht="14.25" customHeight="1">
      <c r="A101" s="19"/>
      <c r="B101" s="19"/>
      <c r="C101" s="26" t="s">
        <v>315</v>
      </c>
      <c r="D101" s="19"/>
      <c r="E101" s="19"/>
      <c r="F101" s="19"/>
      <c r="G101" s="19"/>
      <c r="H101" s="19"/>
      <c r="I101" s="19"/>
    </row>
    <row r="102" ht="14.25" customHeight="1">
      <c r="A102" s="19"/>
      <c r="B102" s="19"/>
      <c r="C102" s="26" t="s">
        <v>316</v>
      </c>
      <c r="D102" s="19"/>
      <c r="E102" s="19"/>
      <c r="F102" s="19"/>
      <c r="G102" s="19"/>
      <c r="H102" s="19"/>
      <c r="I102" s="19"/>
    </row>
    <row r="103" ht="14.25" customHeight="1">
      <c r="A103" s="19"/>
      <c r="B103" s="19"/>
      <c r="C103" s="26" t="s">
        <v>92</v>
      </c>
      <c r="D103" s="19"/>
      <c r="E103" s="19"/>
      <c r="F103" s="19"/>
      <c r="G103" s="19"/>
      <c r="H103" s="19"/>
      <c r="I103" s="19"/>
    </row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I1"/>
    <mergeCell ref="A2:I2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3864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2.0"/>
    <col customWidth="1" min="2" max="3" width="24.0"/>
    <col customWidth="1" min="4" max="4" width="18.0"/>
    <col customWidth="1" min="5" max="8" width="13.0"/>
    <col customWidth="1" min="9" max="9" width="18.0"/>
    <col customWidth="1" min="10" max="10" width="13.0"/>
    <col customWidth="1" min="11" max="11" width="18.0"/>
    <col customWidth="1" min="12" max="12" width="32.0"/>
    <col customWidth="1" min="13" max="13" width="12.0"/>
    <col customWidth="1" min="14" max="14" width="10.0"/>
    <col customWidth="1" min="15" max="15" width="11.0"/>
    <col customWidth="1" min="16" max="16" width="8.71"/>
    <col customWidth="1" min="17" max="23" width="0.14"/>
    <col customWidth="1" min="24" max="26" width="8.71"/>
  </cols>
  <sheetData>
    <row r="1" ht="31.5" customHeight="1">
      <c r="A1" s="27" t="s">
        <v>317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</row>
    <row r="2" ht="18.0" customHeight="1">
      <c r="A2" s="28" t="s">
        <v>318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3"/>
    </row>
    <row r="3" ht="30.0" customHeight="1">
      <c r="A3" s="6" t="s">
        <v>319</v>
      </c>
      <c r="B3" s="7" t="s">
        <v>3</v>
      </c>
      <c r="C3" s="7" t="s">
        <v>320</v>
      </c>
      <c r="D3" s="7" t="s">
        <v>321</v>
      </c>
      <c r="E3" s="7" t="s">
        <v>322</v>
      </c>
      <c r="F3" s="7" t="s">
        <v>7</v>
      </c>
      <c r="G3" s="7" t="s">
        <v>323</v>
      </c>
      <c r="H3" s="7" t="s">
        <v>324</v>
      </c>
      <c r="I3" s="7" t="s">
        <v>325</v>
      </c>
      <c r="J3" s="7" t="s">
        <v>326</v>
      </c>
      <c r="K3" s="7" t="s">
        <v>327</v>
      </c>
      <c r="L3" s="7" t="s">
        <v>328</v>
      </c>
      <c r="M3" s="6" t="s">
        <v>2</v>
      </c>
      <c r="N3" s="6" t="s">
        <v>329</v>
      </c>
      <c r="O3" s="6" t="s">
        <v>330</v>
      </c>
    </row>
    <row r="4" ht="21.75" customHeight="1">
      <c r="A4" s="29" t="s">
        <v>331</v>
      </c>
      <c r="B4" s="30" t="s">
        <v>149</v>
      </c>
      <c r="C4" s="30" t="s">
        <v>332</v>
      </c>
      <c r="D4" s="30" t="s">
        <v>23</v>
      </c>
      <c r="E4" s="31" t="s">
        <v>15</v>
      </c>
      <c r="F4" s="31" t="s">
        <v>25</v>
      </c>
      <c r="G4" s="32"/>
      <c r="H4" s="32"/>
      <c r="I4" s="30" t="s">
        <v>19</v>
      </c>
      <c r="J4" s="31">
        <v>7.0</v>
      </c>
      <c r="K4" s="31" t="s">
        <v>18</v>
      </c>
      <c r="L4" s="32"/>
      <c r="M4" s="29" t="s">
        <v>148</v>
      </c>
      <c r="N4" s="29">
        <v>3.0</v>
      </c>
      <c r="O4" s="29">
        <f t="shared" ref="O4:O79" si="1">IF(J4="","",J4-N4)</f>
        <v>4</v>
      </c>
      <c r="Q4" s="33" t="str">
        <f>IFERROR(MasterData!$B4,"")</f>
        <v>ABNAH</v>
      </c>
      <c r="R4" s="33" t="str">
        <f>IFERROR(MasterData!$C4,"")</f>
        <v>ARM</v>
      </c>
      <c r="S4" s="33" t="str">
        <f>IFERROR(MasterData!$D4,"")</f>
        <v>F&amp;B - Kitchen</v>
      </c>
      <c r="T4" s="33" t="str">
        <f>IFERROR(MasterData!$E4,"")</f>
        <v>Mumbai</v>
      </c>
      <c r="U4" s="33" t="str">
        <f>IFERROR(MasterData!$F4,"")</f>
        <v>Trainee</v>
      </c>
      <c r="V4" s="33" t="str">
        <f>IFERROR(MasterData!$I4,"")</f>
        <v>Edwin</v>
      </c>
      <c r="W4" s="33" t="str">
        <f>IFERROR(MasterData!$H4,"")</f>
        <v>Open</v>
      </c>
    </row>
    <row r="5" ht="21.75" customHeight="1">
      <c r="A5" s="34" t="s">
        <v>333</v>
      </c>
      <c r="B5" s="35" t="s">
        <v>149</v>
      </c>
      <c r="C5" s="35" t="s">
        <v>117</v>
      </c>
      <c r="D5" s="35" t="s">
        <v>23</v>
      </c>
      <c r="E5" s="36" t="s">
        <v>15</v>
      </c>
      <c r="F5" s="36" t="s">
        <v>25</v>
      </c>
      <c r="G5" s="37"/>
      <c r="H5" s="37"/>
      <c r="I5" s="35" t="s">
        <v>19</v>
      </c>
      <c r="J5" s="36">
        <v>7.0</v>
      </c>
      <c r="K5" s="36" t="s">
        <v>18</v>
      </c>
      <c r="L5" s="37"/>
      <c r="M5" s="34" t="s">
        <v>148</v>
      </c>
      <c r="N5" s="34">
        <v>0.0</v>
      </c>
      <c r="O5" s="34">
        <f t="shared" si="1"/>
        <v>7</v>
      </c>
      <c r="Q5" s="33" t="str">
        <f>IFERROR(MasterData!$B5,"")</f>
        <v>Abhinav Immigration</v>
      </c>
      <c r="R5" s="33" t="str">
        <f>IFERROR(MasterData!$C5,"")</f>
        <v>Assistant Bartender</v>
      </c>
      <c r="S5" s="33" t="str">
        <f>IFERROR(MasterData!$D5,"")</f>
        <v>F&amp;B - Service</v>
      </c>
      <c r="T5" s="33" t="str">
        <f>IFERROR(MasterData!$E5,"")</f>
        <v>Delhi</v>
      </c>
      <c r="U5" s="33" t="str">
        <f>IFERROR(MasterData!$F5,"")</f>
        <v>Junior</v>
      </c>
      <c r="V5" s="33" t="str">
        <f>IFERROR(MasterData!$I5,"")</f>
        <v>Manokamna</v>
      </c>
      <c r="W5" s="33" t="str">
        <f>IFERROR(MasterData!$H5,"")</f>
        <v>On Hold</v>
      </c>
    </row>
    <row r="6" ht="21.75" customHeight="1">
      <c r="A6" s="29" t="s">
        <v>334</v>
      </c>
      <c r="B6" s="30" t="s">
        <v>134</v>
      </c>
      <c r="C6" s="30" t="s">
        <v>117</v>
      </c>
      <c r="D6" s="30" t="s">
        <v>23</v>
      </c>
      <c r="E6" s="31" t="s">
        <v>15</v>
      </c>
      <c r="F6" s="31" t="s">
        <v>25</v>
      </c>
      <c r="G6" s="32"/>
      <c r="H6" s="32"/>
      <c r="I6" s="30" t="s">
        <v>19</v>
      </c>
      <c r="J6" s="31">
        <v>0.0</v>
      </c>
      <c r="K6" s="31" t="s">
        <v>335</v>
      </c>
      <c r="L6" s="32"/>
      <c r="M6" s="29" t="s">
        <v>133</v>
      </c>
      <c r="N6" s="29">
        <v>0.0</v>
      </c>
      <c r="O6" s="29">
        <f t="shared" si="1"/>
        <v>0</v>
      </c>
      <c r="Q6" s="33" t="str">
        <f>IFERROR(MasterData!$B6,"")</f>
        <v>Adarsh Sweets</v>
      </c>
      <c r="R6" s="33" t="str">
        <f>IFERROR(MasterData!$C6,"")</f>
        <v>Assistant Front Office Manager</v>
      </c>
      <c r="S6" s="33" t="str">
        <f>IFERROR(MasterData!$D6,"")</f>
        <v>Bar &amp; Beverages</v>
      </c>
      <c r="T6" s="33" t="str">
        <f>IFERROR(MasterData!$E6,"")</f>
        <v>Bangalore</v>
      </c>
      <c r="U6" s="33" t="str">
        <f>IFERROR(MasterData!$F6,"")</f>
        <v>Mid</v>
      </c>
      <c r="V6" s="33" t="str">
        <f>IFERROR(MasterData!$I6,"")</f>
        <v>Hardik</v>
      </c>
      <c r="W6" s="33" t="str">
        <f>IFERROR(MasterData!$H6,"")</f>
        <v>Closed - Filled</v>
      </c>
    </row>
    <row r="7" ht="21.75" customHeight="1">
      <c r="A7" s="34" t="s">
        <v>336</v>
      </c>
      <c r="B7" s="35" t="s">
        <v>134</v>
      </c>
      <c r="C7" s="35" t="s">
        <v>306</v>
      </c>
      <c r="D7" s="35" t="s">
        <v>23</v>
      </c>
      <c r="E7" s="36" t="s">
        <v>15</v>
      </c>
      <c r="F7" s="36" t="s">
        <v>25</v>
      </c>
      <c r="G7" s="37"/>
      <c r="H7" s="37"/>
      <c r="I7" s="35" t="s">
        <v>19</v>
      </c>
      <c r="J7" s="36">
        <v>8.0</v>
      </c>
      <c r="K7" s="36" t="s">
        <v>18</v>
      </c>
      <c r="L7" s="37"/>
      <c r="M7" s="34" t="s">
        <v>133</v>
      </c>
      <c r="N7" s="34">
        <v>0.0</v>
      </c>
      <c r="O7" s="34">
        <f t="shared" si="1"/>
        <v>8</v>
      </c>
      <c r="Q7" s="33" t="str">
        <f>IFERROR(MasterData!$B7,"")</f>
        <v>Agarwal Biryani</v>
      </c>
      <c r="R7" s="33" t="str">
        <f>IFERROR(MasterData!$C7,"")</f>
        <v>Assistant Manager</v>
      </c>
      <c r="S7" s="33" t="str">
        <f>IFERROR(MasterData!$D7,"")</f>
        <v>Front Office &amp; Rooms</v>
      </c>
      <c r="T7" s="33" t="str">
        <f>IFERROR(MasterData!$E7,"")</f>
        <v>Hyderabad</v>
      </c>
      <c r="U7" s="33" t="str">
        <f>IFERROR(MasterData!$F7,"")</f>
        <v>Senior</v>
      </c>
      <c r="V7" s="33" t="str">
        <f>IFERROR(MasterData!$I7,"")</f>
        <v>Mohit</v>
      </c>
      <c r="W7" s="33" t="str">
        <f>IFERROR(MasterData!$H7,"")</f>
        <v>Closed - Cancelled</v>
      </c>
    </row>
    <row r="8" ht="21.75" customHeight="1">
      <c r="A8" s="29" t="s">
        <v>337</v>
      </c>
      <c r="B8" s="30" t="s">
        <v>134</v>
      </c>
      <c r="C8" s="30" t="s">
        <v>102</v>
      </c>
      <c r="D8" s="30" t="s">
        <v>23</v>
      </c>
      <c r="E8" s="31" t="s">
        <v>15</v>
      </c>
      <c r="F8" s="31" t="s">
        <v>25</v>
      </c>
      <c r="G8" s="32"/>
      <c r="H8" s="32"/>
      <c r="I8" s="30" t="s">
        <v>19</v>
      </c>
      <c r="J8" s="31">
        <v>0.0</v>
      </c>
      <c r="K8" s="31" t="s">
        <v>335</v>
      </c>
      <c r="L8" s="32"/>
      <c r="M8" s="29" t="s">
        <v>133</v>
      </c>
      <c r="N8" s="29">
        <v>0.0</v>
      </c>
      <c r="O8" s="29">
        <f t="shared" si="1"/>
        <v>0</v>
      </c>
      <c r="Q8" s="33" t="str">
        <f>IFERROR(MasterData!$B8,"")</f>
        <v>All in</v>
      </c>
      <c r="R8" s="33" t="str">
        <f>IFERROR(MasterData!$C8,"")</f>
        <v>Assistant Outlet Manager</v>
      </c>
      <c r="S8" s="33" t="str">
        <f>IFERROR(MasterData!$D8,"")</f>
        <v>Housekeeping</v>
      </c>
      <c r="T8" s="33" t="str">
        <f>IFERROR(MasterData!$E8,"")</f>
        <v>Pune</v>
      </c>
      <c r="U8" s="33" t="str">
        <f>IFERROR(MasterData!$F8,"")</f>
        <v>Leadership</v>
      </c>
      <c r="V8" s="33" t="str">
        <f>IFERROR(MasterData!$I8,"")</f>
        <v>Aakash</v>
      </c>
      <c r="W8" s="33" t="str">
        <f>IFERROR(MasterData!$H8,"")</f>
        <v/>
      </c>
    </row>
    <row r="9" ht="21.75" customHeight="1">
      <c r="A9" s="34" t="s">
        <v>338</v>
      </c>
      <c r="B9" s="35" t="s">
        <v>12</v>
      </c>
      <c r="C9" s="35" t="s">
        <v>306</v>
      </c>
      <c r="D9" s="35" t="s">
        <v>23</v>
      </c>
      <c r="E9" s="36" t="s">
        <v>15</v>
      </c>
      <c r="F9" s="36" t="s">
        <v>25</v>
      </c>
      <c r="G9" s="37"/>
      <c r="H9" s="37"/>
      <c r="I9" s="35" t="s">
        <v>46</v>
      </c>
      <c r="J9" s="36">
        <v>5.0</v>
      </c>
      <c r="K9" s="36" t="s">
        <v>18</v>
      </c>
      <c r="L9" s="37"/>
      <c r="M9" s="34" t="s">
        <v>11</v>
      </c>
      <c r="N9" s="34">
        <v>0.0</v>
      </c>
      <c r="O9" s="34">
        <f t="shared" si="1"/>
        <v>5</v>
      </c>
      <c r="Q9" s="33" t="str">
        <f>IFERROR(MasterData!$B9,"")</f>
        <v>Aria Communication</v>
      </c>
      <c r="R9" s="33" t="str">
        <f>IFERROR(MasterData!$C9,"")</f>
        <v>Assistant Stores Manager</v>
      </c>
      <c r="S9" s="33" t="str">
        <f>IFERROR(MasterData!$D9,"")</f>
        <v>HR &amp; Training</v>
      </c>
      <c r="T9" s="33" t="str">
        <f>IFERROR(MasterData!$E9,"")</f>
        <v>Goa</v>
      </c>
      <c r="U9" s="33" t="str">
        <f>IFERROR(MasterData!$F9,"")</f>
        <v/>
      </c>
      <c r="V9" s="33" t="str">
        <f>IFERROR(MasterData!$I9,"")</f>
        <v/>
      </c>
      <c r="W9" s="33" t="str">
        <f>IFERROR(MasterData!$H9,"")</f>
        <v/>
      </c>
    </row>
    <row r="10" ht="21.75" customHeight="1">
      <c r="A10" s="29" t="s">
        <v>339</v>
      </c>
      <c r="B10" s="30" t="s">
        <v>12</v>
      </c>
      <c r="C10" s="30" t="s">
        <v>186</v>
      </c>
      <c r="D10" s="30" t="s">
        <v>23</v>
      </c>
      <c r="E10" s="31" t="s">
        <v>15</v>
      </c>
      <c r="F10" s="31" t="s">
        <v>25</v>
      </c>
      <c r="G10" s="32"/>
      <c r="H10" s="32"/>
      <c r="I10" s="30" t="s">
        <v>46</v>
      </c>
      <c r="J10" s="31">
        <v>3.0</v>
      </c>
      <c r="K10" s="31" t="s">
        <v>18</v>
      </c>
      <c r="L10" s="32"/>
      <c r="M10" s="29" t="s">
        <v>11</v>
      </c>
      <c r="N10" s="29">
        <v>0.0</v>
      </c>
      <c r="O10" s="29">
        <f t="shared" si="1"/>
        <v>3</v>
      </c>
      <c r="Q10" s="33" t="str">
        <f>IFERROR(MasterData!$B10,"")</f>
        <v>Atmosphere</v>
      </c>
      <c r="R10" s="33" t="str">
        <f>IFERROR(MasterData!$C10,"")</f>
        <v>Asst Cafe Manager</v>
      </c>
      <c r="S10" s="33" t="str">
        <f>IFERROR(MasterData!$D10,"")</f>
        <v>Marketing &amp; PR</v>
      </c>
      <c r="T10" s="33" t="str">
        <f>IFERROR(MasterData!$E10,"")</f>
        <v>Chennai</v>
      </c>
      <c r="U10" s="33" t="str">
        <f>IFERROR(MasterData!$F10,"")</f>
        <v/>
      </c>
      <c r="V10" s="33" t="str">
        <f>IFERROR(MasterData!$I10,"")</f>
        <v/>
      </c>
      <c r="W10" s="33" t="str">
        <f>IFERROR(MasterData!$H10,"")</f>
        <v/>
      </c>
    </row>
    <row r="11" ht="21.75" customHeight="1">
      <c r="A11" s="34" t="s">
        <v>340</v>
      </c>
      <c r="B11" s="35" t="s">
        <v>12</v>
      </c>
      <c r="C11" s="35" t="s">
        <v>102</v>
      </c>
      <c r="D11" s="35" t="s">
        <v>23</v>
      </c>
      <c r="E11" s="36" t="s">
        <v>15</v>
      </c>
      <c r="F11" s="36" t="s">
        <v>25</v>
      </c>
      <c r="G11" s="37"/>
      <c r="H11" s="37"/>
      <c r="I11" s="35" t="s">
        <v>46</v>
      </c>
      <c r="J11" s="36">
        <v>3.0</v>
      </c>
      <c r="K11" s="36" t="s">
        <v>18</v>
      </c>
      <c r="L11" s="37"/>
      <c r="M11" s="34" t="s">
        <v>11</v>
      </c>
      <c r="N11" s="34">
        <v>0.0</v>
      </c>
      <c r="O11" s="34">
        <f t="shared" si="1"/>
        <v>3</v>
      </c>
      <c r="Q11" s="33" t="str">
        <f>IFERROR(MasterData!$B11,"")</f>
        <v>August Café</v>
      </c>
      <c r="R11" s="33" t="str">
        <f>IFERROR(MasterData!$C11,"")</f>
        <v>Bar Lead</v>
      </c>
      <c r="S11" s="33" t="str">
        <f>IFERROR(MasterData!$D11,"")</f>
        <v>Sales &amp; Revenue</v>
      </c>
      <c r="T11" s="33" t="str">
        <f>IFERROR(MasterData!$E11,"")</f>
        <v>Kolkata</v>
      </c>
      <c r="U11" s="33" t="str">
        <f>IFERROR(MasterData!$F11,"")</f>
        <v/>
      </c>
      <c r="V11" s="33" t="str">
        <f>IFERROR(MasterData!$I11,"")</f>
        <v/>
      </c>
      <c r="W11" s="33" t="str">
        <f>IFERROR(MasterData!$H11,"")</f>
        <v/>
      </c>
    </row>
    <row r="12" ht="21.75" customHeight="1">
      <c r="A12" s="29" t="s">
        <v>341</v>
      </c>
      <c r="B12" s="30" t="s">
        <v>98</v>
      </c>
      <c r="C12" s="30" t="s">
        <v>13</v>
      </c>
      <c r="D12" s="30" t="s">
        <v>23</v>
      </c>
      <c r="E12" s="31" t="s">
        <v>15</v>
      </c>
      <c r="F12" s="31" t="s">
        <v>34</v>
      </c>
      <c r="G12" s="32"/>
      <c r="H12" s="32"/>
      <c r="I12" s="38" t="s">
        <v>54</v>
      </c>
      <c r="J12" s="31">
        <v>3.0</v>
      </c>
      <c r="K12" s="31" t="s">
        <v>18</v>
      </c>
      <c r="L12" s="32"/>
      <c r="M12" s="29" t="s">
        <v>97</v>
      </c>
      <c r="N12" s="29">
        <v>0.0</v>
      </c>
      <c r="O12" s="29">
        <f t="shared" si="1"/>
        <v>3</v>
      </c>
      <c r="Q12" s="33" t="str">
        <f>IFERROR(MasterData!$B12,"")</f>
        <v>Aures hospitality</v>
      </c>
      <c r="R12" s="33" t="str">
        <f>IFERROR(MasterData!$C12,"")</f>
        <v>Bar Manager</v>
      </c>
      <c r="S12" s="33" t="str">
        <f>IFERROR(MasterData!$D12,"")</f>
        <v>Finance &amp; Accounts</v>
      </c>
      <c r="T12" s="33" t="str">
        <f>IFERROR(MasterData!$E12,"")</f>
        <v>Ahmedabad</v>
      </c>
      <c r="U12" s="33" t="str">
        <f>IFERROR(MasterData!$F12,"")</f>
        <v/>
      </c>
      <c r="V12" s="33" t="str">
        <f>IFERROR(MasterData!$I12,"")</f>
        <v/>
      </c>
      <c r="W12" s="33" t="str">
        <f>IFERROR(MasterData!$H12,"")</f>
        <v/>
      </c>
    </row>
    <row r="13" ht="21.75" customHeight="1">
      <c r="A13" s="34" t="s">
        <v>342</v>
      </c>
      <c r="B13" s="35" t="s">
        <v>98</v>
      </c>
      <c r="C13" s="35" t="s">
        <v>275</v>
      </c>
      <c r="D13" s="35" t="s">
        <v>23</v>
      </c>
      <c r="E13" s="36" t="s">
        <v>15</v>
      </c>
      <c r="F13" s="36" t="s">
        <v>34</v>
      </c>
      <c r="G13" s="37"/>
      <c r="H13" s="37"/>
      <c r="I13" s="39" t="s">
        <v>54</v>
      </c>
      <c r="J13" s="36">
        <v>3.0</v>
      </c>
      <c r="K13" s="36" t="s">
        <v>18</v>
      </c>
      <c r="L13" s="37"/>
      <c r="M13" s="34" t="s">
        <v>97</v>
      </c>
      <c r="N13" s="34">
        <v>0.0</v>
      </c>
      <c r="O13" s="34">
        <f t="shared" si="1"/>
        <v>3</v>
      </c>
      <c r="Q13" s="33" t="str">
        <f>IFERROR(MasterData!$B13,"")</f>
        <v>BB</v>
      </c>
      <c r="R13" s="33" t="str">
        <f>IFERROR(MasterData!$C13,"")</f>
        <v>Bar Supervisor</v>
      </c>
      <c r="S13" s="33" t="str">
        <f>IFERROR(MasterData!$D13,"")</f>
        <v>Operations</v>
      </c>
      <c r="T13" s="33" t="str">
        <f>IFERROR(MasterData!$E13,"")</f>
        <v>Jaipur</v>
      </c>
      <c r="U13" s="33" t="str">
        <f>IFERROR(MasterData!$F13,"")</f>
        <v/>
      </c>
      <c r="V13" s="33" t="str">
        <f>IFERROR(MasterData!$I13,"")</f>
        <v/>
      </c>
      <c r="W13" s="33" t="str">
        <f>IFERROR(MasterData!$H13,"")</f>
        <v/>
      </c>
    </row>
    <row r="14" ht="21.75" customHeight="1">
      <c r="A14" s="29" t="s">
        <v>343</v>
      </c>
      <c r="B14" s="30" t="s">
        <v>98</v>
      </c>
      <c r="C14" s="30" t="s">
        <v>243</v>
      </c>
      <c r="D14" s="30" t="s">
        <v>82</v>
      </c>
      <c r="E14" s="31" t="s">
        <v>15</v>
      </c>
      <c r="F14" s="31" t="s">
        <v>43</v>
      </c>
      <c r="G14" s="32"/>
      <c r="H14" s="32"/>
      <c r="I14" s="38" t="s">
        <v>54</v>
      </c>
      <c r="J14" s="31">
        <v>1.0</v>
      </c>
      <c r="K14" s="31" t="s">
        <v>335</v>
      </c>
      <c r="L14" s="32"/>
      <c r="M14" s="29" t="s">
        <v>97</v>
      </c>
      <c r="N14" s="29">
        <v>0.0</v>
      </c>
      <c r="O14" s="29">
        <f t="shared" si="1"/>
        <v>1</v>
      </c>
      <c r="Q14" s="33" t="str">
        <f>IFERROR(MasterData!$B14,"")</f>
        <v>BTC</v>
      </c>
      <c r="R14" s="33" t="str">
        <f>IFERROR(MasterData!$C14,"")</f>
        <v>Barback</v>
      </c>
      <c r="S14" s="33" t="str">
        <f>IFERROR(MasterData!$D14,"")</f>
        <v>Store &amp; Purchase</v>
      </c>
      <c r="T14" s="33" t="str">
        <f>IFERROR(MasterData!$E14,"")</f>
        <v>Other</v>
      </c>
      <c r="U14" s="33" t="str">
        <f>IFERROR(MasterData!$F14,"")</f>
        <v/>
      </c>
      <c r="V14" s="33" t="str">
        <f>IFERROR(MasterData!$I14,"")</f>
        <v/>
      </c>
      <c r="W14" s="33" t="str">
        <f>IFERROR(MasterData!$H14,"")</f>
        <v/>
      </c>
    </row>
    <row r="15" ht="21.75" customHeight="1">
      <c r="A15" s="34" t="s">
        <v>344</v>
      </c>
      <c r="B15" s="35" t="s">
        <v>98</v>
      </c>
      <c r="C15" s="35" t="s">
        <v>302</v>
      </c>
      <c r="D15" s="35" t="s">
        <v>64</v>
      </c>
      <c r="E15" s="36" t="s">
        <v>15</v>
      </c>
      <c r="F15" s="36" t="s">
        <v>25</v>
      </c>
      <c r="G15" s="37"/>
      <c r="H15" s="37"/>
      <c r="I15" s="35" t="s">
        <v>54</v>
      </c>
      <c r="J15" s="36">
        <v>2.0</v>
      </c>
      <c r="K15" s="36" t="s">
        <v>18</v>
      </c>
      <c r="L15" s="37"/>
      <c r="M15" s="34" t="s">
        <v>97</v>
      </c>
      <c r="N15" s="34">
        <v>2.0</v>
      </c>
      <c r="O15" s="34">
        <f t="shared" si="1"/>
        <v>0</v>
      </c>
      <c r="Q15" s="33" t="str">
        <f>IFERROR(MasterData!$B15,"")</f>
        <v>Baesic Fit</v>
      </c>
      <c r="R15" s="33" t="str">
        <f>IFERROR(MasterData!$C15,"")</f>
        <v>Barista</v>
      </c>
      <c r="S15" s="33" t="str">
        <f>IFERROR(MasterData!$D15,"")</f>
        <v>Tech &amp; Data</v>
      </c>
      <c r="T15" s="33" t="str">
        <f>IFERROR(MasterData!$E15,"")</f>
        <v/>
      </c>
      <c r="U15" s="33" t="str">
        <f>IFERROR(MasterData!$F15,"")</f>
        <v/>
      </c>
      <c r="V15" s="33" t="str">
        <f>IFERROR(MasterData!$I15,"")</f>
        <v/>
      </c>
      <c r="W15" s="33" t="str">
        <f>IFERROR(MasterData!$H15,"")</f>
        <v/>
      </c>
    </row>
    <row r="16" ht="21.75" customHeight="1">
      <c r="A16" s="29" t="s">
        <v>345</v>
      </c>
      <c r="B16" s="30" t="s">
        <v>104</v>
      </c>
      <c r="C16" s="30" t="s">
        <v>165</v>
      </c>
      <c r="D16" s="30" t="s">
        <v>23</v>
      </c>
      <c r="E16" s="31" t="s">
        <v>15</v>
      </c>
      <c r="F16" s="31" t="s">
        <v>25</v>
      </c>
      <c r="G16" s="32"/>
      <c r="H16" s="32"/>
      <c r="I16" s="30" t="s">
        <v>46</v>
      </c>
      <c r="J16" s="31">
        <v>35.0</v>
      </c>
      <c r="K16" s="31" t="s">
        <v>18</v>
      </c>
      <c r="L16" s="32"/>
      <c r="M16" s="29" t="s">
        <v>103</v>
      </c>
      <c r="N16" s="29">
        <v>0.0</v>
      </c>
      <c r="O16" s="29">
        <f t="shared" si="1"/>
        <v>35</v>
      </c>
      <c r="Q16" s="33" t="str">
        <f>IFERROR(MasterData!$B16,"")</f>
        <v>Bare</v>
      </c>
      <c r="R16" s="33" t="str">
        <f>IFERROR(MasterData!$C16,"")</f>
        <v>Barista Head</v>
      </c>
      <c r="S16" s="33" t="str">
        <f>IFERROR(MasterData!$D16,"")</f>
        <v>Other</v>
      </c>
      <c r="T16" s="33" t="str">
        <f>IFERROR(MasterData!$E16,"")</f>
        <v/>
      </c>
      <c r="U16" s="33" t="str">
        <f>IFERROR(MasterData!$F16,"")</f>
        <v/>
      </c>
      <c r="V16" s="33" t="str">
        <f>IFERROR(MasterData!$I16,"")</f>
        <v/>
      </c>
      <c r="W16" s="33" t="str">
        <f>IFERROR(MasterData!$H16,"")</f>
        <v/>
      </c>
    </row>
    <row r="17" ht="21.75" customHeight="1">
      <c r="A17" s="34" t="s">
        <v>346</v>
      </c>
      <c r="B17" s="35" t="s">
        <v>268</v>
      </c>
      <c r="C17" s="35" t="s">
        <v>304</v>
      </c>
      <c r="D17" s="35" t="s">
        <v>14</v>
      </c>
      <c r="E17" s="36" t="s">
        <v>15</v>
      </c>
      <c r="F17" s="36" t="s">
        <v>43</v>
      </c>
      <c r="G17" s="37"/>
      <c r="H17" s="37"/>
      <c r="I17" s="35" t="s">
        <v>46</v>
      </c>
      <c r="J17" s="36">
        <v>1.0</v>
      </c>
      <c r="K17" s="36" t="s">
        <v>18</v>
      </c>
      <c r="L17" s="35" t="s">
        <v>347</v>
      </c>
      <c r="M17" s="34" t="s">
        <v>267</v>
      </c>
      <c r="N17" s="34">
        <v>0.0</v>
      </c>
      <c r="O17" s="34">
        <f t="shared" si="1"/>
        <v>1</v>
      </c>
      <c r="Q17" s="33" t="str">
        <f>IFERROR(MasterData!$B17,"")</f>
        <v>Blondie</v>
      </c>
      <c r="R17" s="33" t="str">
        <f>IFERROR(MasterData!$C17,"")</f>
        <v>Barista Trainer</v>
      </c>
      <c r="S17" s="33" t="str">
        <f>IFERROR(MasterData!$D17,"")</f>
        <v/>
      </c>
      <c r="T17" s="33" t="str">
        <f>IFERROR(MasterData!$E17,"")</f>
        <v/>
      </c>
      <c r="U17" s="33" t="str">
        <f>IFERROR(MasterData!$F17,"")</f>
        <v/>
      </c>
      <c r="V17" s="33" t="str">
        <f>IFERROR(MasterData!$I17,"")</f>
        <v/>
      </c>
      <c r="W17" s="33" t="str">
        <f>IFERROR(MasterData!$H17,"")</f>
        <v/>
      </c>
    </row>
    <row r="18" ht="21.75" customHeight="1">
      <c r="A18" s="29" t="s">
        <v>348</v>
      </c>
      <c r="B18" s="30" t="s">
        <v>268</v>
      </c>
      <c r="C18" s="30" t="s">
        <v>254</v>
      </c>
      <c r="D18" s="30" t="s">
        <v>23</v>
      </c>
      <c r="E18" s="31" t="s">
        <v>15</v>
      </c>
      <c r="F18" s="31" t="s">
        <v>34</v>
      </c>
      <c r="G18" s="32"/>
      <c r="H18" s="32"/>
      <c r="I18" s="30" t="s">
        <v>28</v>
      </c>
      <c r="J18" s="31">
        <v>3.0</v>
      </c>
      <c r="K18" s="31" t="s">
        <v>18</v>
      </c>
      <c r="L18" s="32"/>
      <c r="M18" s="29" t="s">
        <v>267</v>
      </c>
      <c r="N18" s="29">
        <v>0.0</v>
      </c>
      <c r="O18" s="29">
        <f t="shared" si="1"/>
        <v>3</v>
      </c>
      <c r="Q18" s="33" t="str">
        <f>IFERROR(MasterData!$B18,"")</f>
        <v>Circa 11</v>
      </c>
      <c r="R18" s="33" t="str">
        <f>IFERROR(MasterData!$C18,"")</f>
        <v>Bartender</v>
      </c>
      <c r="S18" s="33" t="str">
        <f>IFERROR(MasterData!$D18,"")</f>
        <v/>
      </c>
      <c r="T18" s="33" t="str">
        <f>IFERROR(MasterData!$E18,"")</f>
        <v/>
      </c>
      <c r="U18" s="33" t="str">
        <f>IFERROR(MasterData!$F18,"")</f>
        <v/>
      </c>
      <c r="V18" s="33" t="str">
        <f>IFERROR(MasterData!$I18,"")</f>
        <v/>
      </c>
      <c r="W18" s="33" t="str">
        <f>IFERROR(MasterData!$H18,"")</f>
        <v/>
      </c>
    </row>
    <row r="19" ht="21.75" customHeight="1">
      <c r="A19" s="34" t="s">
        <v>349</v>
      </c>
      <c r="B19" s="35" t="s">
        <v>268</v>
      </c>
      <c r="C19" s="35" t="s">
        <v>306</v>
      </c>
      <c r="D19" s="35" t="s">
        <v>23</v>
      </c>
      <c r="E19" s="36" t="s">
        <v>15</v>
      </c>
      <c r="F19" s="36" t="s">
        <v>25</v>
      </c>
      <c r="G19" s="37"/>
      <c r="H19" s="37"/>
      <c r="I19" s="35" t="s">
        <v>28</v>
      </c>
      <c r="J19" s="36">
        <v>8.0</v>
      </c>
      <c r="K19" s="36" t="s">
        <v>18</v>
      </c>
      <c r="L19" s="37"/>
      <c r="M19" s="34" t="s">
        <v>267</v>
      </c>
      <c r="N19" s="34">
        <v>0.0</v>
      </c>
      <c r="O19" s="34">
        <f t="shared" si="1"/>
        <v>8</v>
      </c>
      <c r="Q19" s="33" t="str">
        <f>IFERROR(MasterData!$B19,"")</f>
        <v>CocoCart</v>
      </c>
      <c r="R19" s="33" t="str">
        <f>IFERROR(MasterData!$C19,"")</f>
        <v>CDP</v>
      </c>
      <c r="S19" s="33" t="str">
        <f>IFERROR(MasterData!$D19,"")</f>
        <v/>
      </c>
      <c r="T19" s="33" t="str">
        <f>IFERROR(MasterData!$E19,"")</f>
        <v/>
      </c>
      <c r="U19" s="33" t="str">
        <f>IFERROR(MasterData!$F19,"")</f>
        <v/>
      </c>
      <c r="V19" s="33" t="str">
        <f>IFERROR(MasterData!$I19,"")</f>
        <v/>
      </c>
      <c r="W19" s="33" t="str">
        <f>IFERROR(MasterData!$H19,"")</f>
        <v/>
      </c>
    </row>
    <row r="20" ht="21.75" customHeight="1">
      <c r="A20" s="29" t="s">
        <v>350</v>
      </c>
      <c r="B20" s="30" t="s">
        <v>239</v>
      </c>
      <c r="C20" s="30" t="s">
        <v>275</v>
      </c>
      <c r="D20" s="30" t="s">
        <v>23</v>
      </c>
      <c r="E20" s="31" t="s">
        <v>24</v>
      </c>
      <c r="F20" s="31" t="s">
        <v>34</v>
      </c>
      <c r="G20" s="32"/>
      <c r="H20" s="32"/>
      <c r="I20" s="30" t="s">
        <v>37</v>
      </c>
      <c r="J20" s="31">
        <v>2.0</v>
      </c>
      <c r="K20" s="31" t="s">
        <v>18</v>
      </c>
      <c r="L20" s="32"/>
      <c r="M20" s="29" t="s">
        <v>238</v>
      </c>
      <c r="N20" s="29">
        <v>0.0</v>
      </c>
      <c r="O20" s="29">
        <f t="shared" si="1"/>
        <v>2</v>
      </c>
      <c r="Q20" s="33" t="str">
        <f>IFERROR(MasterData!$B20,"")</f>
        <v>DU Hospitality</v>
      </c>
      <c r="R20" s="33" t="str">
        <f>IFERROR(MasterData!$C20,"")</f>
        <v>CRM</v>
      </c>
      <c r="S20" s="33" t="str">
        <f>IFERROR(MasterData!$D20,"")</f>
        <v/>
      </c>
      <c r="T20" s="33" t="str">
        <f>IFERROR(MasterData!$E20,"")</f>
        <v/>
      </c>
      <c r="U20" s="33" t="str">
        <f>IFERROR(MasterData!$F20,"")</f>
        <v/>
      </c>
      <c r="V20" s="33" t="str">
        <f>IFERROR(MasterData!$I20,"")</f>
        <v/>
      </c>
      <c r="W20" s="33" t="str">
        <f>IFERROR(MasterData!$H20,"")</f>
        <v/>
      </c>
    </row>
    <row r="21" ht="21.75" customHeight="1">
      <c r="A21" s="34" t="s">
        <v>351</v>
      </c>
      <c r="B21" s="35" t="s">
        <v>239</v>
      </c>
      <c r="C21" s="35" t="s">
        <v>13</v>
      </c>
      <c r="D21" s="35" t="s">
        <v>23</v>
      </c>
      <c r="E21" s="36" t="s">
        <v>24</v>
      </c>
      <c r="F21" s="36" t="s">
        <v>34</v>
      </c>
      <c r="G21" s="37"/>
      <c r="H21" s="37"/>
      <c r="I21" s="35" t="s">
        <v>37</v>
      </c>
      <c r="J21" s="36">
        <v>2.0</v>
      </c>
      <c r="K21" s="36" t="s">
        <v>18</v>
      </c>
      <c r="L21" s="37"/>
      <c r="M21" s="34" t="s">
        <v>238</v>
      </c>
      <c r="N21" s="34">
        <v>0.0</v>
      </c>
      <c r="O21" s="34">
        <f t="shared" si="1"/>
        <v>2</v>
      </c>
      <c r="Q21" s="33" t="str">
        <f>IFERROR(MasterData!$B21,"")</f>
        <v>Diva</v>
      </c>
      <c r="R21" s="33" t="str">
        <f>IFERROR(MasterData!$C21,"")</f>
        <v>Cafe Manager</v>
      </c>
      <c r="S21" s="33" t="str">
        <f>IFERROR(MasterData!$D21,"")</f>
        <v/>
      </c>
      <c r="T21" s="33" t="str">
        <f>IFERROR(MasterData!$E21,"")</f>
        <v/>
      </c>
      <c r="U21" s="33" t="str">
        <f>IFERROR(MasterData!$F21,"")</f>
        <v/>
      </c>
      <c r="V21" s="33" t="str">
        <f>IFERROR(MasterData!$I21,"")</f>
        <v/>
      </c>
      <c r="W21" s="33" t="str">
        <f>IFERROR(MasterData!$H21,"")</f>
        <v/>
      </c>
    </row>
    <row r="22" ht="21.75" customHeight="1">
      <c r="A22" s="29" t="s">
        <v>352</v>
      </c>
      <c r="B22" s="30" t="s">
        <v>239</v>
      </c>
      <c r="C22" s="30" t="s">
        <v>13</v>
      </c>
      <c r="D22" s="30" t="s">
        <v>23</v>
      </c>
      <c r="E22" s="31" t="s">
        <v>51</v>
      </c>
      <c r="F22" s="31" t="s">
        <v>34</v>
      </c>
      <c r="G22" s="32"/>
      <c r="H22" s="32"/>
      <c r="I22" s="30" t="s">
        <v>37</v>
      </c>
      <c r="J22" s="31">
        <v>2.0</v>
      </c>
      <c r="K22" s="31" t="s">
        <v>18</v>
      </c>
      <c r="L22" s="32"/>
      <c r="M22" s="29" t="s">
        <v>238</v>
      </c>
      <c r="N22" s="29">
        <v>0.0</v>
      </c>
      <c r="O22" s="29">
        <f t="shared" si="1"/>
        <v>2</v>
      </c>
      <c r="Q22" s="33" t="str">
        <f>IFERROR(MasterData!$B22,"")</f>
        <v>Donmai</v>
      </c>
      <c r="R22" s="33" t="str">
        <f>IFERROR(MasterData!$C22,"")</f>
        <v>Cafe Supervisor</v>
      </c>
      <c r="S22" s="33" t="str">
        <f>IFERROR(MasterData!$D22,"")</f>
        <v/>
      </c>
      <c r="T22" s="33" t="str">
        <f>IFERROR(MasterData!$E22,"")</f>
        <v/>
      </c>
      <c r="U22" s="33" t="str">
        <f>IFERROR(MasterData!$F22,"")</f>
        <v/>
      </c>
      <c r="V22" s="33" t="str">
        <f>IFERROR(MasterData!$I22,"")</f>
        <v/>
      </c>
      <c r="W22" s="33" t="str">
        <f>IFERROR(MasterData!$H22,"")</f>
        <v/>
      </c>
    </row>
    <row r="23" ht="21.75" customHeight="1">
      <c r="A23" s="34" t="s">
        <v>353</v>
      </c>
      <c r="B23" s="35" t="s">
        <v>239</v>
      </c>
      <c r="C23" s="35" t="s">
        <v>162</v>
      </c>
      <c r="D23" s="35" t="s">
        <v>14</v>
      </c>
      <c r="E23" s="36" t="s">
        <v>24</v>
      </c>
      <c r="F23" s="36" t="s">
        <v>52</v>
      </c>
      <c r="G23" s="40">
        <v>46085.0</v>
      </c>
      <c r="H23" s="40">
        <v>46104.0</v>
      </c>
      <c r="I23" s="35" t="s">
        <v>37</v>
      </c>
      <c r="J23" s="36">
        <v>2.0</v>
      </c>
      <c r="K23" s="36" t="s">
        <v>335</v>
      </c>
      <c r="L23" s="39" t="s">
        <v>354</v>
      </c>
      <c r="M23" s="34" t="s">
        <v>238</v>
      </c>
      <c r="N23" s="34">
        <v>1.0</v>
      </c>
      <c r="O23" s="34">
        <f t="shared" si="1"/>
        <v>1</v>
      </c>
      <c r="Q23" s="33" t="str">
        <f>IFERROR(MasterData!$B23,"")</f>
        <v>Doppler</v>
      </c>
      <c r="R23" s="33" t="str">
        <f>IFERROR(MasterData!$C23,"")</f>
        <v>Captain</v>
      </c>
      <c r="S23" s="33" t="str">
        <f>IFERROR(MasterData!$D23,"")</f>
        <v/>
      </c>
      <c r="T23" s="33" t="str">
        <f>IFERROR(MasterData!$E23,"")</f>
        <v/>
      </c>
      <c r="U23" s="33" t="str">
        <f>IFERROR(MasterData!$F23,"")</f>
        <v/>
      </c>
      <c r="V23" s="33" t="str">
        <f>IFERROR(MasterData!$I23,"")</f>
        <v/>
      </c>
      <c r="W23" s="33" t="str">
        <f>IFERROR(MasterData!$H23,"")</f>
        <v/>
      </c>
    </row>
    <row r="24" ht="21.75" customHeight="1">
      <c r="A24" s="29" t="s">
        <v>355</v>
      </c>
      <c r="B24" s="30" t="s">
        <v>239</v>
      </c>
      <c r="C24" s="30" t="s">
        <v>162</v>
      </c>
      <c r="D24" s="30" t="s">
        <v>14</v>
      </c>
      <c r="E24" s="31" t="s">
        <v>51</v>
      </c>
      <c r="F24" s="31" t="s">
        <v>52</v>
      </c>
      <c r="G24" s="32"/>
      <c r="H24" s="32"/>
      <c r="I24" s="30" t="s">
        <v>37</v>
      </c>
      <c r="J24" s="31">
        <v>1.0</v>
      </c>
      <c r="K24" s="31" t="s">
        <v>18</v>
      </c>
      <c r="L24" s="32"/>
      <c r="M24" s="29" t="s">
        <v>238</v>
      </c>
      <c r="N24" s="29">
        <v>0.0</v>
      </c>
      <c r="O24" s="29">
        <f t="shared" si="1"/>
        <v>1</v>
      </c>
      <c r="Q24" s="33" t="str">
        <f>IFERROR(MasterData!$B24,"")</f>
        <v>Dough and Joe</v>
      </c>
      <c r="R24" s="33" t="str">
        <f>IFERROR(MasterData!$C24,"")</f>
        <v>Cashier</v>
      </c>
      <c r="S24" s="33" t="str">
        <f>IFERROR(MasterData!$D24,"")</f>
        <v/>
      </c>
      <c r="T24" s="33" t="str">
        <f>IFERROR(MasterData!$E24,"")</f>
        <v/>
      </c>
      <c r="U24" s="33" t="str">
        <f>IFERROR(MasterData!$F24,"")</f>
        <v/>
      </c>
      <c r="V24" s="33" t="str">
        <f>IFERROR(MasterData!$I24,"")</f>
        <v/>
      </c>
      <c r="W24" s="33" t="str">
        <f>IFERROR(MasterData!$H24,"")</f>
        <v/>
      </c>
    </row>
    <row r="25" ht="21.75" customHeight="1">
      <c r="A25" s="34" t="s">
        <v>356</v>
      </c>
      <c r="B25" s="35" t="s">
        <v>239</v>
      </c>
      <c r="C25" s="35" t="s">
        <v>357</v>
      </c>
      <c r="D25" s="35" t="s">
        <v>64</v>
      </c>
      <c r="E25" s="36" t="s">
        <v>24</v>
      </c>
      <c r="F25" s="36" t="s">
        <v>52</v>
      </c>
      <c r="G25" s="41">
        <v>46086.0</v>
      </c>
      <c r="H25" s="40">
        <v>46089.0</v>
      </c>
      <c r="I25" s="35" t="s">
        <v>37</v>
      </c>
      <c r="J25" s="36">
        <v>1.0</v>
      </c>
      <c r="K25" s="36" t="s">
        <v>335</v>
      </c>
      <c r="L25" s="37"/>
      <c r="M25" s="34" t="s">
        <v>238</v>
      </c>
      <c r="N25" s="34">
        <v>1.0</v>
      </c>
      <c r="O25" s="34">
        <f t="shared" si="1"/>
        <v>0</v>
      </c>
      <c r="Q25" s="33" t="str">
        <f>IFERROR(MasterData!$B25,"")</f>
        <v>EDD</v>
      </c>
      <c r="R25" s="33" t="str">
        <f>IFERROR(MasterData!$C25,"")</f>
        <v>Chef</v>
      </c>
      <c r="S25" s="33" t="str">
        <f>IFERROR(MasterData!$D25,"")</f>
        <v/>
      </c>
      <c r="T25" s="33" t="str">
        <f>IFERROR(MasterData!$E25,"")</f>
        <v/>
      </c>
      <c r="U25" s="33" t="str">
        <f>IFERROR(MasterData!$F25,"")</f>
        <v/>
      </c>
      <c r="V25" s="33" t="str">
        <f>IFERROR(MasterData!$I25,"")</f>
        <v/>
      </c>
      <c r="W25" s="33" t="str">
        <f>IFERROR(MasterData!$H25,"")</f>
        <v/>
      </c>
    </row>
    <row r="26" ht="21.75" customHeight="1">
      <c r="A26" s="29" t="s">
        <v>358</v>
      </c>
      <c r="B26" s="30" t="s">
        <v>191</v>
      </c>
      <c r="C26" s="30" t="s">
        <v>138</v>
      </c>
      <c r="D26" s="30" t="s">
        <v>64</v>
      </c>
      <c r="E26" s="31" t="s">
        <v>33</v>
      </c>
      <c r="F26" s="31" t="s">
        <v>34</v>
      </c>
      <c r="G26" s="32"/>
      <c r="H26" s="32"/>
      <c r="I26" s="30" t="s">
        <v>37</v>
      </c>
      <c r="J26" s="31">
        <v>1.0</v>
      </c>
      <c r="K26" s="31" t="s">
        <v>18</v>
      </c>
      <c r="L26" s="32"/>
      <c r="M26" s="29" t="s">
        <v>190</v>
      </c>
      <c r="N26" s="29">
        <v>0.0</v>
      </c>
      <c r="O26" s="29">
        <f t="shared" si="1"/>
        <v>1</v>
      </c>
      <c r="Q26" s="33" t="str">
        <f>IFERROR(MasterData!$B26,"")</f>
        <v>FHPL</v>
      </c>
      <c r="R26" s="33" t="str">
        <f>IFERROR(MasterData!$C26,"")</f>
        <v>Commi</v>
      </c>
      <c r="S26" s="33" t="str">
        <f>IFERROR(MasterData!$D26,"")</f>
        <v/>
      </c>
      <c r="T26" s="33" t="str">
        <f>IFERROR(MasterData!$E26,"")</f>
        <v/>
      </c>
      <c r="U26" s="33" t="str">
        <f>IFERROR(MasterData!$F26,"")</f>
        <v/>
      </c>
      <c r="V26" s="33" t="str">
        <f>IFERROR(MasterData!$I26,"")</f>
        <v/>
      </c>
      <c r="W26" s="33" t="str">
        <f>IFERROR(MasterData!$H26,"")</f>
        <v/>
      </c>
    </row>
    <row r="27" ht="21.75" customHeight="1">
      <c r="A27" s="34" t="s">
        <v>359</v>
      </c>
      <c r="B27" s="18" t="s">
        <v>191</v>
      </c>
      <c r="C27" s="18" t="s">
        <v>138</v>
      </c>
      <c r="D27" s="18" t="s">
        <v>64</v>
      </c>
      <c r="E27" s="42" t="s">
        <v>15</v>
      </c>
      <c r="F27" s="42" t="s">
        <v>34</v>
      </c>
      <c r="G27" s="43"/>
      <c r="H27" s="43"/>
      <c r="I27" s="18" t="s">
        <v>37</v>
      </c>
      <c r="J27" s="42">
        <v>1.0</v>
      </c>
      <c r="K27" s="42" t="s">
        <v>18</v>
      </c>
      <c r="L27" s="43"/>
      <c r="M27" s="34" t="s">
        <v>190</v>
      </c>
      <c r="N27" s="34">
        <v>0.0</v>
      </c>
      <c r="O27" s="34">
        <f t="shared" si="1"/>
        <v>1</v>
      </c>
      <c r="Q27" s="33" t="str">
        <f>IFERROR(MasterData!$B27,"")</f>
        <v>Flavour Pots</v>
      </c>
      <c r="R27" s="33" t="str">
        <f>IFERROR(MasterData!$C27,"")</f>
        <v>Commi 1</v>
      </c>
      <c r="S27" s="33" t="str">
        <f>IFERROR(MasterData!$D27,"")</f>
        <v/>
      </c>
      <c r="T27" s="33" t="str">
        <f>IFERROR(MasterData!$E27,"")</f>
        <v/>
      </c>
      <c r="U27" s="33" t="str">
        <f>IFERROR(MasterData!$F27,"")</f>
        <v/>
      </c>
      <c r="V27" s="33" t="str">
        <f>IFERROR(MasterData!$I27,"")</f>
        <v/>
      </c>
      <c r="W27" s="33" t="str">
        <f>IFERROR(MasterData!$H27,"")</f>
        <v/>
      </c>
    </row>
    <row r="28" ht="21.75" customHeight="1">
      <c r="A28" s="29" t="s">
        <v>360</v>
      </c>
      <c r="B28" s="13" t="s">
        <v>122</v>
      </c>
      <c r="C28" s="13" t="s">
        <v>201</v>
      </c>
      <c r="D28" s="13" t="s">
        <v>58</v>
      </c>
      <c r="E28" s="44" t="s">
        <v>15</v>
      </c>
      <c r="F28" s="44" t="s">
        <v>43</v>
      </c>
      <c r="G28" s="45"/>
      <c r="H28" s="45"/>
      <c r="I28" s="13" t="s">
        <v>54</v>
      </c>
      <c r="J28" s="44">
        <v>1.0</v>
      </c>
      <c r="K28" s="44" t="s">
        <v>18</v>
      </c>
      <c r="L28" s="45"/>
      <c r="M28" s="29" t="s">
        <v>121</v>
      </c>
      <c r="N28" s="29">
        <v>0.0</v>
      </c>
      <c r="O28" s="29">
        <f t="shared" si="1"/>
        <v>1</v>
      </c>
      <c r="Q28" s="33" t="str">
        <f>IFERROR(MasterData!$B28,"")</f>
        <v>Food Square</v>
      </c>
      <c r="R28" s="33" t="str">
        <f>IFERROR(MasterData!$C28,"")</f>
        <v>Commi 2</v>
      </c>
      <c r="S28" s="33" t="str">
        <f>IFERROR(MasterData!$D28,"")</f>
        <v/>
      </c>
      <c r="T28" s="33" t="str">
        <f>IFERROR(MasterData!$E28,"")</f>
        <v/>
      </c>
      <c r="U28" s="33" t="str">
        <f>IFERROR(MasterData!$F28,"")</f>
        <v/>
      </c>
      <c r="V28" s="33" t="str">
        <f>IFERROR(MasterData!$I28,"")</f>
        <v/>
      </c>
      <c r="W28" s="33" t="str">
        <f>IFERROR(MasterData!$H28,"")</f>
        <v/>
      </c>
    </row>
    <row r="29" ht="21.75" customHeight="1">
      <c r="A29" s="34" t="s">
        <v>361</v>
      </c>
      <c r="B29" s="18" t="s">
        <v>122</v>
      </c>
      <c r="C29" s="18" t="s">
        <v>304</v>
      </c>
      <c r="D29" s="18" t="s">
        <v>14</v>
      </c>
      <c r="E29" s="42" t="s">
        <v>15</v>
      </c>
      <c r="F29" s="42" t="s">
        <v>43</v>
      </c>
      <c r="G29" s="43"/>
      <c r="H29" s="43"/>
      <c r="I29" s="13" t="s">
        <v>54</v>
      </c>
      <c r="J29" s="42">
        <v>1.0</v>
      </c>
      <c r="K29" s="42" t="s">
        <v>18</v>
      </c>
      <c r="L29" s="43"/>
      <c r="M29" s="34" t="s">
        <v>121</v>
      </c>
      <c r="N29" s="34">
        <v>0.0</v>
      </c>
      <c r="O29" s="34">
        <f t="shared" si="1"/>
        <v>1</v>
      </c>
      <c r="Q29" s="33" t="str">
        <f>IFERROR(MasterData!$B29,"")</f>
        <v>Foodmatters</v>
      </c>
      <c r="R29" s="33" t="str">
        <f>IFERROR(MasterData!$C29,"")</f>
        <v>Commi 3</v>
      </c>
      <c r="S29" s="33" t="str">
        <f>IFERROR(MasterData!$D29,"")</f>
        <v/>
      </c>
      <c r="T29" s="33" t="str">
        <f>IFERROR(MasterData!$E29,"")</f>
        <v/>
      </c>
      <c r="U29" s="33" t="str">
        <f>IFERROR(MasterData!$F29,"")</f>
        <v/>
      </c>
      <c r="V29" s="33" t="str">
        <f>IFERROR(MasterData!$I29,"")</f>
        <v/>
      </c>
      <c r="W29" s="33" t="str">
        <f>IFERROR(MasterData!$H29,"")</f>
        <v/>
      </c>
    </row>
    <row r="30" ht="21.75" customHeight="1">
      <c r="A30" s="29" t="s">
        <v>362</v>
      </c>
      <c r="B30" s="13" t="s">
        <v>122</v>
      </c>
      <c r="C30" s="13" t="s">
        <v>105</v>
      </c>
      <c r="D30" s="13" t="s">
        <v>14</v>
      </c>
      <c r="E30" s="44" t="s">
        <v>15</v>
      </c>
      <c r="F30" s="44" t="s">
        <v>34</v>
      </c>
      <c r="G30" s="45"/>
      <c r="H30" s="45"/>
      <c r="I30" s="13" t="s">
        <v>54</v>
      </c>
      <c r="J30" s="44">
        <v>1.0</v>
      </c>
      <c r="K30" s="44" t="s">
        <v>18</v>
      </c>
      <c r="L30" s="45"/>
      <c r="M30" s="29" t="s">
        <v>121</v>
      </c>
      <c r="N30" s="29">
        <v>0.0</v>
      </c>
      <c r="O30" s="29">
        <f t="shared" si="1"/>
        <v>1</v>
      </c>
      <c r="Q30" s="33" t="str">
        <f>IFERROR(MasterData!$B30,"")</f>
        <v>Ghostkitchens</v>
      </c>
      <c r="R30" s="33" t="str">
        <f>IFERROR(MasterData!$C30,"")</f>
        <v>Community Manager</v>
      </c>
      <c r="S30" s="33" t="str">
        <f>IFERROR(MasterData!$D30,"")</f>
        <v/>
      </c>
      <c r="T30" s="33" t="str">
        <f>IFERROR(MasterData!$E30,"")</f>
        <v/>
      </c>
      <c r="U30" s="33" t="str">
        <f>IFERROR(MasterData!$F30,"")</f>
        <v/>
      </c>
      <c r="V30" s="33" t="str">
        <f>IFERROR(MasterData!$I30,"")</f>
        <v/>
      </c>
      <c r="W30" s="33" t="str">
        <f>IFERROR(MasterData!$H30,"")</f>
        <v/>
      </c>
    </row>
    <row r="31" ht="21.75" customHeight="1">
      <c r="A31" s="34" t="s">
        <v>363</v>
      </c>
      <c r="B31" s="18" t="s">
        <v>122</v>
      </c>
      <c r="C31" s="18" t="s">
        <v>126</v>
      </c>
      <c r="D31" s="18" t="s">
        <v>14</v>
      </c>
      <c r="E31" s="42" t="s">
        <v>15</v>
      </c>
      <c r="F31" s="42" t="s">
        <v>25</v>
      </c>
      <c r="G31" s="43"/>
      <c r="H31" s="43"/>
      <c r="I31" s="13" t="s">
        <v>54</v>
      </c>
      <c r="J31" s="42">
        <v>5.0</v>
      </c>
      <c r="K31" s="42" t="s">
        <v>18</v>
      </c>
      <c r="L31" s="43"/>
      <c r="M31" s="34" t="s">
        <v>121</v>
      </c>
      <c r="N31" s="34">
        <v>0.0</v>
      </c>
      <c r="O31" s="34">
        <f t="shared" si="1"/>
        <v>5</v>
      </c>
      <c r="Q31" s="33" t="str">
        <f>IFERROR(MasterData!$B31,"")</f>
        <v>Gupta Brands</v>
      </c>
      <c r="R31" s="33" t="str">
        <f>IFERROR(MasterData!$C31,"")</f>
        <v>Content Strategist</v>
      </c>
      <c r="S31" s="33" t="str">
        <f>IFERROR(MasterData!$D31,"")</f>
        <v/>
      </c>
      <c r="T31" s="33" t="str">
        <f>IFERROR(MasterData!$E31,"")</f>
        <v/>
      </c>
      <c r="U31" s="33" t="str">
        <f>IFERROR(MasterData!$F31,"")</f>
        <v/>
      </c>
      <c r="V31" s="33" t="str">
        <f>IFERROR(MasterData!$I31,"")</f>
        <v/>
      </c>
      <c r="W31" s="33" t="str">
        <f>IFERROR(MasterData!$H31,"")</f>
        <v/>
      </c>
    </row>
    <row r="32" ht="21.75" customHeight="1">
      <c r="A32" s="29" t="s">
        <v>364</v>
      </c>
      <c r="B32" s="13" t="s">
        <v>122</v>
      </c>
      <c r="C32" s="13" t="s">
        <v>117</v>
      </c>
      <c r="D32" s="13" t="s">
        <v>23</v>
      </c>
      <c r="E32" s="44" t="s">
        <v>15</v>
      </c>
      <c r="F32" s="44" t="s">
        <v>25</v>
      </c>
      <c r="G32" s="45"/>
      <c r="H32" s="45"/>
      <c r="I32" s="13" t="s">
        <v>54</v>
      </c>
      <c r="J32" s="44">
        <v>5.0</v>
      </c>
      <c r="K32" s="44" t="s">
        <v>18</v>
      </c>
      <c r="L32" s="45"/>
      <c r="M32" s="29" t="s">
        <v>121</v>
      </c>
      <c r="N32" s="29">
        <v>0.0</v>
      </c>
      <c r="O32" s="29">
        <f t="shared" si="1"/>
        <v>5</v>
      </c>
      <c r="Q32" s="33" t="str">
        <f>IFERROR(MasterData!$B32,"")</f>
        <v>Huddle and Score</v>
      </c>
      <c r="R32" s="33" t="str">
        <f>IFERROR(MasterData!$C32,"")</f>
        <v>Counter Sales</v>
      </c>
      <c r="S32" s="33" t="str">
        <f>IFERROR(MasterData!$D32,"")</f>
        <v/>
      </c>
      <c r="T32" s="33" t="str">
        <f>IFERROR(MasterData!$E32,"")</f>
        <v/>
      </c>
      <c r="U32" s="33" t="str">
        <f>IFERROR(MasterData!$F32,"")</f>
        <v/>
      </c>
      <c r="V32" s="33" t="str">
        <f>IFERROR(MasterData!$I32,"")</f>
        <v/>
      </c>
      <c r="W32" s="33" t="str">
        <f>IFERROR(MasterData!$H32,"")</f>
        <v/>
      </c>
    </row>
    <row r="33" ht="21.75" customHeight="1">
      <c r="A33" s="34" t="s">
        <v>365</v>
      </c>
      <c r="B33" s="18" t="s">
        <v>170</v>
      </c>
      <c r="C33" s="18" t="s">
        <v>123</v>
      </c>
      <c r="D33" s="18" t="s">
        <v>14</v>
      </c>
      <c r="E33" s="42" t="s">
        <v>15</v>
      </c>
      <c r="F33" s="42" t="s">
        <v>52</v>
      </c>
      <c r="G33" s="43"/>
      <c r="H33" s="43"/>
      <c r="I33" s="18" t="s">
        <v>19</v>
      </c>
      <c r="J33" s="42">
        <v>0.0</v>
      </c>
      <c r="K33" s="42" t="s">
        <v>18</v>
      </c>
      <c r="L33" s="18" t="s">
        <v>366</v>
      </c>
      <c r="M33" s="34" t="s">
        <v>169</v>
      </c>
      <c r="N33" s="34">
        <v>0.0</v>
      </c>
      <c r="O33" s="34">
        <f t="shared" si="1"/>
        <v>0</v>
      </c>
      <c r="Q33" s="33" t="str">
        <f>IFERROR(MasterData!$B33,"")</f>
        <v>Hummingtree</v>
      </c>
      <c r="R33" s="33" t="str">
        <f>IFERROR(MasterData!$C33,"")</f>
        <v>DCDP</v>
      </c>
      <c r="S33" s="33" t="str">
        <f>IFERROR(MasterData!$D33,"")</f>
        <v/>
      </c>
      <c r="T33" s="33" t="str">
        <f>IFERROR(MasterData!$E33,"")</f>
        <v/>
      </c>
      <c r="U33" s="33" t="str">
        <f>IFERROR(MasterData!$F33,"")</f>
        <v/>
      </c>
      <c r="V33" s="33" t="str">
        <f>IFERROR(MasterData!$I33,"")</f>
        <v/>
      </c>
      <c r="W33" s="33" t="str">
        <f>IFERROR(MasterData!$H33,"")</f>
        <v/>
      </c>
    </row>
    <row r="34" ht="21.75" customHeight="1">
      <c r="A34" s="29" t="s">
        <v>367</v>
      </c>
      <c r="B34" s="13" t="s">
        <v>170</v>
      </c>
      <c r="C34" s="13" t="s">
        <v>304</v>
      </c>
      <c r="D34" s="13" t="s">
        <v>14</v>
      </c>
      <c r="E34" s="44" t="s">
        <v>15</v>
      </c>
      <c r="F34" s="44" t="s">
        <v>43</v>
      </c>
      <c r="G34" s="45"/>
      <c r="H34" s="45"/>
      <c r="I34" s="13" t="s">
        <v>19</v>
      </c>
      <c r="J34" s="44">
        <v>1.0</v>
      </c>
      <c r="K34" s="44" t="s">
        <v>18</v>
      </c>
      <c r="L34" s="45"/>
      <c r="M34" s="29" t="s">
        <v>169</v>
      </c>
      <c r="N34" s="29">
        <v>0.0</v>
      </c>
      <c r="O34" s="29">
        <f t="shared" si="1"/>
        <v>1</v>
      </c>
      <c r="Q34" s="33" t="str">
        <f>IFERROR(MasterData!$B34,"")</f>
        <v>Hunger Inc</v>
      </c>
      <c r="R34" s="33" t="str">
        <f>IFERROR(MasterData!$C34,"")</f>
        <v>Data Analyst</v>
      </c>
      <c r="S34" s="33" t="str">
        <f>IFERROR(MasterData!$D34,"")</f>
        <v/>
      </c>
      <c r="T34" s="33" t="str">
        <f>IFERROR(MasterData!$E34,"")</f>
        <v/>
      </c>
      <c r="U34" s="33" t="str">
        <f>IFERROR(MasterData!$F34,"")</f>
        <v/>
      </c>
      <c r="V34" s="33" t="str">
        <f>IFERROR(MasterData!$I34,"")</f>
        <v/>
      </c>
      <c r="W34" s="33" t="str">
        <f>IFERROR(MasterData!$H34,"")</f>
        <v/>
      </c>
    </row>
    <row r="35" ht="21.75" customHeight="1">
      <c r="A35" s="34" t="s">
        <v>368</v>
      </c>
      <c r="B35" s="18" t="s">
        <v>170</v>
      </c>
      <c r="C35" s="18" t="s">
        <v>237</v>
      </c>
      <c r="D35" s="18" t="s">
        <v>32</v>
      </c>
      <c r="E35" s="42" t="s">
        <v>15</v>
      </c>
      <c r="F35" s="42" t="s">
        <v>43</v>
      </c>
      <c r="G35" s="43"/>
      <c r="H35" s="43"/>
      <c r="I35" s="18" t="s">
        <v>19</v>
      </c>
      <c r="J35" s="42">
        <v>1.0</v>
      </c>
      <c r="K35" s="42" t="s">
        <v>18</v>
      </c>
      <c r="L35" s="43"/>
      <c r="M35" s="34" t="s">
        <v>169</v>
      </c>
      <c r="N35" s="34">
        <v>0.0</v>
      </c>
      <c r="O35" s="34">
        <f t="shared" si="1"/>
        <v>1</v>
      </c>
      <c r="Q35" s="33" t="str">
        <f>IFERROR(MasterData!$B35,"")</f>
        <v>Idoru</v>
      </c>
      <c r="R35" s="33" t="str">
        <f>IFERROR(MasterData!$C35,"")</f>
        <v>Director of Operations</v>
      </c>
      <c r="S35" s="33" t="str">
        <f>IFERROR(MasterData!$D35,"")</f>
        <v/>
      </c>
      <c r="T35" s="33" t="str">
        <f>IFERROR(MasterData!$E35,"")</f>
        <v/>
      </c>
      <c r="U35" s="33" t="str">
        <f>IFERROR(MasterData!$F35,"")</f>
        <v/>
      </c>
      <c r="V35" s="33" t="str">
        <f>IFERROR(MasterData!$I35,"")</f>
        <v/>
      </c>
      <c r="W35" s="33" t="str">
        <f>IFERROR(MasterData!$H35,"")</f>
        <v/>
      </c>
    </row>
    <row r="36" ht="21.75" customHeight="1">
      <c r="A36" s="29" t="s">
        <v>369</v>
      </c>
      <c r="B36" s="13" t="s">
        <v>170</v>
      </c>
      <c r="C36" s="13" t="s">
        <v>117</v>
      </c>
      <c r="D36" s="13" t="s">
        <v>23</v>
      </c>
      <c r="E36" s="44" t="s">
        <v>15</v>
      </c>
      <c r="F36" s="44" t="s">
        <v>25</v>
      </c>
      <c r="G36" s="45"/>
      <c r="H36" s="45"/>
      <c r="I36" s="13" t="s">
        <v>19</v>
      </c>
      <c r="J36" s="44">
        <v>10.0</v>
      </c>
      <c r="K36" s="44" t="s">
        <v>18</v>
      </c>
      <c r="L36" s="45"/>
      <c r="M36" s="29" t="s">
        <v>169</v>
      </c>
      <c r="N36" s="29">
        <v>0.0</v>
      </c>
      <c r="O36" s="29">
        <f t="shared" si="1"/>
        <v>10</v>
      </c>
      <c r="Q36" s="33" t="str">
        <f>IFERROR(MasterData!$B36,"")</f>
        <v>Ikai</v>
      </c>
      <c r="R36" s="33" t="str">
        <f>IFERROR(MasterData!$C36,"")</f>
        <v>Duty Manager</v>
      </c>
      <c r="S36" s="33" t="str">
        <f>IFERROR(MasterData!$D36,"")</f>
        <v/>
      </c>
      <c r="T36" s="33" t="str">
        <f>IFERROR(MasterData!$E36,"")</f>
        <v/>
      </c>
      <c r="U36" s="33" t="str">
        <f>IFERROR(MasterData!$F36,"")</f>
        <v/>
      </c>
      <c r="V36" s="33" t="str">
        <f>IFERROR(MasterData!$I36,"")</f>
        <v/>
      </c>
      <c r="W36" s="33" t="str">
        <f>IFERROR(MasterData!$H36,"")</f>
        <v/>
      </c>
    </row>
    <row r="37" ht="21.75" customHeight="1">
      <c r="A37" s="34" t="s">
        <v>370</v>
      </c>
      <c r="B37" s="18" t="s">
        <v>170</v>
      </c>
      <c r="C37" s="18" t="s">
        <v>102</v>
      </c>
      <c r="D37" s="18" t="s">
        <v>32</v>
      </c>
      <c r="E37" s="42" t="s">
        <v>15</v>
      </c>
      <c r="F37" s="42" t="s">
        <v>25</v>
      </c>
      <c r="G37" s="43"/>
      <c r="H37" s="43"/>
      <c r="I37" s="18" t="s">
        <v>19</v>
      </c>
      <c r="J37" s="42">
        <v>5.0</v>
      </c>
      <c r="K37" s="42" t="s">
        <v>18</v>
      </c>
      <c r="L37" s="43"/>
      <c r="M37" s="34" t="s">
        <v>169</v>
      </c>
      <c r="N37" s="34">
        <v>0.0</v>
      </c>
      <c r="O37" s="34">
        <f t="shared" si="1"/>
        <v>5</v>
      </c>
      <c r="Q37" s="33" t="str">
        <f>IFERROR(MasterData!$B37,"")</f>
        <v>Izumi</v>
      </c>
      <c r="R37" s="33" t="str">
        <f>IFERROR(MasterData!$C37,"")</f>
        <v>EA</v>
      </c>
      <c r="S37" s="33" t="str">
        <f>IFERROR(MasterData!$D37,"")</f>
        <v/>
      </c>
      <c r="T37" s="33" t="str">
        <f>IFERROR(MasterData!$E37,"")</f>
        <v/>
      </c>
      <c r="U37" s="33" t="str">
        <f>IFERROR(MasterData!$F37,"")</f>
        <v/>
      </c>
      <c r="V37" s="33" t="str">
        <f>IFERROR(MasterData!$I37,"")</f>
        <v/>
      </c>
      <c r="W37" s="33" t="str">
        <f>IFERROR(MasterData!$H37,"")</f>
        <v/>
      </c>
    </row>
    <row r="38" ht="21.75" customHeight="1">
      <c r="A38" s="29" t="s">
        <v>371</v>
      </c>
      <c r="B38" s="13" t="s">
        <v>170</v>
      </c>
      <c r="C38" s="13" t="s">
        <v>126</v>
      </c>
      <c r="D38" s="13" t="s">
        <v>14</v>
      </c>
      <c r="E38" s="44" t="s">
        <v>15</v>
      </c>
      <c r="F38" s="44" t="s">
        <v>25</v>
      </c>
      <c r="G38" s="45"/>
      <c r="H38" s="45"/>
      <c r="I38" s="13" t="s">
        <v>19</v>
      </c>
      <c r="J38" s="44">
        <v>10.0</v>
      </c>
      <c r="K38" s="44" t="s">
        <v>18</v>
      </c>
      <c r="L38" s="45"/>
      <c r="M38" s="29" t="s">
        <v>169</v>
      </c>
      <c r="N38" s="29">
        <v>0.0</v>
      </c>
      <c r="O38" s="29">
        <f t="shared" si="1"/>
        <v>10</v>
      </c>
      <c r="Q38" s="33" t="str">
        <f>IFERROR(MasterData!$B38,"")</f>
        <v>Izumi - GOA</v>
      </c>
      <c r="R38" s="33" t="str">
        <f>IFERROR(MasterData!$C38,"")</f>
        <v>Executive Chef</v>
      </c>
      <c r="S38" s="33" t="str">
        <f>IFERROR(MasterData!$D38,"")</f>
        <v/>
      </c>
      <c r="T38" s="33" t="str">
        <f>IFERROR(MasterData!$E38,"")</f>
        <v/>
      </c>
      <c r="U38" s="33" t="str">
        <f>IFERROR(MasterData!$F38,"")</f>
        <v/>
      </c>
      <c r="V38" s="33" t="str">
        <f>IFERROR(MasterData!$I38,"")</f>
        <v/>
      </c>
      <c r="W38" s="33" t="str">
        <f>IFERROR(MasterData!$H38,"")</f>
        <v/>
      </c>
    </row>
    <row r="39" ht="21.75" customHeight="1">
      <c r="A39" s="34" t="s">
        <v>372</v>
      </c>
      <c r="B39" s="18" t="s">
        <v>101</v>
      </c>
      <c r="C39" s="18" t="s">
        <v>105</v>
      </c>
      <c r="D39" s="18" t="s">
        <v>14</v>
      </c>
      <c r="E39" s="42" t="s">
        <v>33</v>
      </c>
      <c r="F39" s="42" t="s">
        <v>34</v>
      </c>
      <c r="G39" s="43"/>
      <c r="H39" s="43"/>
      <c r="I39" s="18" t="s">
        <v>19</v>
      </c>
      <c r="J39" s="42">
        <v>1.0</v>
      </c>
      <c r="K39" s="42" t="s">
        <v>18</v>
      </c>
      <c r="L39" s="43"/>
      <c r="M39" s="34" t="s">
        <v>100</v>
      </c>
      <c r="N39" s="34">
        <v>0.0</v>
      </c>
      <c r="O39" s="34">
        <f t="shared" si="1"/>
        <v>1</v>
      </c>
      <c r="Q39" s="33" t="str">
        <f>IFERROR(MasterData!$B39,"")</f>
        <v>Kaia</v>
      </c>
      <c r="R39" s="33" t="str">
        <f>IFERROR(MasterData!$C39,"")</f>
        <v>F&amp;B Associate</v>
      </c>
      <c r="S39" s="33" t="str">
        <f>IFERROR(MasterData!$D39,"")</f>
        <v/>
      </c>
      <c r="T39" s="33" t="str">
        <f>IFERROR(MasterData!$E39,"")</f>
        <v/>
      </c>
      <c r="U39" s="33" t="str">
        <f>IFERROR(MasterData!$F39,"")</f>
        <v/>
      </c>
      <c r="V39" s="33" t="str">
        <f>IFERROR(MasterData!$I39,"")</f>
        <v/>
      </c>
      <c r="W39" s="33" t="str">
        <f>IFERROR(MasterData!$H39,"")</f>
        <v/>
      </c>
    </row>
    <row r="40" ht="21.75" customHeight="1">
      <c r="A40" s="29" t="s">
        <v>373</v>
      </c>
      <c r="B40" s="13" t="s">
        <v>101</v>
      </c>
      <c r="C40" s="13" t="s">
        <v>102</v>
      </c>
      <c r="D40" s="13" t="s">
        <v>32</v>
      </c>
      <c r="E40" s="44" t="s">
        <v>33</v>
      </c>
      <c r="F40" s="44" t="s">
        <v>25</v>
      </c>
      <c r="G40" s="45"/>
      <c r="H40" s="45"/>
      <c r="I40" s="13" t="s">
        <v>19</v>
      </c>
      <c r="J40" s="44">
        <v>1.0</v>
      </c>
      <c r="K40" s="44" t="s">
        <v>18</v>
      </c>
      <c r="L40" s="45"/>
      <c r="M40" s="29" t="s">
        <v>100</v>
      </c>
      <c r="N40" s="29">
        <v>0.0</v>
      </c>
      <c r="O40" s="29">
        <f t="shared" si="1"/>
        <v>1</v>
      </c>
      <c r="Q40" s="33" t="str">
        <f>IFERROR(MasterData!$B40,"")</f>
        <v>Kohinoor Group</v>
      </c>
      <c r="R40" s="33" t="str">
        <f>IFERROR(MasterData!$C40,"")</f>
        <v>F&amp;B Controller</v>
      </c>
      <c r="S40" s="33" t="str">
        <f>IFERROR(MasterData!$D40,"")</f>
        <v/>
      </c>
      <c r="T40" s="33" t="str">
        <f>IFERROR(MasterData!$E40,"")</f>
        <v/>
      </c>
      <c r="U40" s="33" t="str">
        <f>IFERROR(MasterData!$F40,"")</f>
        <v/>
      </c>
      <c r="V40" s="33" t="str">
        <f>IFERROR(MasterData!$I40,"")</f>
        <v/>
      </c>
      <c r="W40" s="33" t="str">
        <f>IFERROR(MasterData!$H40,"")</f>
        <v/>
      </c>
    </row>
    <row r="41" ht="21.75" customHeight="1">
      <c r="A41" s="34" t="s">
        <v>374</v>
      </c>
      <c r="B41" s="18" t="s">
        <v>48</v>
      </c>
      <c r="C41" s="18" t="s">
        <v>375</v>
      </c>
      <c r="D41" s="18" t="s">
        <v>41</v>
      </c>
      <c r="E41" s="42" t="s">
        <v>15</v>
      </c>
      <c r="F41" s="42" t="s">
        <v>34</v>
      </c>
      <c r="G41" s="43"/>
      <c r="H41" s="43"/>
      <c r="I41" s="18" t="s">
        <v>28</v>
      </c>
      <c r="J41" s="42">
        <v>1.0</v>
      </c>
      <c r="K41" s="42" t="s">
        <v>18</v>
      </c>
      <c r="L41" s="43"/>
      <c r="M41" s="34" t="s">
        <v>47</v>
      </c>
      <c r="N41" s="34">
        <v>0.0</v>
      </c>
      <c r="O41" s="34">
        <f t="shared" si="1"/>
        <v>1</v>
      </c>
      <c r="Q41" s="33" t="str">
        <f>IFERROR(MasterData!$B41,"")</f>
        <v>La Loca Maria</v>
      </c>
      <c r="R41" s="33" t="str">
        <f>IFERROR(MasterData!$C41,"")</f>
        <v>F&amp;B Executive</v>
      </c>
      <c r="S41" s="33" t="str">
        <f>IFERROR(MasterData!$D41,"")</f>
        <v/>
      </c>
      <c r="T41" s="33" t="str">
        <f>IFERROR(MasterData!$E41,"")</f>
        <v/>
      </c>
      <c r="U41" s="33" t="str">
        <f>IFERROR(MasterData!$F41,"")</f>
        <v/>
      </c>
      <c r="V41" s="33" t="str">
        <f>IFERROR(MasterData!$I41,"")</f>
        <v/>
      </c>
      <c r="W41" s="33" t="str">
        <f>IFERROR(MasterData!$H41,"")</f>
        <v/>
      </c>
    </row>
    <row r="42" ht="21.75" customHeight="1">
      <c r="A42" s="29" t="s">
        <v>376</v>
      </c>
      <c r="B42" s="13" t="s">
        <v>48</v>
      </c>
      <c r="C42" s="13" t="s">
        <v>117</v>
      </c>
      <c r="D42" s="13" t="s">
        <v>14</v>
      </c>
      <c r="E42" s="44" t="s">
        <v>15</v>
      </c>
      <c r="F42" s="44" t="s">
        <v>25</v>
      </c>
      <c r="G42" s="45"/>
      <c r="H42" s="45"/>
      <c r="I42" s="13" t="s">
        <v>28</v>
      </c>
      <c r="J42" s="44">
        <v>7.0</v>
      </c>
      <c r="K42" s="44" t="s">
        <v>18</v>
      </c>
      <c r="L42" s="45"/>
      <c r="M42" s="29" t="s">
        <v>47</v>
      </c>
      <c r="N42" s="29">
        <v>0.0</v>
      </c>
      <c r="O42" s="29">
        <f t="shared" si="1"/>
        <v>7</v>
      </c>
      <c r="Q42" s="33" t="str">
        <f>IFERROR(MasterData!$B42,"")</f>
        <v>Le 15</v>
      </c>
      <c r="R42" s="33" t="str">
        <f>IFERROR(MasterData!$C42,"")</f>
        <v>F&amp;B Supervisor</v>
      </c>
      <c r="S42" s="33" t="str">
        <f>IFERROR(MasterData!$D42,"")</f>
        <v/>
      </c>
      <c r="T42" s="33" t="str">
        <f>IFERROR(MasterData!$E42,"")</f>
        <v/>
      </c>
      <c r="U42" s="33" t="str">
        <f>IFERROR(MasterData!$F42,"")</f>
        <v/>
      </c>
      <c r="V42" s="33" t="str">
        <f>IFERROR(MasterData!$I42,"")</f>
        <v/>
      </c>
      <c r="W42" s="33" t="str">
        <f>IFERROR(MasterData!$H42,"")</f>
        <v/>
      </c>
    </row>
    <row r="43" ht="21.75" customHeight="1">
      <c r="A43" s="34" t="s">
        <v>377</v>
      </c>
      <c r="B43" s="18" t="s">
        <v>48</v>
      </c>
      <c r="C43" s="18" t="s">
        <v>102</v>
      </c>
      <c r="D43" s="18" t="s">
        <v>32</v>
      </c>
      <c r="E43" s="42" t="s">
        <v>15</v>
      </c>
      <c r="F43" s="42" t="s">
        <v>25</v>
      </c>
      <c r="G43" s="43"/>
      <c r="H43" s="43"/>
      <c r="I43" s="18" t="s">
        <v>28</v>
      </c>
      <c r="J43" s="42">
        <v>3.0</v>
      </c>
      <c r="K43" s="42" t="s">
        <v>18</v>
      </c>
      <c r="L43" s="43"/>
      <c r="M43" s="34" t="s">
        <v>47</v>
      </c>
      <c r="N43" s="34">
        <v>0.0</v>
      </c>
      <c r="O43" s="34">
        <f t="shared" si="1"/>
        <v>3</v>
      </c>
      <c r="Q43" s="33" t="str">
        <f>IFERROR(MasterData!$B43,"")</f>
        <v>Malsons</v>
      </c>
      <c r="R43" s="33" t="str">
        <f>IFERROR(MasterData!$C43,"")</f>
        <v>FOE</v>
      </c>
      <c r="S43" s="33" t="str">
        <f>IFERROR(MasterData!$D43,"")</f>
        <v/>
      </c>
      <c r="T43" s="33" t="str">
        <f>IFERROR(MasterData!$E43,"")</f>
        <v/>
      </c>
      <c r="U43" s="33" t="str">
        <f>IFERROR(MasterData!$F43,"")</f>
        <v/>
      </c>
      <c r="V43" s="33" t="str">
        <f>IFERROR(MasterData!$I43,"")</f>
        <v/>
      </c>
      <c r="W43" s="33" t="str">
        <f>IFERROR(MasterData!$H43,"")</f>
        <v/>
      </c>
    </row>
    <row r="44" ht="21.75" customHeight="1">
      <c r="A44" s="29" t="s">
        <v>378</v>
      </c>
      <c r="B44" s="13" t="s">
        <v>274</v>
      </c>
      <c r="C44" s="13" t="s">
        <v>123</v>
      </c>
      <c r="D44" s="13" t="s">
        <v>14</v>
      </c>
      <c r="E44" s="44" t="s">
        <v>15</v>
      </c>
      <c r="F44" s="44" t="s">
        <v>34</v>
      </c>
      <c r="G44" s="46">
        <v>46097.0</v>
      </c>
      <c r="H44" s="45"/>
      <c r="I44" s="13" t="s">
        <v>54</v>
      </c>
      <c r="J44" s="44">
        <v>1.0</v>
      </c>
      <c r="K44" s="44" t="s">
        <v>18</v>
      </c>
      <c r="L44" s="13" t="s">
        <v>379</v>
      </c>
      <c r="M44" s="29" t="s">
        <v>273</v>
      </c>
      <c r="N44" s="29">
        <v>0.0</v>
      </c>
      <c r="O44" s="29">
        <f t="shared" si="1"/>
        <v>1</v>
      </c>
      <c r="Q44" s="33" t="str">
        <f>IFERROR(MasterData!$B44,"")</f>
        <v>Mia Cucina</v>
      </c>
      <c r="R44" s="33" t="str">
        <f>IFERROR(MasterData!$C44,"")</f>
        <v>Floor Supervisor</v>
      </c>
      <c r="S44" s="33" t="str">
        <f>IFERROR(MasterData!$D44,"")</f>
        <v/>
      </c>
      <c r="T44" s="33" t="str">
        <f>IFERROR(MasterData!$E44,"")</f>
        <v/>
      </c>
      <c r="U44" s="33" t="str">
        <f>IFERROR(MasterData!$F44,"")</f>
        <v/>
      </c>
      <c r="V44" s="33" t="str">
        <f>IFERROR(MasterData!$I44,"")</f>
        <v/>
      </c>
      <c r="W44" s="33" t="str">
        <f>IFERROR(MasterData!$H44,"")</f>
        <v/>
      </c>
    </row>
    <row r="45" ht="21.75" customHeight="1">
      <c r="A45" s="34" t="s">
        <v>380</v>
      </c>
      <c r="B45" s="18" t="s">
        <v>274</v>
      </c>
      <c r="C45" s="18" t="s">
        <v>269</v>
      </c>
      <c r="D45" s="18" t="s">
        <v>88</v>
      </c>
      <c r="E45" s="42" t="s">
        <v>15</v>
      </c>
      <c r="F45" s="42" t="s">
        <v>34</v>
      </c>
      <c r="G45" s="47">
        <v>46097.0</v>
      </c>
      <c r="H45" s="43"/>
      <c r="I45" s="18" t="s">
        <v>54</v>
      </c>
      <c r="J45" s="42">
        <v>1.0</v>
      </c>
      <c r="K45" s="42" t="s">
        <v>18</v>
      </c>
      <c r="L45" s="43"/>
      <c r="M45" s="34" t="s">
        <v>273</v>
      </c>
      <c r="N45" s="34">
        <v>0.0</v>
      </c>
      <c r="O45" s="34">
        <f t="shared" si="1"/>
        <v>1</v>
      </c>
      <c r="Q45" s="33" t="str">
        <f>IFERROR(MasterData!$B45,"")</f>
        <v>Milagro (SLH)</v>
      </c>
      <c r="R45" s="33" t="str">
        <f>IFERROR(MasterData!$C45,"")</f>
        <v>Front Desk</v>
      </c>
      <c r="S45" s="33" t="str">
        <f>IFERROR(MasterData!$D45,"")</f>
        <v/>
      </c>
      <c r="T45" s="33" t="str">
        <f>IFERROR(MasterData!$E45,"")</f>
        <v/>
      </c>
      <c r="U45" s="33" t="str">
        <f>IFERROR(MasterData!$F45,"")</f>
        <v/>
      </c>
      <c r="V45" s="33" t="str">
        <f>IFERROR(MasterData!$I45,"")</f>
        <v/>
      </c>
      <c r="W45" s="33" t="str">
        <f>IFERROR(MasterData!$H45,"")</f>
        <v/>
      </c>
    </row>
    <row r="46" ht="21.75" customHeight="1">
      <c r="A46" s="29" t="s">
        <v>381</v>
      </c>
      <c r="B46" s="13" t="s">
        <v>274</v>
      </c>
      <c r="C46" s="13" t="s">
        <v>165</v>
      </c>
      <c r="D46" s="13" t="s">
        <v>23</v>
      </c>
      <c r="E46" s="44" t="s">
        <v>15</v>
      </c>
      <c r="F46" s="44" t="s">
        <v>25</v>
      </c>
      <c r="G46" s="46">
        <v>46097.0</v>
      </c>
      <c r="H46" s="45"/>
      <c r="I46" s="13" t="s">
        <v>54</v>
      </c>
      <c r="J46" s="44">
        <v>30.0</v>
      </c>
      <c r="K46" s="44" t="s">
        <v>18</v>
      </c>
      <c r="L46" s="45"/>
      <c r="M46" s="29" t="s">
        <v>273</v>
      </c>
      <c r="N46" s="29">
        <v>0.0</v>
      </c>
      <c r="O46" s="29">
        <f t="shared" si="1"/>
        <v>30</v>
      </c>
      <c r="Q46" s="33" t="str">
        <f>IFERROR(MasterData!$B46,"")</f>
        <v>Monarch</v>
      </c>
      <c r="R46" s="33" t="str">
        <f>IFERROR(MasterData!$C46,"")</f>
        <v>GRE</v>
      </c>
      <c r="S46" s="33" t="str">
        <f>IFERROR(MasterData!$D46,"")</f>
        <v/>
      </c>
      <c r="T46" s="33" t="str">
        <f>IFERROR(MasterData!$E46,"")</f>
        <v/>
      </c>
      <c r="U46" s="33" t="str">
        <f>IFERROR(MasterData!$F46,"")</f>
        <v/>
      </c>
      <c r="V46" s="33" t="str">
        <f>IFERROR(MasterData!$I46,"")</f>
        <v/>
      </c>
      <c r="W46" s="33" t="str">
        <f>IFERROR(MasterData!$H46,"")</f>
        <v/>
      </c>
    </row>
    <row r="47" ht="21.75" customHeight="1">
      <c r="A47" s="34" t="s">
        <v>382</v>
      </c>
      <c r="B47" s="18" t="s">
        <v>277</v>
      </c>
      <c r="C47" s="18" t="s">
        <v>126</v>
      </c>
      <c r="D47" s="18" t="s">
        <v>14</v>
      </c>
      <c r="E47" s="42" t="s">
        <v>15</v>
      </c>
      <c r="F47" s="42" t="s">
        <v>25</v>
      </c>
      <c r="G47" s="48">
        <v>46098.0</v>
      </c>
      <c r="H47" s="49"/>
      <c r="I47" s="18" t="s">
        <v>28</v>
      </c>
      <c r="J47" s="42">
        <v>2.0</v>
      </c>
      <c r="K47" s="42" t="s">
        <v>18</v>
      </c>
      <c r="L47" s="18" t="s">
        <v>383</v>
      </c>
      <c r="M47" s="34" t="s">
        <v>276</v>
      </c>
      <c r="N47" s="34">
        <v>0.0</v>
      </c>
      <c r="O47" s="34">
        <f t="shared" si="1"/>
        <v>2</v>
      </c>
      <c r="Q47" s="33" t="str">
        <f>IFERROR(MasterData!$B47,"")</f>
        <v>NOTO</v>
      </c>
      <c r="R47" s="33" t="str">
        <f>IFERROR(MasterData!$C47,"")</f>
        <v>GRM</v>
      </c>
      <c r="S47" s="33" t="str">
        <f>IFERROR(MasterData!$D47,"")</f>
        <v/>
      </c>
      <c r="T47" s="33" t="str">
        <f>IFERROR(MasterData!$E47,"")</f>
        <v/>
      </c>
      <c r="U47" s="33" t="str">
        <f>IFERROR(MasterData!$F47,"")</f>
        <v/>
      </c>
      <c r="V47" s="33" t="str">
        <f>IFERROR(MasterData!$I47,"")</f>
        <v/>
      </c>
      <c r="W47" s="33" t="str">
        <f>IFERROR(MasterData!$H47,"")</f>
        <v/>
      </c>
    </row>
    <row r="48" ht="21.75" customHeight="1">
      <c r="A48" s="29" t="s">
        <v>384</v>
      </c>
      <c r="B48" s="13" t="s">
        <v>280</v>
      </c>
      <c r="C48" s="13" t="s">
        <v>302</v>
      </c>
      <c r="D48" s="13" t="s">
        <v>64</v>
      </c>
      <c r="E48" s="44" t="s">
        <v>15</v>
      </c>
      <c r="F48" s="44" t="s">
        <v>25</v>
      </c>
      <c r="G48" s="50">
        <v>46082.0</v>
      </c>
      <c r="H48" s="51"/>
      <c r="I48" s="13" t="s">
        <v>54</v>
      </c>
      <c r="J48" s="44">
        <v>2.0</v>
      </c>
      <c r="K48" s="44" t="s">
        <v>36</v>
      </c>
      <c r="L48" s="52"/>
      <c r="M48" s="29" t="s">
        <v>279</v>
      </c>
      <c r="N48" s="29">
        <v>0.0</v>
      </c>
      <c r="O48" s="29">
        <f t="shared" si="1"/>
        <v>2</v>
      </c>
      <c r="Q48" s="33" t="str">
        <f>IFERROR(MasterData!$B48,"")</f>
        <v>Neighbourhood</v>
      </c>
      <c r="R48" s="33" t="str">
        <f>IFERROR(MasterData!$C48,"")</f>
        <v>General Manager</v>
      </c>
      <c r="S48" s="33" t="str">
        <f>IFERROR(MasterData!$D48,"")</f>
        <v/>
      </c>
      <c r="T48" s="33" t="str">
        <f>IFERROR(MasterData!$E48,"")</f>
        <v/>
      </c>
      <c r="U48" s="33" t="str">
        <f>IFERROR(MasterData!$F48,"")</f>
        <v/>
      </c>
      <c r="V48" s="33" t="str">
        <f>IFERROR(MasterData!$I48,"")</f>
        <v/>
      </c>
      <c r="W48" s="33" t="str">
        <f>IFERROR(MasterData!$H48,"")</f>
        <v/>
      </c>
    </row>
    <row r="49" ht="21.75" customHeight="1">
      <c r="A49" s="34" t="s">
        <v>385</v>
      </c>
      <c r="B49" s="18" t="s">
        <v>280</v>
      </c>
      <c r="C49" s="18" t="s">
        <v>246</v>
      </c>
      <c r="D49" s="18" t="s">
        <v>23</v>
      </c>
      <c r="E49" s="42" t="s">
        <v>15</v>
      </c>
      <c r="F49" s="42" t="s">
        <v>34</v>
      </c>
      <c r="G49" s="48">
        <v>46091.0</v>
      </c>
      <c r="H49" s="49"/>
      <c r="I49" s="18" t="s">
        <v>37</v>
      </c>
      <c r="J49" s="42">
        <v>1.0</v>
      </c>
      <c r="K49" s="42" t="s">
        <v>18</v>
      </c>
      <c r="L49" s="18" t="s">
        <v>386</v>
      </c>
      <c r="M49" s="34" t="s">
        <v>279</v>
      </c>
      <c r="N49" s="34">
        <v>0.0</v>
      </c>
      <c r="O49" s="34">
        <f t="shared" si="1"/>
        <v>1</v>
      </c>
      <c r="Q49" s="33" t="str">
        <f>IFERROR(MasterData!$B49,"")</f>
        <v>Nidhi and Mihir PR</v>
      </c>
      <c r="R49" s="33" t="str">
        <f>IFERROR(MasterData!$C49,"")</f>
        <v>HK Supervisor</v>
      </c>
      <c r="S49" s="33" t="str">
        <f>IFERROR(MasterData!$D49,"")</f>
        <v/>
      </c>
      <c r="T49" s="33" t="str">
        <f>IFERROR(MasterData!$E49,"")</f>
        <v/>
      </c>
      <c r="U49" s="33" t="str">
        <f>IFERROR(MasterData!$F49,"")</f>
        <v/>
      </c>
      <c r="V49" s="33" t="str">
        <f>IFERROR(MasterData!$I49,"")</f>
        <v/>
      </c>
      <c r="W49" s="33" t="str">
        <f>IFERROR(MasterData!$H49,"")</f>
        <v/>
      </c>
    </row>
    <row r="50" ht="21.75" customHeight="1">
      <c r="A50" s="29" t="s">
        <v>387</v>
      </c>
      <c r="B50" s="13" t="s">
        <v>280</v>
      </c>
      <c r="C50" s="13" t="s">
        <v>315</v>
      </c>
      <c r="D50" s="13" t="s">
        <v>64</v>
      </c>
      <c r="E50" s="44" t="s">
        <v>15</v>
      </c>
      <c r="F50" s="44" t="s">
        <v>34</v>
      </c>
      <c r="G50" s="50">
        <v>46082.0</v>
      </c>
      <c r="H50" s="51"/>
      <c r="I50" s="13" t="s">
        <v>37</v>
      </c>
      <c r="J50" s="44">
        <v>1.0</v>
      </c>
      <c r="K50" s="44" t="s">
        <v>18</v>
      </c>
      <c r="L50" s="13" t="s">
        <v>388</v>
      </c>
      <c r="M50" s="29" t="s">
        <v>279</v>
      </c>
      <c r="N50" s="29">
        <v>0.0</v>
      </c>
      <c r="O50" s="29">
        <f t="shared" si="1"/>
        <v>1</v>
      </c>
      <c r="Q50" s="33" t="str">
        <f>IFERROR(MasterData!$B50,"")</f>
        <v>Nova</v>
      </c>
      <c r="R50" s="33" t="str">
        <f>IFERROR(MasterData!$C50,"")</f>
        <v>HR</v>
      </c>
      <c r="S50" s="33" t="str">
        <f>IFERROR(MasterData!$D50,"")</f>
        <v/>
      </c>
      <c r="T50" s="33" t="str">
        <f>IFERROR(MasterData!$E50,"")</f>
        <v/>
      </c>
      <c r="U50" s="33" t="str">
        <f>IFERROR(MasterData!$F50,"")</f>
        <v/>
      </c>
      <c r="V50" s="33" t="str">
        <f>IFERROR(MasterData!$I50,"")</f>
        <v/>
      </c>
      <c r="W50" s="33" t="str">
        <f>IFERROR(MasterData!$H50,"")</f>
        <v/>
      </c>
    </row>
    <row r="51" ht="21.75" customHeight="1">
      <c r="A51" s="34" t="s">
        <v>389</v>
      </c>
      <c r="B51" s="18" t="s">
        <v>280</v>
      </c>
      <c r="C51" s="18" t="s">
        <v>316</v>
      </c>
      <c r="D51" s="18" t="s">
        <v>64</v>
      </c>
      <c r="E51" s="42" t="s">
        <v>15</v>
      </c>
      <c r="F51" s="42" t="s">
        <v>25</v>
      </c>
      <c r="G51" s="48">
        <v>46082.0</v>
      </c>
      <c r="H51" s="49"/>
      <c r="I51" s="18" t="s">
        <v>54</v>
      </c>
      <c r="J51" s="42">
        <v>1.0</v>
      </c>
      <c r="K51" s="42" t="s">
        <v>45</v>
      </c>
      <c r="L51" s="53"/>
      <c r="M51" s="34" t="s">
        <v>279</v>
      </c>
      <c r="N51" s="34">
        <v>0.0</v>
      </c>
      <c r="O51" s="34">
        <f t="shared" si="1"/>
        <v>1</v>
      </c>
      <c r="Q51" s="33" t="str">
        <f>IFERROR(MasterData!$B51,"")</f>
        <v>Ohris hospitality</v>
      </c>
      <c r="R51" s="33" t="str">
        <f>IFERROR(MasterData!$C51,"")</f>
        <v>HR Head</v>
      </c>
      <c r="S51" s="33" t="str">
        <f>IFERROR(MasterData!$D51,"")</f>
        <v/>
      </c>
      <c r="T51" s="33" t="str">
        <f>IFERROR(MasterData!$E51,"")</f>
        <v/>
      </c>
      <c r="U51" s="33" t="str">
        <f>IFERROR(MasterData!$F51,"")</f>
        <v/>
      </c>
      <c r="V51" s="33" t="str">
        <f>IFERROR(MasterData!$I51,"")</f>
        <v/>
      </c>
      <c r="W51" s="33" t="str">
        <f>IFERROR(MasterData!$H51,"")</f>
        <v/>
      </c>
    </row>
    <row r="52" ht="21.75" customHeight="1">
      <c r="A52" s="29" t="s">
        <v>390</v>
      </c>
      <c r="B52" s="13" t="s">
        <v>116</v>
      </c>
      <c r="C52" s="13" t="s">
        <v>96</v>
      </c>
      <c r="D52" s="13" t="s">
        <v>32</v>
      </c>
      <c r="E52" s="44" t="s">
        <v>83</v>
      </c>
      <c r="F52" s="44" t="s">
        <v>34</v>
      </c>
      <c r="G52" s="50">
        <v>46099.0</v>
      </c>
      <c r="H52" s="51"/>
      <c r="I52" s="13" t="s">
        <v>28</v>
      </c>
      <c r="J52" s="44">
        <v>1.0</v>
      </c>
      <c r="K52" s="44" t="s">
        <v>18</v>
      </c>
      <c r="L52" s="52"/>
      <c r="M52" s="29" t="s">
        <v>115</v>
      </c>
      <c r="N52" s="29">
        <v>0.0</v>
      </c>
      <c r="O52" s="29">
        <f t="shared" si="1"/>
        <v>1</v>
      </c>
      <c r="Q52" s="33" t="str">
        <f>IFERROR(MasterData!$B52,"")</f>
        <v>Olive</v>
      </c>
      <c r="R52" s="33" t="str">
        <f>IFERROR(MasterData!$C52,"")</f>
        <v>HR Manager</v>
      </c>
      <c r="S52" s="33" t="str">
        <f>IFERROR(MasterData!$D52,"")</f>
        <v/>
      </c>
      <c r="T52" s="33" t="str">
        <f>IFERROR(MasterData!$E52,"")</f>
        <v/>
      </c>
      <c r="U52" s="33" t="str">
        <f>IFERROR(MasterData!$F52,"")</f>
        <v/>
      </c>
      <c r="V52" s="33" t="str">
        <f>IFERROR(MasterData!$I52,"")</f>
        <v/>
      </c>
      <c r="W52" s="33" t="str">
        <f>IFERROR(MasterData!$H52,"")</f>
        <v/>
      </c>
    </row>
    <row r="53" ht="21.75" customHeight="1">
      <c r="A53" s="34" t="s">
        <v>391</v>
      </c>
      <c r="B53" s="18" t="s">
        <v>116</v>
      </c>
      <c r="C53" s="18" t="s">
        <v>92</v>
      </c>
      <c r="D53" s="18" t="s">
        <v>32</v>
      </c>
      <c r="E53" s="42" t="s">
        <v>83</v>
      </c>
      <c r="F53" s="42" t="s">
        <v>25</v>
      </c>
      <c r="G53" s="48">
        <v>46099.0</v>
      </c>
      <c r="H53" s="49"/>
      <c r="I53" s="13" t="s">
        <v>28</v>
      </c>
      <c r="J53" s="42">
        <v>4.0</v>
      </c>
      <c r="K53" s="42" t="s">
        <v>18</v>
      </c>
      <c r="L53" s="18" t="s">
        <v>392</v>
      </c>
      <c r="M53" s="34" t="s">
        <v>115</v>
      </c>
      <c r="N53" s="34">
        <v>0.0</v>
      </c>
      <c r="O53" s="34">
        <f t="shared" si="1"/>
        <v>4</v>
      </c>
      <c r="Q53" s="33" t="str">
        <f>IFERROR(MasterData!$B53,"")</f>
        <v>PSL</v>
      </c>
      <c r="R53" s="33" t="str">
        <f>IFERROR(MasterData!$C53,"")</f>
        <v>Head Baker</v>
      </c>
      <c r="S53" s="33" t="str">
        <f>IFERROR(MasterData!$D53,"")</f>
        <v/>
      </c>
      <c r="T53" s="33" t="str">
        <f>IFERROR(MasterData!$E53,"")</f>
        <v/>
      </c>
      <c r="U53" s="33" t="str">
        <f>IFERROR(MasterData!$F53,"")</f>
        <v/>
      </c>
      <c r="V53" s="33" t="str">
        <f>IFERROR(MasterData!$I53,"")</f>
        <v/>
      </c>
      <c r="W53" s="33" t="str">
        <f>IFERROR(MasterData!$H53,"")</f>
        <v/>
      </c>
    </row>
    <row r="54" ht="21.75" customHeight="1">
      <c r="A54" s="29" t="s">
        <v>393</v>
      </c>
      <c r="B54" s="13" t="s">
        <v>116</v>
      </c>
      <c r="C54" s="13" t="s">
        <v>117</v>
      </c>
      <c r="D54" s="13" t="s">
        <v>23</v>
      </c>
      <c r="E54" s="44" t="s">
        <v>83</v>
      </c>
      <c r="F54" s="44" t="s">
        <v>25</v>
      </c>
      <c r="G54" s="50">
        <v>46099.0</v>
      </c>
      <c r="H54" s="51"/>
      <c r="I54" s="13" t="s">
        <v>28</v>
      </c>
      <c r="J54" s="44">
        <v>1.0</v>
      </c>
      <c r="K54" s="44" t="s">
        <v>18</v>
      </c>
      <c r="L54" s="52"/>
      <c r="M54" s="29" t="s">
        <v>115</v>
      </c>
      <c r="N54" s="29">
        <v>0.0</v>
      </c>
      <c r="O54" s="29">
        <f t="shared" si="1"/>
        <v>1</v>
      </c>
      <c r="Q54" s="33" t="str">
        <f>IFERROR(MasterData!$B54,"")</f>
        <v>Pebble-Street</v>
      </c>
      <c r="R54" s="33" t="str">
        <f>IFERROR(MasterData!$C54,"")</f>
        <v>Head Chef</v>
      </c>
      <c r="S54" s="33" t="str">
        <f>IFERROR(MasterData!$D54,"")</f>
        <v/>
      </c>
      <c r="T54" s="33" t="str">
        <f>IFERROR(MasterData!$E54,"")</f>
        <v/>
      </c>
      <c r="U54" s="33" t="str">
        <f>IFERROR(MasterData!$F54,"")</f>
        <v/>
      </c>
      <c r="V54" s="33" t="str">
        <f>IFERROR(MasterData!$I54,"")</f>
        <v/>
      </c>
      <c r="W54" s="33" t="str">
        <f>IFERROR(MasterData!$H54,"")</f>
        <v/>
      </c>
    </row>
    <row r="55" ht="21.75" customHeight="1">
      <c r="A55" s="34" t="s">
        <v>394</v>
      </c>
      <c r="B55" s="18" t="s">
        <v>116</v>
      </c>
      <c r="C55" s="18" t="s">
        <v>165</v>
      </c>
      <c r="D55" s="18" t="s">
        <v>23</v>
      </c>
      <c r="E55" s="42" t="s">
        <v>83</v>
      </c>
      <c r="F55" s="42" t="s">
        <v>25</v>
      </c>
      <c r="G55" s="48">
        <v>46099.0</v>
      </c>
      <c r="H55" s="49"/>
      <c r="I55" s="13" t="s">
        <v>28</v>
      </c>
      <c r="J55" s="42">
        <v>3.0</v>
      </c>
      <c r="K55" s="42" t="s">
        <v>18</v>
      </c>
      <c r="L55" s="53"/>
      <c r="M55" s="34" t="s">
        <v>115</v>
      </c>
      <c r="N55" s="34">
        <v>0.0</v>
      </c>
      <c r="O55" s="34">
        <f t="shared" si="1"/>
        <v>3</v>
      </c>
      <c r="Q55" s="33" t="str">
        <f>IFERROR(MasterData!$B55,"")</f>
        <v>Quetz</v>
      </c>
      <c r="R55" s="33" t="str">
        <f>IFERROR(MasterData!$C55,"")</f>
        <v>Head GRE</v>
      </c>
      <c r="S55" s="33" t="str">
        <f>IFERROR(MasterData!$D55,"")</f>
        <v/>
      </c>
      <c r="T55" s="33" t="str">
        <f>IFERROR(MasterData!$E55,"")</f>
        <v/>
      </c>
      <c r="U55" s="33" t="str">
        <f>IFERROR(MasterData!$F55,"")</f>
        <v/>
      </c>
      <c r="V55" s="33" t="str">
        <f>IFERROR(MasterData!$I55,"")</f>
        <v/>
      </c>
      <c r="W55" s="33" t="str">
        <f>IFERROR(MasterData!$H55,"")</f>
        <v/>
      </c>
    </row>
    <row r="56" ht="21.75" customHeight="1">
      <c r="A56" s="29" t="s">
        <v>395</v>
      </c>
      <c r="B56" s="13" t="s">
        <v>116</v>
      </c>
      <c r="C56" s="13" t="s">
        <v>294</v>
      </c>
      <c r="D56" s="13" t="s">
        <v>14</v>
      </c>
      <c r="E56" s="44" t="s">
        <v>83</v>
      </c>
      <c r="F56" s="44" t="s">
        <v>34</v>
      </c>
      <c r="G56" s="50">
        <v>46099.0</v>
      </c>
      <c r="H56" s="51"/>
      <c r="I56" s="13" t="s">
        <v>28</v>
      </c>
      <c r="J56" s="44">
        <v>1.0</v>
      </c>
      <c r="K56" s="44" t="s">
        <v>36</v>
      </c>
      <c r="L56" s="52"/>
      <c r="M56" s="29" t="s">
        <v>115</v>
      </c>
      <c r="N56" s="29">
        <v>1.0</v>
      </c>
      <c r="O56" s="29">
        <f t="shared" si="1"/>
        <v>0</v>
      </c>
      <c r="Q56" s="33" t="str">
        <f>IFERROR(MasterData!$B56,"")</f>
        <v>Red turtle</v>
      </c>
      <c r="R56" s="33" t="str">
        <f>IFERROR(MasterData!$C56,"")</f>
        <v>Hostess</v>
      </c>
      <c r="S56" s="33" t="str">
        <f>IFERROR(MasterData!$D56,"")</f>
        <v/>
      </c>
      <c r="T56" s="33" t="str">
        <f>IFERROR(MasterData!$E56,"")</f>
        <v/>
      </c>
      <c r="U56" s="33" t="str">
        <f>IFERROR(MasterData!$F56,"")</f>
        <v/>
      </c>
      <c r="V56" s="33" t="str">
        <f>IFERROR(MasterData!$I56,"")</f>
        <v/>
      </c>
      <c r="W56" s="33" t="str">
        <f>IFERROR(MasterData!$H56,"")</f>
        <v/>
      </c>
    </row>
    <row r="57" ht="21.75" customHeight="1">
      <c r="A57" s="34" t="s">
        <v>396</v>
      </c>
      <c r="B57" s="18" t="s">
        <v>116</v>
      </c>
      <c r="C57" s="18" t="s">
        <v>126</v>
      </c>
      <c r="D57" s="18" t="s">
        <v>14</v>
      </c>
      <c r="E57" s="42" t="s">
        <v>83</v>
      </c>
      <c r="F57" s="42" t="s">
        <v>25</v>
      </c>
      <c r="G57" s="48">
        <v>46099.0</v>
      </c>
      <c r="H57" s="49"/>
      <c r="I57" s="13" t="s">
        <v>28</v>
      </c>
      <c r="J57" s="42">
        <v>1.0</v>
      </c>
      <c r="K57" s="42" t="s">
        <v>18</v>
      </c>
      <c r="L57" s="18" t="s">
        <v>397</v>
      </c>
      <c r="M57" s="34" t="s">
        <v>115</v>
      </c>
      <c r="N57" s="34">
        <v>0.0</v>
      </c>
      <c r="O57" s="34">
        <f t="shared" si="1"/>
        <v>1</v>
      </c>
      <c r="Q57" s="33" t="str">
        <f>IFERROR(MasterData!$B57,"")</f>
        <v>Ritika &amp; Co.</v>
      </c>
      <c r="R57" s="33" t="str">
        <f>IFERROR(MasterData!$C57,"")</f>
        <v>Junior Bartender</v>
      </c>
      <c r="S57" s="33" t="str">
        <f>IFERROR(MasterData!$D57,"")</f>
        <v/>
      </c>
      <c r="T57" s="33" t="str">
        <f>IFERROR(MasterData!$E57,"")</f>
        <v/>
      </c>
      <c r="U57" s="33" t="str">
        <f>IFERROR(MasterData!$F57,"")</f>
        <v/>
      </c>
      <c r="V57" s="33" t="str">
        <f>IFERROR(MasterData!$I57,"")</f>
        <v/>
      </c>
      <c r="W57" s="33" t="str">
        <f>IFERROR(MasterData!$H57,"")</f>
        <v/>
      </c>
    </row>
    <row r="58" ht="21.75" customHeight="1">
      <c r="A58" s="29" t="s">
        <v>398</v>
      </c>
      <c r="B58" s="13" t="s">
        <v>116</v>
      </c>
      <c r="C58" s="13" t="s">
        <v>228</v>
      </c>
      <c r="D58" s="13" t="s">
        <v>14</v>
      </c>
      <c r="E58" s="44" t="s">
        <v>83</v>
      </c>
      <c r="F58" s="44" t="s">
        <v>25</v>
      </c>
      <c r="G58" s="50">
        <v>46099.0</v>
      </c>
      <c r="H58" s="51"/>
      <c r="I58" s="13" t="s">
        <v>28</v>
      </c>
      <c r="J58" s="44">
        <v>1.0</v>
      </c>
      <c r="K58" s="44" t="s">
        <v>18</v>
      </c>
      <c r="L58" s="52"/>
      <c r="M58" s="29" t="s">
        <v>115</v>
      </c>
      <c r="N58" s="29">
        <v>0.0</v>
      </c>
      <c r="O58" s="29">
        <f t="shared" si="1"/>
        <v>1</v>
      </c>
      <c r="Q58" s="33" t="str">
        <f>IFERROR(MasterData!$B58,"")</f>
        <v>Scarlett House</v>
      </c>
      <c r="R58" s="33" t="str">
        <f>IFERROR(MasterData!$C58,"")</f>
        <v>Junior Sous Chef</v>
      </c>
      <c r="S58" s="33" t="str">
        <f>IFERROR(MasterData!$D58,"")</f>
        <v/>
      </c>
      <c r="T58" s="33" t="str">
        <f>IFERROR(MasterData!$E58,"")</f>
        <v/>
      </c>
      <c r="U58" s="33" t="str">
        <f>IFERROR(MasterData!$F58,"")</f>
        <v/>
      </c>
      <c r="V58" s="33" t="str">
        <f>IFERROR(MasterData!$I58,"")</f>
        <v/>
      </c>
      <c r="W58" s="33" t="str">
        <f>IFERROR(MasterData!$H58,"")</f>
        <v/>
      </c>
    </row>
    <row r="59" ht="21.75" customHeight="1">
      <c r="A59" s="34" t="s">
        <v>399</v>
      </c>
      <c r="B59" s="18" t="s">
        <v>167</v>
      </c>
      <c r="C59" s="18" t="s">
        <v>240</v>
      </c>
      <c r="D59" s="18" t="s">
        <v>89</v>
      </c>
      <c r="E59" s="42" t="s">
        <v>15</v>
      </c>
      <c r="F59" s="42" t="s">
        <v>25</v>
      </c>
      <c r="G59" s="48">
        <v>46099.0</v>
      </c>
      <c r="H59" s="49"/>
      <c r="I59" s="18" t="s">
        <v>28</v>
      </c>
      <c r="J59" s="42">
        <v>1.0</v>
      </c>
      <c r="K59" s="42" t="s">
        <v>18</v>
      </c>
      <c r="L59" s="53"/>
      <c r="M59" s="34" t="s">
        <v>166</v>
      </c>
      <c r="N59" s="34">
        <v>0.0</v>
      </c>
      <c r="O59" s="34">
        <f t="shared" si="1"/>
        <v>1</v>
      </c>
      <c r="Q59" s="33" t="str">
        <f>IFERROR(MasterData!$B59,"")</f>
        <v>Shalimar</v>
      </c>
      <c r="R59" s="33" t="str">
        <f>IFERROR(MasterData!$C59,"")</f>
        <v>Kitchen Helper</v>
      </c>
      <c r="S59" s="33" t="str">
        <f>IFERROR(MasterData!$D59,"")</f>
        <v/>
      </c>
      <c r="T59" s="33" t="str">
        <f>IFERROR(MasterData!$E59,"")</f>
        <v/>
      </c>
      <c r="U59" s="33" t="str">
        <f>IFERROR(MasterData!$F59,"")</f>
        <v/>
      </c>
      <c r="V59" s="33" t="str">
        <f>IFERROR(MasterData!$I59,"")</f>
        <v/>
      </c>
      <c r="W59" s="33" t="str">
        <f>IFERROR(MasterData!$H59,"")</f>
        <v/>
      </c>
    </row>
    <row r="60" ht="21.75" customHeight="1">
      <c r="A60" s="29" t="s">
        <v>400</v>
      </c>
      <c r="B60" s="13" t="s">
        <v>167</v>
      </c>
      <c r="C60" s="13" t="s">
        <v>198</v>
      </c>
      <c r="D60" s="13" t="s">
        <v>58</v>
      </c>
      <c r="E60" s="44" t="s">
        <v>15</v>
      </c>
      <c r="F60" s="44" t="s">
        <v>25</v>
      </c>
      <c r="G60" s="50">
        <v>46099.0</v>
      </c>
      <c r="H60" s="51"/>
      <c r="I60" s="13" t="s">
        <v>28</v>
      </c>
      <c r="J60" s="44">
        <v>1.0</v>
      </c>
      <c r="K60" s="44" t="s">
        <v>18</v>
      </c>
      <c r="L60" s="52"/>
      <c r="M60" s="29" t="s">
        <v>166</v>
      </c>
      <c r="N60" s="29">
        <v>0.0</v>
      </c>
      <c r="O60" s="29">
        <f t="shared" si="1"/>
        <v>1</v>
      </c>
      <c r="Q60" s="33" t="str">
        <f>IFERROR(MasterData!$B60,"")</f>
        <v>Shalimar Hotel</v>
      </c>
      <c r="R60" s="33" t="str">
        <f>IFERROR(MasterData!$C60,"")</f>
        <v>Kitchen Supervisor</v>
      </c>
      <c r="S60" s="33" t="str">
        <f>IFERROR(MasterData!$D60,"")</f>
        <v/>
      </c>
      <c r="T60" s="33" t="str">
        <f>IFERROR(MasterData!$E60,"")</f>
        <v/>
      </c>
      <c r="U60" s="33" t="str">
        <f>IFERROR(MasterData!$F60,"")</f>
        <v/>
      </c>
      <c r="V60" s="33" t="str">
        <f>IFERROR(MasterData!$I60,"")</f>
        <v/>
      </c>
      <c r="W60" s="33" t="str">
        <f>IFERROR(MasterData!$H60,"")</f>
        <v/>
      </c>
    </row>
    <row r="61" ht="21.75" customHeight="1">
      <c r="A61" s="34" t="s">
        <v>401</v>
      </c>
      <c r="B61" s="18" t="s">
        <v>48</v>
      </c>
      <c r="C61" s="18" t="s">
        <v>102</v>
      </c>
      <c r="D61" s="18" t="s">
        <v>32</v>
      </c>
      <c r="E61" s="42" t="s">
        <v>15</v>
      </c>
      <c r="F61" s="42" t="s">
        <v>25</v>
      </c>
      <c r="G61" s="48">
        <v>46101.0</v>
      </c>
      <c r="H61" s="49"/>
      <c r="I61" s="18" t="s">
        <v>28</v>
      </c>
      <c r="J61" s="42">
        <v>5.0</v>
      </c>
      <c r="K61" s="42" t="s">
        <v>18</v>
      </c>
      <c r="L61" s="53"/>
      <c r="M61" s="34" t="s">
        <v>47</v>
      </c>
      <c r="N61" s="34">
        <v>0.0</v>
      </c>
      <c r="O61" s="34">
        <f t="shared" si="1"/>
        <v>5</v>
      </c>
      <c r="Q61" s="33" t="str">
        <f>IFERROR(MasterData!$B61,"")</f>
        <v>Silver Train</v>
      </c>
      <c r="R61" s="33" t="str">
        <f>IFERROR(MasterData!$C61,"")</f>
        <v>L&amp;D</v>
      </c>
      <c r="S61" s="33" t="str">
        <f>IFERROR(MasterData!$D61,"")</f>
        <v/>
      </c>
      <c r="T61" s="33" t="str">
        <f>IFERROR(MasterData!$E61,"")</f>
        <v/>
      </c>
      <c r="U61" s="33" t="str">
        <f>IFERROR(MasterData!$F61,"")</f>
        <v/>
      </c>
      <c r="V61" s="33" t="str">
        <f>IFERROR(MasterData!$I61,"")</f>
        <v/>
      </c>
      <c r="W61" s="33" t="str">
        <f>IFERROR(MasterData!$H61,"")</f>
        <v/>
      </c>
    </row>
    <row r="62" ht="21.75" customHeight="1">
      <c r="A62" s="29" t="s">
        <v>402</v>
      </c>
      <c r="B62" s="13" t="s">
        <v>98</v>
      </c>
      <c r="C62" s="13" t="s">
        <v>92</v>
      </c>
      <c r="D62" s="13" t="s">
        <v>32</v>
      </c>
      <c r="E62" s="44" t="s">
        <v>15</v>
      </c>
      <c r="F62" s="44" t="s">
        <v>34</v>
      </c>
      <c r="G62" s="50">
        <v>46104.0</v>
      </c>
      <c r="H62" s="51"/>
      <c r="I62" s="13" t="s">
        <v>46</v>
      </c>
      <c r="J62" s="44">
        <v>22.0</v>
      </c>
      <c r="K62" s="44" t="s">
        <v>18</v>
      </c>
      <c r="L62" s="13" t="s">
        <v>403</v>
      </c>
      <c r="M62" s="29" t="s">
        <v>97</v>
      </c>
      <c r="N62" s="29">
        <v>0.0</v>
      </c>
      <c r="O62" s="29">
        <f t="shared" si="1"/>
        <v>22</v>
      </c>
      <c r="Q62" s="33" t="str">
        <f>IFERROR(MasterData!$B62,"")</f>
        <v>Sivako</v>
      </c>
      <c r="R62" s="33" t="str">
        <f>IFERROR(MasterData!$C62,"")</f>
        <v>Marketing Manager</v>
      </c>
      <c r="S62" s="33" t="str">
        <f>IFERROR(MasterData!$D62,"")</f>
        <v/>
      </c>
      <c r="T62" s="33" t="str">
        <f>IFERROR(MasterData!$E62,"")</f>
        <v/>
      </c>
      <c r="U62" s="33" t="str">
        <f>IFERROR(MasterData!$F62,"")</f>
        <v/>
      </c>
      <c r="V62" s="33" t="str">
        <f>IFERROR(MasterData!$I62,"")</f>
        <v/>
      </c>
      <c r="W62" s="33" t="str">
        <f>IFERROR(MasterData!$H62,"")</f>
        <v/>
      </c>
    </row>
    <row r="63" ht="21.75" customHeight="1">
      <c r="A63" s="34" t="s">
        <v>404</v>
      </c>
      <c r="B63" s="18" t="s">
        <v>12</v>
      </c>
      <c r="C63" s="18" t="s">
        <v>306</v>
      </c>
      <c r="D63" s="18" t="s">
        <v>23</v>
      </c>
      <c r="E63" s="42" t="s">
        <v>15</v>
      </c>
      <c r="F63" s="42" t="s">
        <v>25</v>
      </c>
      <c r="G63" s="48">
        <v>46104.0</v>
      </c>
      <c r="H63" s="49"/>
      <c r="I63" s="18" t="s">
        <v>46</v>
      </c>
      <c r="J63" s="42">
        <v>5.0</v>
      </c>
      <c r="K63" s="42" t="s">
        <v>18</v>
      </c>
      <c r="L63" s="18" t="s">
        <v>405</v>
      </c>
      <c r="M63" s="34" t="s">
        <v>11</v>
      </c>
      <c r="N63" s="34">
        <v>0.0</v>
      </c>
      <c r="O63" s="34">
        <f t="shared" si="1"/>
        <v>5</v>
      </c>
      <c r="Q63" s="33" t="str">
        <f>IFERROR(MasterData!$B63,"")</f>
        <v>Slink and Bardot</v>
      </c>
      <c r="R63" s="33" t="str">
        <f>IFERROR(MasterData!$C63,"")</f>
        <v>Mixologist</v>
      </c>
      <c r="S63" s="33" t="str">
        <f>IFERROR(MasterData!$D63,"")</f>
        <v/>
      </c>
      <c r="T63" s="33" t="str">
        <f>IFERROR(MasterData!$E63,"")</f>
        <v/>
      </c>
      <c r="U63" s="33" t="str">
        <f>IFERROR(MasterData!$F63,"")</f>
        <v/>
      </c>
      <c r="V63" s="33" t="str">
        <f>IFERROR(MasterData!$I63,"")</f>
        <v/>
      </c>
      <c r="W63" s="33" t="str">
        <f>IFERROR(MasterData!$H63,"")</f>
        <v/>
      </c>
    </row>
    <row r="64" ht="21.75" customHeight="1">
      <c r="A64" s="29" t="s">
        <v>406</v>
      </c>
      <c r="B64" s="13" t="s">
        <v>98</v>
      </c>
      <c r="C64" s="13" t="s">
        <v>165</v>
      </c>
      <c r="D64" s="13" t="s">
        <v>23</v>
      </c>
      <c r="E64" s="44" t="s">
        <v>15</v>
      </c>
      <c r="F64" s="44" t="s">
        <v>25</v>
      </c>
      <c r="G64" s="50">
        <v>46104.0</v>
      </c>
      <c r="H64" s="51"/>
      <c r="I64" s="13" t="s">
        <v>46</v>
      </c>
      <c r="J64" s="44">
        <v>10.0</v>
      </c>
      <c r="K64" s="44" t="s">
        <v>18</v>
      </c>
      <c r="L64" s="13" t="s">
        <v>407</v>
      </c>
      <c r="M64" s="29" t="s">
        <v>97</v>
      </c>
      <c r="N64" s="29">
        <v>0.0</v>
      </c>
      <c r="O64" s="29">
        <f t="shared" si="1"/>
        <v>10</v>
      </c>
      <c r="Q64" s="33" t="str">
        <f>IFERROR(MasterData!$B64,"")</f>
        <v>Speciality</v>
      </c>
      <c r="R64" s="33" t="str">
        <f>IFERROR(MasterData!$C64,"")</f>
        <v>OTA</v>
      </c>
      <c r="S64" s="33" t="str">
        <f>IFERROR(MasterData!$D64,"")</f>
        <v/>
      </c>
      <c r="T64" s="33" t="str">
        <f>IFERROR(MasterData!$E64,"")</f>
        <v/>
      </c>
      <c r="U64" s="33" t="str">
        <f>IFERROR(MasterData!$F64,"")</f>
        <v/>
      </c>
      <c r="V64" s="33" t="str">
        <f>IFERROR(MasterData!$I64,"")</f>
        <v/>
      </c>
      <c r="W64" s="33" t="str">
        <f>IFERROR(MasterData!$H64,"")</f>
        <v/>
      </c>
    </row>
    <row r="65" ht="21.75" customHeight="1">
      <c r="A65" s="34" t="s">
        <v>408</v>
      </c>
      <c r="B65" s="18" t="s">
        <v>98</v>
      </c>
      <c r="C65" s="18" t="s">
        <v>177</v>
      </c>
      <c r="D65" s="18" t="s">
        <v>82</v>
      </c>
      <c r="E65" s="42" t="s">
        <v>15</v>
      </c>
      <c r="F65" s="42" t="s">
        <v>25</v>
      </c>
      <c r="G65" s="48">
        <v>46104.0</v>
      </c>
      <c r="H65" s="49"/>
      <c r="I65" s="18" t="s">
        <v>46</v>
      </c>
      <c r="J65" s="42">
        <v>4.0</v>
      </c>
      <c r="K65" s="42" t="s">
        <v>18</v>
      </c>
      <c r="L65" s="18" t="s">
        <v>409</v>
      </c>
      <c r="M65" s="34" t="s">
        <v>97</v>
      </c>
      <c r="N65" s="34">
        <v>0.0</v>
      </c>
      <c r="O65" s="34">
        <f t="shared" si="1"/>
        <v>4</v>
      </c>
      <c r="Q65" s="33" t="str">
        <f>IFERROR(MasterData!$B65,"")</f>
        <v>Splendour</v>
      </c>
      <c r="R65" s="33" t="str">
        <f>IFERROR(MasterData!$C65,"")</f>
        <v>Operations Head</v>
      </c>
      <c r="S65" s="33" t="str">
        <f>IFERROR(MasterData!$D65,"")</f>
        <v/>
      </c>
      <c r="T65" s="33" t="str">
        <f>IFERROR(MasterData!$E65,"")</f>
        <v/>
      </c>
      <c r="U65" s="33" t="str">
        <f>IFERROR(MasterData!$F65,"")</f>
        <v/>
      </c>
      <c r="V65" s="33" t="str">
        <f>IFERROR(MasterData!$I65,"")</f>
        <v/>
      </c>
      <c r="W65" s="33" t="str">
        <f>IFERROR(MasterData!$H65,"")</f>
        <v/>
      </c>
    </row>
    <row r="66" ht="21.75" customHeight="1">
      <c r="A66" s="29" t="s">
        <v>410</v>
      </c>
      <c r="B66" s="13" t="s">
        <v>280</v>
      </c>
      <c r="C66" s="13" t="s">
        <v>198</v>
      </c>
      <c r="D66" s="13" t="s">
        <v>58</v>
      </c>
      <c r="E66" s="44" t="s">
        <v>15</v>
      </c>
      <c r="F66" s="44" t="s">
        <v>25</v>
      </c>
      <c r="G66" s="50">
        <v>46095.0</v>
      </c>
      <c r="H66" s="51"/>
      <c r="I66" s="13" t="s">
        <v>54</v>
      </c>
      <c r="J66" s="44">
        <v>1.0</v>
      </c>
      <c r="K66" s="44" t="s">
        <v>18</v>
      </c>
      <c r="L66" s="13" t="s">
        <v>411</v>
      </c>
      <c r="M66" s="29" t="s">
        <v>279</v>
      </c>
      <c r="N66" s="29">
        <v>0.0</v>
      </c>
      <c r="O66" s="29">
        <f t="shared" si="1"/>
        <v>1</v>
      </c>
      <c r="Q66" s="33" t="str">
        <f>IFERROR(MasterData!$B66,"")</f>
        <v>TAB</v>
      </c>
      <c r="R66" s="33" t="str">
        <f>IFERROR(MasterData!$C66,"")</f>
        <v>Operations Manager</v>
      </c>
      <c r="S66" s="33" t="str">
        <f>IFERROR(MasterData!$D66,"")</f>
        <v/>
      </c>
      <c r="T66" s="33" t="str">
        <f>IFERROR(MasterData!$E66,"")</f>
        <v/>
      </c>
      <c r="U66" s="33" t="str">
        <f>IFERROR(MasterData!$F66,"")</f>
        <v/>
      </c>
      <c r="V66" s="33" t="str">
        <f>IFERROR(MasterData!$I66,"")</f>
        <v/>
      </c>
      <c r="W66" s="33" t="str">
        <f>IFERROR(MasterData!$H66,"")</f>
        <v/>
      </c>
    </row>
    <row r="67" ht="21.75" customHeight="1">
      <c r="A67" s="34" t="s">
        <v>412</v>
      </c>
      <c r="B67" s="18" t="s">
        <v>280</v>
      </c>
      <c r="C67" s="18" t="s">
        <v>198</v>
      </c>
      <c r="D67" s="18" t="s">
        <v>58</v>
      </c>
      <c r="E67" s="42" t="s">
        <v>15</v>
      </c>
      <c r="F67" s="42" t="s">
        <v>25</v>
      </c>
      <c r="G67" s="48">
        <v>46101.0</v>
      </c>
      <c r="H67" s="49"/>
      <c r="I67" s="18" t="s">
        <v>54</v>
      </c>
      <c r="J67" s="42">
        <v>1.0</v>
      </c>
      <c r="K67" s="42" t="s">
        <v>18</v>
      </c>
      <c r="L67" s="18" t="s">
        <v>413</v>
      </c>
      <c r="M67" s="34" t="s">
        <v>279</v>
      </c>
      <c r="N67" s="34">
        <v>0.0</v>
      </c>
      <c r="O67" s="34">
        <f t="shared" si="1"/>
        <v>1</v>
      </c>
      <c r="Q67" s="33" t="str">
        <f>IFERROR(MasterData!$B67,"")</f>
        <v>TAT</v>
      </c>
      <c r="R67" s="33" t="str">
        <f>IFERROR(MasterData!$C67,"")</f>
        <v>Other</v>
      </c>
      <c r="S67" s="33" t="str">
        <f>IFERROR(MasterData!$D67,"")</f>
        <v/>
      </c>
      <c r="T67" s="33" t="str">
        <f>IFERROR(MasterData!$E67,"")</f>
        <v/>
      </c>
      <c r="U67" s="33" t="str">
        <f>IFERROR(MasterData!$F67,"")</f>
        <v/>
      </c>
      <c r="V67" s="33" t="str">
        <f>IFERROR(MasterData!$I67,"")</f>
        <v/>
      </c>
      <c r="W67" s="33" t="str">
        <f>IFERROR(MasterData!$H67,"")</f>
        <v/>
      </c>
    </row>
    <row r="68" ht="21.75" customHeight="1">
      <c r="A68" s="29" t="s">
        <v>414</v>
      </c>
      <c r="B68" s="13" t="s">
        <v>283</v>
      </c>
      <c r="C68" s="13" t="s">
        <v>165</v>
      </c>
      <c r="D68" s="13" t="s">
        <v>23</v>
      </c>
      <c r="E68" s="44" t="s">
        <v>15</v>
      </c>
      <c r="F68" s="44" t="s">
        <v>25</v>
      </c>
      <c r="G68" s="50">
        <v>46101.0</v>
      </c>
      <c r="H68" s="51"/>
      <c r="I68" s="13" t="s">
        <v>54</v>
      </c>
      <c r="J68" s="44">
        <v>6.0</v>
      </c>
      <c r="K68" s="44" t="s">
        <v>18</v>
      </c>
      <c r="L68" s="13" t="s">
        <v>415</v>
      </c>
      <c r="M68" s="29" t="s">
        <v>282</v>
      </c>
      <c r="N68" s="29">
        <v>0.0</v>
      </c>
      <c r="O68" s="29">
        <f t="shared" si="1"/>
        <v>6</v>
      </c>
      <c r="Q68" s="33" t="str">
        <f>IFERROR(MasterData!$B68,"")</f>
        <v>The Hummingtree</v>
      </c>
      <c r="R68" s="33" t="str">
        <f>IFERROR(MasterData!$C68,"")</f>
        <v>Outlet Manager</v>
      </c>
      <c r="S68" s="33" t="str">
        <f>IFERROR(MasterData!$D68,"")</f>
        <v/>
      </c>
      <c r="T68" s="33" t="str">
        <f>IFERROR(MasterData!$E68,"")</f>
        <v/>
      </c>
      <c r="U68" s="33" t="str">
        <f>IFERROR(MasterData!$F68,"")</f>
        <v/>
      </c>
      <c r="V68" s="33" t="str">
        <f>IFERROR(MasterData!$I68,"")</f>
        <v/>
      </c>
      <c r="W68" s="33" t="str">
        <f>IFERROR(MasterData!$H68,"")</f>
        <v/>
      </c>
    </row>
    <row r="69" ht="21.75" customHeight="1">
      <c r="A69" s="34" t="s">
        <v>416</v>
      </c>
      <c r="B69" s="18" t="s">
        <v>158</v>
      </c>
      <c r="C69" s="18" t="s">
        <v>102</v>
      </c>
      <c r="D69" s="18" t="s">
        <v>32</v>
      </c>
      <c r="E69" s="42" t="s">
        <v>42</v>
      </c>
      <c r="F69" s="42" t="s">
        <v>34</v>
      </c>
      <c r="G69" s="54">
        <v>46102.0</v>
      </c>
      <c r="H69" s="49"/>
      <c r="I69" s="18" t="s">
        <v>19</v>
      </c>
      <c r="J69" s="42">
        <v>5.0</v>
      </c>
      <c r="K69" s="42" t="s">
        <v>18</v>
      </c>
      <c r="L69" s="18" t="s">
        <v>417</v>
      </c>
      <c r="M69" s="34" t="s">
        <v>157</v>
      </c>
      <c r="N69" s="34">
        <v>0.0</v>
      </c>
      <c r="O69" s="34">
        <f t="shared" si="1"/>
        <v>5</v>
      </c>
      <c r="Q69" s="33" t="str">
        <f>IFERROR(MasterData!$B69,"")</f>
        <v>The Kin Hotel</v>
      </c>
      <c r="R69" s="33" t="str">
        <f>IFERROR(MasterData!$C69,"")</f>
        <v>Outlet Supervisor</v>
      </c>
      <c r="S69" s="33" t="str">
        <f>IFERROR(MasterData!$D69,"")</f>
        <v/>
      </c>
      <c r="T69" s="33" t="str">
        <f>IFERROR(MasterData!$E69,"")</f>
        <v/>
      </c>
      <c r="U69" s="33" t="str">
        <f>IFERROR(MasterData!$F69,"")</f>
        <v/>
      </c>
      <c r="V69" s="33" t="str">
        <f>IFERROR(MasterData!$I69,"")</f>
        <v/>
      </c>
      <c r="W69" s="33" t="str">
        <f>IFERROR(MasterData!$H69,"")</f>
        <v/>
      </c>
    </row>
    <row r="70" ht="21.75" customHeight="1">
      <c r="A70" s="29" t="s">
        <v>418</v>
      </c>
      <c r="B70" s="13" t="s">
        <v>158</v>
      </c>
      <c r="C70" s="13" t="s">
        <v>306</v>
      </c>
      <c r="D70" s="13" t="s">
        <v>23</v>
      </c>
      <c r="E70" s="44" t="s">
        <v>42</v>
      </c>
      <c r="F70" s="44" t="s">
        <v>25</v>
      </c>
      <c r="G70" s="50">
        <v>46106.0</v>
      </c>
      <c r="H70" s="51"/>
      <c r="I70" s="13" t="s">
        <v>19</v>
      </c>
      <c r="J70" s="44">
        <v>3.0</v>
      </c>
      <c r="K70" s="44" t="s">
        <v>18</v>
      </c>
      <c r="L70" s="52"/>
      <c r="M70" s="29" t="s">
        <v>157</v>
      </c>
      <c r="N70" s="29">
        <v>0.0</v>
      </c>
      <c r="O70" s="29">
        <f t="shared" si="1"/>
        <v>3</v>
      </c>
      <c r="Q70" s="33" t="str">
        <f>IFERROR(MasterData!$B70,"")</f>
        <v>The Nest</v>
      </c>
      <c r="R70" s="33" t="str">
        <f>IFERROR(MasterData!$C70,"")</f>
        <v>PR</v>
      </c>
      <c r="S70" s="33" t="str">
        <f>IFERROR(MasterData!$D70,"")</f>
        <v/>
      </c>
      <c r="T70" s="33" t="str">
        <f>IFERROR(MasterData!$E70,"")</f>
        <v/>
      </c>
      <c r="U70" s="33" t="str">
        <f>IFERROR(MasterData!$F70,"")</f>
        <v/>
      </c>
      <c r="V70" s="33" t="str">
        <f>IFERROR(MasterData!$I70,"")</f>
        <v/>
      </c>
      <c r="W70" s="33" t="str">
        <f>IFERROR(MasterData!$H70,"")</f>
        <v/>
      </c>
    </row>
    <row r="71" ht="21.75" customHeight="1">
      <c r="A71" s="34" t="s">
        <v>419</v>
      </c>
      <c r="B71" s="18" t="s">
        <v>158</v>
      </c>
      <c r="C71" s="18" t="s">
        <v>117</v>
      </c>
      <c r="D71" s="18" t="s">
        <v>23</v>
      </c>
      <c r="E71" s="42" t="s">
        <v>42</v>
      </c>
      <c r="F71" s="42" t="s">
        <v>25</v>
      </c>
      <c r="G71" s="48">
        <v>46106.0</v>
      </c>
      <c r="H71" s="49"/>
      <c r="I71" s="18" t="s">
        <v>19</v>
      </c>
      <c r="J71" s="42">
        <v>3.0</v>
      </c>
      <c r="K71" s="42" t="s">
        <v>18</v>
      </c>
      <c r="L71" s="53"/>
      <c r="M71" s="34" t="s">
        <v>157</v>
      </c>
      <c r="N71" s="34">
        <v>0.0</v>
      </c>
      <c r="O71" s="34">
        <f t="shared" si="1"/>
        <v>3</v>
      </c>
      <c r="Q71" s="33" t="str">
        <f>IFERROR(MasterData!$B71,"")</f>
        <v>The Ranch</v>
      </c>
      <c r="R71" s="33" t="str">
        <f>IFERROR(MasterData!$C71,"")</f>
        <v>PR Executive</v>
      </c>
      <c r="S71" s="33" t="str">
        <f>IFERROR(MasterData!$D71,"")</f>
        <v/>
      </c>
      <c r="T71" s="33" t="str">
        <f>IFERROR(MasterData!$E71,"")</f>
        <v/>
      </c>
      <c r="U71" s="33" t="str">
        <f>IFERROR(MasterData!$F71,"")</f>
        <v/>
      </c>
      <c r="V71" s="33" t="str">
        <f>IFERROR(MasterData!$I71,"")</f>
        <v/>
      </c>
      <c r="W71" s="33" t="str">
        <f>IFERROR(MasterData!$H71,"")</f>
        <v/>
      </c>
    </row>
    <row r="72" ht="21.75" customHeight="1">
      <c r="A72" s="29" t="s">
        <v>420</v>
      </c>
      <c r="B72" s="13" t="s">
        <v>173</v>
      </c>
      <c r="C72" s="13" t="s">
        <v>278</v>
      </c>
      <c r="D72" s="13" t="s">
        <v>88</v>
      </c>
      <c r="E72" s="44" t="s">
        <v>15</v>
      </c>
      <c r="F72" s="44" t="s">
        <v>25</v>
      </c>
      <c r="G72" s="50">
        <v>46106.0</v>
      </c>
      <c r="H72" s="51"/>
      <c r="I72" s="13" t="s">
        <v>46</v>
      </c>
      <c r="J72" s="44">
        <v>1.0</v>
      </c>
      <c r="K72" s="44" t="s">
        <v>18</v>
      </c>
      <c r="L72" s="13" t="s">
        <v>421</v>
      </c>
      <c r="M72" s="29" t="s">
        <v>172</v>
      </c>
      <c r="N72" s="29">
        <v>0.0</v>
      </c>
      <c r="O72" s="29">
        <f t="shared" si="1"/>
        <v>1</v>
      </c>
      <c r="Q72" s="33" t="str">
        <f>IFERROR(MasterData!$B72,"")</f>
        <v>Tropicool</v>
      </c>
      <c r="R72" s="33" t="str">
        <f>IFERROR(MasterData!$C72,"")</f>
        <v>Packaging Assistant</v>
      </c>
      <c r="S72" s="33" t="str">
        <f>IFERROR(MasterData!$D72,"")</f>
        <v/>
      </c>
      <c r="T72" s="33" t="str">
        <f>IFERROR(MasterData!$E72,"")</f>
        <v/>
      </c>
      <c r="U72" s="33" t="str">
        <f>IFERROR(MasterData!$F72,"")</f>
        <v/>
      </c>
      <c r="V72" s="33" t="str">
        <f>IFERROR(MasterData!$I72,"")</f>
        <v/>
      </c>
      <c r="W72" s="33" t="str">
        <f>IFERROR(MasterData!$H72,"")</f>
        <v/>
      </c>
    </row>
    <row r="73" ht="21.75" customHeight="1">
      <c r="A73" s="34" t="s">
        <v>422</v>
      </c>
      <c r="B73" s="18" t="s">
        <v>173</v>
      </c>
      <c r="C73" s="18" t="s">
        <v>132</v>
      </c>
      <c r="D73" s="18" t="s">
        <v>14</v>
      </c>
      <c r="E73" s="42" t="s">
        <v>15</v>
      </c>
      <c r="F73" s="42" t="s">
        <v>25</v>
      </c>
      <c r="G73" s="48">
        <v>46106.0</v>
      </c>
      <c r="H73" s="49"/>
      <c r="I73" s="18" t="s">
        <v>46</v>
      </c>
      <c r="J73" s="42">
        <v>2.0</v>
      </c>
      <c r="K73" s="42" t="s">
        <v>18</v>
      </c>
      <c r="L73" s="18" t="s">
        <v>423</v>
      </c>
      <c r="M73" s="34" t="s">
        <v>172</v>
      </c>
      <c r="N73" s="34">
        <v>0.0</v>
      </c>
      <c r="O73" s="34">
        <f t="shared" si="1"/>
        <v>2</v>
      </c>
      <c r="Q73" s="33" t="str">
        <f>IFERROR(MasterData!$B73,"")</f>
        <v>True palate</v>
      </c>
      <c r="R73" s="33" t="str">
        <f>IFERROR(MasterData!$C73,"")</f>
        <v>Payroll</v>
      </c>
      <c r="S73" s="33" t="str">
        <f>IFERROR(MasterData!$D73,"")</f>
        <v/>
      </c>
      <c r="T73" s="33" t="str">
        <f>IFERROR(MasterData!$E73,"")</f>
        <v/>
      </c>
      <c r="U73" s="33" t="str">
        <f>IFERROR(MasterData!$F73,"")</f>
        <v/>
      </c>
      <c r="V73" s="33" t="str">
        <f>IFERROR(MasterData!$I73,"")</f>
        <v/>
      </c>
      <c r="W73" s="33" t="str">
        <f>IFERROR(MasterData!$H73,"")</f>
        <v/>
      </c>
    </row>
    <row r="74" ht="21.75" customHeight="1">
      <c r="A74" s="29" t="s">
        <v>424</v>
      </c>
      <c r="B74" s="13" t="s">
        <v>173</v>
      </c>
      <c r="C74" s="13" t="s">
        <v>132</v>
      </c>
      <c r="D74" s="13" t="s">
        <v>14</v>
      </c>
      <c r="E74" s="44" t="s">
        <v>15</v>
      </c>
      <c r="F74" s="44" t="s">
        <v>34</v>
      </c>
      <c r="G74" s="50">
        <v>46106.0</v>
      </c>
      <c r="H74" s="51"/>
      <c r="I74" s="13" t="s">
        <v>46</v>
      </c>
      <c r="J74" s="44">
        <v>1.0</v>
      </c>
      <c r="K74" s="44" t="s">
        <v>18</v>
      </c>
      <c r="L74" s="13" t="s">
        <v>425</v>
      </c>
      <c r="M74" s="29" t="s">
        <v>172</v>
      </c>
      <c r="N74" s="29">
        <v>0.0</v>
      </c>
      <c r="O74" s="29">
        <f t="shared" si="1"/>
        <v>1</v>
      </c>
      <c r="Q74" s="33" t="str">
        <f>IFERROR(MasterData!$B74,"")</f>
        <v>UGIPL</v>
      </c>
      <c r="R74" s="33" t="str">
        <f>IFERROR(MasterData!$C74,"")</f>
        <v>Purchase</v>
      </c>
      <c r="S74" s="33" t="str">
        <f>IFERROR(MasterData!$D74,"")</f>
        <v/>
      </c>
      <c r="T74" s="33" t="str">
        <f>IFERROR(MasterData!$E74,"")</f>
        <v/>
      </c>
      <c r="U74" s="33" t="str">
        <f>IFERROR(MasterData!$F74,"")</f>
        <v/>
      </c>
      <c r="V74" s="33" t="str">
        <f>IFERROR(MasterData!$I74,"")</f>
        <v/>
      </c>
      <c r="W74" s="33" t="str">
        <f>IFERROR(MasterData!$H74,"")</f>
        <v/>
      </c>
    </row>
    <row r="75" ht="21.75" customHeight="1">
      <c r="A75" s="34" t="s">
        <v>426</v>
      </c>
      <c r="B75" s="18" t="s">
        <v>173</v>
      </c>
      <c r="C75" s="18" t="s">
        <v>92</v>
      </c>
      <c r="D75" s="18" t="s">
        <v>23</v>
      </c>
      <c r="E75" s="42" t="s">
        <v>15</v>
      </c>
      <c r="F75" s="42" t="s">
        <v>25</v>
      </c>
      <c r="G75" s="48">
        <v>46106.0</v>
      </c>
      <c r="H75" s="49"/>
      <c r="I75" s="18" t="s">
        <v>46</v>
      </c>
      <c r="J75" s="42">
        <v>1.0</v>
      </c>
      <c r="K75" s="42" t="s">
        <v>18</v>
      </c>
      <c r="L75" s="18" t="s">
        <v>427</v>
      </c>
      <c r="M75" s="34" t="s">
        <v>172</v>
      </c>
      <c r="N75" s="34">
        <v>0.0</v>
      </c>
      <c r="O75" s="34">
        <f t="shared" si="1"/>
        <v>1</v>
      </c>
      <c r="Q75" s="33" t="str">
        <f>IFERROR(MasterData!$B75,"")</f>
        <v>Zima</v>
      </c>
      <c r="R75" s="33" t="str">
        <f>IFERROR(MasterData!$C75,"")</f>
        <v>QC</v>
      </c>
      <c r="S75" s="33" t="str">
        <f>IFERROR(MasterData!$D75,"")</f>
        <v/>
      </c>
      <c r="T75" s="33" t="str">
        <f>IFERROR(MasterData!$E75,"")</f>
        <v/>
      </c>
      <c r="U75" s="33" t="str">
        <f>IFERROR(MasterData!$F75,"")</f>
        <v/>
      </c>
      <c r="V75" s="33" t="str">
        <f>IFERROR(MasterData!$I75,"")</f>
        <v/>
      </c>
      <c r="W75" s="33" t="str">
        <f>IFERROR(MasterData!$H75,"")</f>
        <v/>
      </c>
    </row>
    <row r="76" ht="21.75" customHeight="1">
      <c r="A76" s="29" t="s">
        <v>428</v>
      </c>
      <c r="B76" s="13" t="s">
        <v>206</v>
      </c>
      <c r="C76" s="13" t="s">
        <v>89</v>
      </c>
      <c r="D76" s="13" t="s">
        <v>14</v>
      </c>
      <c r="E76" s="44" t="s">
        <v>15</v>
      </c>
      <c r="F76" s="44" t="s">
        <v>25</v>
      </c>
      <c r="G76" s="50">
        <v>46107.0</v>
      </c>
      <c r="H76" s="51"/>
      <c r="I76" s="13" t="s">
        <v>19</v>
      </c>
      <c r="J76" s="44">
        <v>1.0</v>
      </c>
      <c r="K76" s="44" t="s">
        <v>36</v>
      </c>
      <c r="L76" s="52"/>
      <c r="M76" s="29" t="s">
        <v>205</v>
      </c>
      <c r="N76" s="29">
        <v>1.0</v>
      </c>
      <c r="O76" s="29">
        <f t="shared" si="1"/>
        <v>0</v>
      </c>
      <c r="Q76" s="33" t="str">
        <f>IFERROR(MasterData!$B76,"")</f>
        <v>HNH Salad</v>
      </c>
      <c r="R76" s="33" t="str">
        <f>IFERROR(MasterData!$C76,"")</f>
        <v>RM</v>
      </c>
      <c r="S76" s="33" t="str">
        <f>IFERROR(MasterData!$D76,"")</f>
        <v/>
      </c>
      <c r="T76" s="33" t="str">
        <f>IFERROR(MasterData!$E76,"")</f>
        <v/>
      </c>
      <c r="U76" s="33" t="str">
        <f>IFERROR(MasterData!$F76,"")</f>
        <v/>
      </c>
      <c r="V76" s="33" t="str">
        <f>IFERROR(MasterData!$I76,"")</f>
        <v/>
      </c>
      <c r="W76" s="33" t="str">
        <f>IFERROR(MasterData!$H76,"")</f>
        <v/>
      </c>
    </row>
    <row r="77" ht="21.75" customHeight="1">
      <c r="A77" s="34" t="s">
        <v>429</v>
      </c>
      <c r="B77" s="18" t="s">
        <v>48</v>
      </c>
      <c r="C77" s="18" t="s">
        <v>159</v>
      </c>
      <c r="D77" s="18" t="s">
        <v>89</v>
      </c>
      <c r="E77" s="42" t="s">
        <v>15</v>
      </c>
      <c r="F77" s="42" t="s">
        <v>34</v>
      </c>
      <c r="G77" s="48">
        <v>46107.0</v>
      </c>
      <c r="H77" s="49"/>
      <c r="I77" s="18" t="s">
        <v>28</v>
      </c>
      <c r="J77" s="42">
        <v>1.0</v>
      </c>
      <c r="K77" s="42" t="s">
        <v>18</v>
      </c>
      <c r="L77" s="53"/>
      <c r="M77" s="34" t="s">
        <v>47</v>
      </c>
      <c r="N77" s="34">
        <v>0.0</v>
      </c>
      <c r="O77" s="34">
        <f t="shared" si="1"/>
        <v>1</v>
      </c>
      <c r="Q77" s="33" t="str">
        <f>IFERROR(MasterData!$B77,"")</f>
        <v>Apero by Malvika</v>
      </c>
      <c r="R77" s="33" t="str">
        <f>IFERROR(MasterData!$C77,"")</f>
        <v>Receptionist</v>
      </c>
      <c r="S77" s="33" t="str">
        <f>IFERROR(MasterData!$D77,"")</f>
        <v/>
      </c>
      <c r="T77" s="33" t="str">
        <f>IFERROR(MasterData!$E77,"")</f>
        <v/>
      </c>
      <c r="U77" s="33" t="str">
        <f>IFERROR(MasterData!$F77,"")</f>
        <v/>
      </c>
      <c r="V77" s="33" t="str">
        <f>IFERROR(MasterData!$I77,"")</f>
        <v/>
      </c>
      <c r="W77" s="33" t="str">
        <f>IFERROR(MasterData!$H77,"")</f>
        <v/>
      </c>
    </row>
    <row r="78" ht="21.75" customHeight="1">
      <c r="A78" s="55"/>
      <c r="B78" s="13" t="s">
        <v>98</v>
      </c>
      <c r="C78" s="13" t="s">
        <v>126</v>
      </c>
      <c r="D78" s="13" t="s">
        <v>14</v>
      </c>
      <c r="E78" s="44" t="s">
        <v>15</v>
      </c>
      <c r="F78" s="44" t="s">
        <v>34</v>
      </c>
      <c r="G78" s="50">
        <v>46107.0</v>
      </c>
      <c r="H78" s="51"/>
      <c r="I78" s="13" t="s">
        <v>46</v>
      </c>
      <c r="J78" s="44">
        <v>3.0</v>
      </c>
      <c r="K78" s="44" t="s">
        <v>18</v>
      </c>
      <c r="L78" s="13" t="s">
        <v>430</v>
      </c>
      <c r="M78" s="34" t="s">
        <v>55</v>
      </c>
      <c r="N78" s="34">
        <v>0.0</v>
      </c>
      <c r="O78" s="34">
        <f t="shared" si="1"/>
        <v>3</v>
      </c>
      <c r="Q78" s="33" t="str">
        <f>IFERROR(MasterData!$B78,"")</f>
        <v>Bastian</v>
      </c>
      <c r="R78" s="33" t="str">
        <f>IFERROR(MasterData!$C78,"")</f>
        <v>Room Sales</v>
      </c>
      <c r="S78" s="33" t="str">
        <f>IFERROR(MasterData!$D78,"")</f>
        <v/>
      </c>
      <c r="T78" s="33" t="str">
        <f>IFERROR(MasterData!$E78,"")</f>
        <v/>
      </c>
      <c r="U78" s="33" t="str">
        <f>IFERROR(MasterData!$F78,"")</f>
        <v/>
      </c>
      <c r="V78" s="33" t="str">
        <f>IFERROR(MasterData!$I78,"")</f>
        <v/>
      </c>
      <c r="W78" s="33" t="str">
        <f>IFERROR(MasterData!$H78,"")</f>
        <v/>
      </c>
    </row>
    <row r="79" ht="21.75" customHeight="1">
      <c r="A79" s="56"/>
      <c r="B79" s="18" t="s">
        <v>48</v>
      </c>
      <c r="C79" s="18" t="s">
        <v>204</v>
      </c>
      <c r="D79" s="18" t="s">
        <v>58</v>
      </c>
      <c r="E79" s="42" t="s">
        <v>15</v>
      </c>
      <c r="F79" s="42" t="s">
        <v>34</v>
      </c>
      <c r="G79" s="48">
        <v>46111.0</v>
      </c>
      <c r="H79" s="49"/>
      <c r="I79" s="18" t="s">
        <v>28</v>
      </c>
      <c r="J79" s="42">
        <v>1.0</v>
      </c>
      <c r="K79" s="42" t="s">
        <v>18</v>
      </c>
      <c r="L79" s="53"/>
      <c r="M79" s="34" t="s">
        <v>61</v>
      </c>
      <c r="N79" s="34">
        <v>0.0</v>
      </c>
      <c r="O79" s="34">
        <f t="shared" si="1"/>
        <v>1</v>
      </c>
      <c r="Q79" s="33" t="str">
        <f>IFERROR(MasterData!$B79,"")</f>
        <v>Green Gains</v>
      </c>
      <c r="R79" s="33" t="str">
        <f>IFERROR(MasterData!$C79,"")</f>
        <v>SCM Head</v>
      </c>
      <c r="S79" s="33" t="str">
        <f>IFERROR(MasterData!$D79,"")</f>
        <v/>
      </c>
      <c r="T79" s="33" t="str">
        <f>IFERROR(MasterData!$E79,"")</f>
        <v/>
      </c>
      <c r="U79" s="33" t="str">
        <f>IFERROR(MasterData!$F79,"")</f>
        <v/>
      </c>
      <c r="V79" s="33" t="str">
        <f>IFERROR(MasterData!$I79,"")</f>
        <v/>
      </c>
      <c r="W79" s="33" t="str">
        <f>IFERROR(MasterData!$H79,"")</f>
        <v/>
      </c>
    </row>
    <row r="80" ht="21.75" customHeight="1">
      <c r="A80" s="55"/>
      <c r="B80" s="13" t="s">
        <v>48</v>
      </c>
      <c r="C80" s="13" t="s">
        <v>287</v>
      </c>
      <c r="D80" s="13" t="s">
        <v>70</v>
      </c>
      <c r="E80" s="44" t="s">
        <v>15</v>
      </c>
      <c r="F80" s="44" t="s">
        <v>34</v>
      </c>
      <c r="G80" s="50">
        <v>46111.0</v>
      </c>
      <c r="H80" s="51"/>
      <c r="I80" s="13" t="s">
        <v>28</v>
      </c>
      <c r="J80" s="44">
        <v>1.0</v>
      </c>
      <c r="K80" s="44" t="s">
        <v>18</v>
      </c>
      <c r="L80" s="52"/>
      <c r="M80" s="55"/>
      <c r="N80" s="55"/>
      <c r="O80" s="55"/>
      <c r="Q80" s="33" t="str">
        <f>IFERROR(MasterData!$B80,"")</f>
        <v>SLH</v>
      </c>
      <c r="R80" s="33" t="str">
        <f>IFERROR(MasterData!$C80,"")</f>
        <v>Sales</v>
      </c>
      <c r="S80" s="33" t="str">
        <f>IFERROR(MasterData!$D80,"")</f>
        <v/>
      </c>
      <c r="T80" s="33" t="str">
        <f>IFERROR(MasterData!$E80,"")</f>
        <v/>
      </c>
      <c r="U80" s="33" t="str">
        <f>IFERROR(MasterData!$F80,"")</f>
        <v/>
      </c>
      <c r="V80" s="33" t="str">
        <f>IFERROR(MasterData!$I80,"")</f>
        <v/>
      </c>
      <c r="W80" s="33" t="str">
        <f>IFERROR(MasterData!$H80,"")</f>
        <v/>
      </c>
    </row>
    <row r="81" ht="21.75" customHeight="1">
      <c r="A81" s="56"/>
      <c r="B81" s="18" t="s">
        <v>12</v>
      </c>
      <c r="C81" s="18" t="s">
        <v>129</v>
      </c>
      <c r="D81" s="18" t="s">
        <v>14</v>
      </c>
      <c r="E81" s="42" t="s">
        <v>15</v>
      </c>
      <c r="F81" s="42" t="s">
        <v>34</v>
      </c>
      <c r="G81" s="48">
        <v>46112.0</v>
      </c>
      <c r="H81" s="49"/>
      <c r="I81" s="18" t="s">
        <v>46</v>
      </c>
      <c r="J81" s="42">
        <v>3.0</v>
      </c>
      <c r="K81" s="42" t="s">
        <v>18</v>
      </c>
      <c r="L81" s="18" t="s">
        <v>431</v>
      </c>
      <c r="M81" s="56"/>
      <c r="N81" s="56"/>
      <c r="O81" s="56"/>
      <c r="Q81" s="33" t="str">
        <f>IFERROR(MasterData!$B81,"")</f>
        <v>Niko</v>
      </c>
      <c r="R81" s="33" t="str">
        <f>IFERROR(MasterData!$C81,"")</f>
        <v>Senior Barista</v>
      </c>
      <c r="S81" s="33" t="str">
        <f>IFERROR(MasterData!$D81,"")</f>
        <v/>
      </c>
      <c r="T81" s="33" t="str">
        <f>IFERROR(MasterData!$E81,"")</f>
        <v/>
      </c>
      <c r="U81" s="33" t="str">
        <f>IFERROR(MasterData!$F81,"")</f>
        <v/>
      </c>
      <c r="V81" s="33" t="str">
        <f>IFERROR(MasterData!$I81,"")</f>
        <v/>
      </c>
      <c r="W81" s="33" t="str">
        <f>IFERROR(MasterData!$H81,"")</f>
        <v/>
      </c>
    </row>
    <row r="82" ht="21.75" customHeight="1">
      <c r="A82" s="55"/>
      <c r="B82" s="13" t="s">
        <v>12</v>
      </c>
      <c r="C82" s="13" t="s">
        <v>129</v>
      </c>
      <c r="D82" s="13" t="s">
        <v>14</v>
      </c>
      <c r="E82" s="44" t="s">
        <v>15</v>
      </c>
      <c r="F82" s="44" t="s">
        <v>34</v>
      </c>
      <c r="G82" s="50">
        <v>46112.0</v>
      </c>
      <c r="H82" s="51"/>
      <c r="I82" s="13" t="s">
        <v>46</v>
      </c>
      <c r="J82" s="44">
        <v>3.0</v>
      </c>
      <c r="K82" s="44" t="s">
        <v>18</v>
      </c>
      <c r="L82" s="13" t="s">
        <v>432</v>
      </c>
      <c r="M82" s="55"/>
      <c r="N82" s="55"/>
      <c r="O82" s="55"/>
      <c r="Q82" s="33" t="str">
        <f>IFERROR(MasterData!$B82,"")</f>
        <v>Courtside</v>
      </c>
      <c r="R82" s="33" t="str">
        <f>IFERROR(MasterData!$C82,"")</f>
        <v>Senior Bartender</v>
      </c>
      <c r="S82" s="33" t="str">
        <f>IFERROR(MasterData!$D82,"")</f>
        <v/>
      </c>
      <c r="T82" s="33" t="str">
        <f>IFERROR(MasterData!$E82,"")</f>
        <v/>
      </c>
      <c r="U82" s="33" t="str">
        <f>IFERROR(MasterData!$F82,"")</f>
        <v/>
      </c>
      <c r="V82" s="33" t="str">
        <f>IFERROR(MasterData!$I82,"")</f>
        <v/>
      </c>
      <c r="W82" s="33" t="str">
        <f>IFERROR(MasterData!$H82,"")</f>
        <v/>
      </c>
    </row>
    <row r="83" ht="21.75" customHeight="1">
      <c r="A83" s="56"/>
      <c r="B83" s="18" t="s">
        <v>12</v>
      </c>
      <c r="C83" s="18" t="s">
        <v>304</v>
      </c>
      <c r="D83" s="18" t="s">
        <v>14</v>
      </c>
      <c r="E83" s="42" t="s">
        <v>15</v>
      </c>
      <c r="F83" s="42" t="s">
        <v>43</v>
      </c>
      <c r="G83" s="48">
        <v>46112.0</v>
      </c>
      <c r="H83" s="49"/>
      <c r="I83" s="18" t="s">
        <v>46</v>
      </c>
      <c r="J83" s="42">
        <v>1.0</v>
      </c>
      <c r="K83" s="42" t="s">
        <v>18</v>
      </c>
      <c r="L83" s="18" t="s">
        <v>433</v>
      </c>
      <c r="M83" s="56"/>
      <c r="N83" s="56"/>
      <c r="O83" s="56"/>
      <c r="Q83" s="33" t="str">
        <f>IFERROR(MasterData!$B83,"")</f>
        <v>Penang Table</v>
      </c>
      <c r="R83" s="33" t="str">
        <f>IFERROR(MasterData!$C83,"")</f>
        <v>Senior CDP</v>
      </c>
      <c r="S83" s="33" t="str">
        <f>IFERROR(MasterData!$D83,"")</f>
        <v/>
      </c>
      <c r="T83" s="33" t="str">
        <f>IFERROR(MasterData!$E83,"")</f>
        <v/>
      </c>
      <c r="U83" s="33" t="str">
        <f>IFERROR(MasterData!$F83,"")</f>
        <v/>
      </c>
      <c r="V83" s="33" t="str">
        <f>IFERROR(MasterData!$I83,"")</f>
        <v/>
      </c>
      <c r="W83" s="33" t="str">
        <f>IFERROR(MasterData!$H83,"")</f>
        <v/>
      </c>
    </row>
    <row r="84" ht="21.75" customHeight="1">
      <c r="A84" s="55"/>
      <c r="B84" s="13" t="s">
        <v>98</v>
      </c>
      <c r="C84" s="13" t="s">
        <v>129</v>
      </c>
      <c r="D84" s="13" t="s">
        <v>14</v>
      </c>
      <c r="E84" s="44" t="s">
        <v>15</v>
      </c>
      <c r="F84" s="44" t="s">
        <v>34</v>
      </c>
      <c r="G84" s="50">
        <v>46113.0</v>
      </c>
      <c r="H84" s="51"/>
      <c r="I84" s="13" t="s">
        <v>46</v>
      </c>
      <c r="J84" s="44">
        <v>3.0</v>
      </c>
      <c r="K84" s="44" t="s">
        <v>18</v>
      </c>
      <c r="L84" s="13" t="s">
        <v>434</v>
      </c>
      <c r="M84" s="55"/>
      <c r="N84" s="55"/>
      <c r="O84" s="55"/>
      <c r="Q84" s="33" t="str">
        <f>IFERROR(MasterData!$B84,"")</f>
        <v>TGC</v>
      </c>
      <c r="R84" s="33" t="str">
        <f>IFERROR(MasterData!$C84,"")</f>
        <v>Senior Captain</v>
      </c>
      <c r="S84" s="33" t="str">
        <f>IFERROR(MasterData!$D84,"")</f>
        <v/>
      </c>
      <c r="T84" s="33" t="str">
        <f>IFERROR(MasterData!$E84,"")</f>
        <v/>
      </c>
      <c r="U84" s="33" t="str">
        <f>IFERROR(MasterData!$F84,"")</f>
        <v/>
      </c>
      <c r="V84" s="33" t="str">
        <f>IFERROR(MasterData!$I84,"")</f>
        <v/>
      </c>
      <c r="W84" s="33" t="str">
        <f>IFERROR(MasterData!$H84,"")</f>
        <v/>
      </c>
    </row>
    <row r="85" ht="21.75" customHeight="1">
      <c r="A85" s="56"/>
      <c r="B85" s="18" t="s">
        <v>98</v>
      </c>
      <c r="C85" s="18" t="s">
        <v>135</v>
      </c>
      <c r="D85" s="18" t="s">
        <v>14</v>
      </c>
      <c r="E85" s="42" t="s">
        <v>15</v>
      </c>
      <c r="F85" s="42" t="s">
        <v>34</v>
      </c>
      <c r="G85" s="50">
        <v>46113.0</v>
      </c>
      <c r="H85" s="49"/>
      <c r="I85" s="18" t="s">
        <v>46</v>
      </c>
      <c r="J85" s="42">
        <v>3.0</v>
      </c>
      <c r="K85" s="42" t="s">
        <v>18</v>
      </c>
      <c r="L85" s="18" t="s">
        <v>435</v>
      </c>
      <c r="M85" s="56"/>
      <c r="N85" s="56"/>
      <c r="O85" s="56"/>
      <c r="Q85" s="33" t="str">
        <f>IFERROR(MasterData!$B85,"")</f>
        <v>Corleone's</v>
      </c>
      <c r="R85" s="33" t="str">
        <f>IFERROR(MasterData!$C85,"")</f>
        <v>Senior GRE</v>
      </c>
      <c r="S85" s="33" t="str">
        <f>IFERROR(MasterData!$D85,"")</f>
        <v/>
      </c>
      <c r="T85" s="33" t="str">
        <f>IFERROR(MasterData!$E85,"")</f>
        <v/>
      </c>
      <c r="U85" s="33" t="str">
        <f>IFERROR(MasterData!$F85,"")</f>
        <v/>
      </c>
      <c r="V85" s="33" t="str">
        <f>IFERROR(MasterData!$I85,"")</f>
        <v/>
      </c>
      <c r="W85" s="33" t="str">
        <f>IFERROR(MasterData!$H85,"")</f>
        <v/>
      </c>
    </row>
    <row r="86" ht="21.75" customHeight="1">
      <c r="A86" s="55"/>
      <c r="B86" s="13" t="s">
        <v>98</v>
      </c>
      <c r="C86" s="13" t="s">
        <v>304</v>
      </c>
      <c r="D86" s="13" t="s">
        <v>14</v>
      </c>
      <c r="E86" s="44" t="s">
        <v>77</v>
      </c>
      <c r="F86" s="44" t="s">
        <v>43</v>
      </c>
      <c r="G86" s="50">
        <v>46118.0</v>
      </c>
      <c r="H86" s="51"/>
      <c r="I86" s="13" t="s">
        <v>46</v>
      </c>
      <c r="J86" s="44">
        <v>1.0</v>
      </c>
      <c r="K86" s="44" t="s">
        <v>18</v>
      </c>
      <c r="L86" s="13" t="s">
        <v>436</v>
      </c>
      <c r="M86" s="55"/>
      <c r="N86" s="55"/>
      <c r="O86" s="55"/>
      <c r="Q86" s="33" t="str">
        <f>IFERROR(MasterData!$B86,"")</f>
        <v>Nenapu</v>
      </c>
      <c r="R86" s="33" t="str">
        <f>IFERROR(MasterData!$C86,"")</f>
        <v>Senior Sous Chef</v>
      </c>
      <c r="S86" s="33" t="str">
        <f>IFERROR(MasterData!$D86,"")</f>
        <v/>
      </c>
      <c r="T86" s="33" t="str">
        <f>IFERROR(MasterData!$E86,"")</f>
        <v/>
      </c>
      <c r="U86" s="33" t="str">
        <f>IFERROR(MasterData!$F86,"")</f>
        <v/>
      </c>
      <c r="V86" s="33" t="str">
        <f>IFERROR(MasterData!$I86,"")</f>
        <v/>
      </c>
      <c r="W86" s="33" t="str">
        <f>IFERROR(MasterData!$H86,"")</f>
        <v/>
      </c>
    </row>
    <row r="87" ht="21.75" customHeight="1">
      <c r="A87" s="56"/>
      <c r="B87" s="13" t="s">
        <v>98</v>
      </c>
      <c r="C87" s="13" t="s">
        <v>304</v>
      </c>
      <c r="D87" s="18" t="s">
        <v>14</v>
      </c>
      <c r="E87" s="42" t="s">
        <v>77</v>
      </c>
      <c r="F87" s="42" t="s">
        <v>43</v>
      </c>
      <c r="G87" s="48">
        <v>46118.0</v>
      </c>
      <c r="H87" s="49"/>
      <c r="I87" s="18" t="s">
        <v>46</v>
      </c>
      <c r="J87" s="42">
        <v>1.0</v>
      </c>
      <c r="K87" s="42" t="s">
        <v>18</v>
      </c>
      <c r="L87" s="18" t="s">
        <v>437</v>
      </c>
      <c r="M87" s="56"/>
      <c r="N87" s="56"/>
      <c r="O87" s="56"/>
      <c r="Q87" s="33" t="str">
        <f>IFERROR(MasterData!$B87,"")</f>
        <v/>
      </c>
      <c r="R87" s="33" t="str">
        <f>IFERROR(MasterData!$C87,"")</f>
        <v>Senior Steward</v>
      </c>
      <c r="S87" s="33" t="str">
        <f>IFERROR(MasterData!$D87,"")</f>
        <v/>
      </c>
      <c r="T87" s="33" t="str">
        <f>IFERROR(MasterData!$E87,"")</f>
        <v/>
      </c>
      <c r="U87" s="33" t="str">
        <f>IFERROR(MasterData!$F87,"")</f>
        <v/>
      </c>
      <c r="V87" s="33" t="str">
        <f>IFERROR(MasterData!$I87,"")</f>
        <v/>
      </c>
      <c r="W87" s="33" t="str">
        <f>IFERROR(MasterData!$H87,"")</f>
        <v/>
      </c>
    </row>
    <row r="88" ht="21.75" customHeight="1">
      <c r="A88" s="55"/>
      <c r="B88" s="13" t="s">
        <v>98</v>
      </c>
      <c r="C88" s="18" t="s">
        <v>222</v>
      </c>
      <c r="D88" s="18" t="s">
        <v>14</v>
      </c>
      <c r="E88" s="44" t="s">
        <v>77</v>
      </c>
      <c r="F88" s="44" t="s">
        <v>43</v>
      </c>
      <c r="G88" s="48">
        <v>46118.0</v>
      </c>
      <c r="H88" s="51"/>
      <c r="I88" s="13" t="s">
        <v>46</v>
      </c>
      <c r="J88" s="44">
        <v>1.0</v>
      </c>
      <c r="K88" s="44" t="s">
        <v>18</v>
      </c>
      <c r="L88" s="13" t="s">
        <v>438</v>
      </c>
      <c r="M88" s="55"/>
      <c r="N88" s="55"/>
      <c r="O88" s="55"/>
      <c r="Q88" s="33" t="str">
        <f>IFERROR(MasterData!$B88,"")</f>
        <v/>
      </c>
      <c r="R88" s="33" t="str">
        <f>IFERROR(MasterData!$C88,"")</f>
        <v>Social Media Manager</v>
      </c>
      <c r="S88" s="33" t="str">
        <f>IFERROR(MasterData!$D88,"")</f>
        <v/>
      </c>
      <c r="T88" s="33" t="str">
        <f>IFERROR(MasterData!$E88,"")</f>
        <v/>
      </c>
      <c r="U88" s="33" t="str">
        <f>IFERROR(MasterData!$F88,"")</f>
        <v/>
      </c>
      <c r="V88" s="33" t="str">
        <f>IFERROR(MasterData!$I88,"")</f>
        <v/>
      </c>
      <c r="W88" s="33" t="str">
        <f>IFERROR(MasterData!$H88,"")</f>
        <v/>
      </c>
    </row>
    <row r="89" ht="21.75" customHeight="1">
      <c r="A89" s="56"/>
      <c r="B89" s="18" t="s">
        <v>98</v>
      </c>
      <c r="C89" s="18" t="s">
        <v>222</v>
      </c>
      <c r="D89" s="18" t="s">
        <v>14</v>
      </c>
      <c r="E89" s="42" t="s">
        <v>77</v>
      </c>
      <c r="F89" s="42" t="s">
        <v>43</v>
      </c>
      <c r="G89" s="48">
        <v>46118.0</v>
      </c>
      <c r="H89" s="49"/>
      <c r="I89" s="18" t="s">
        <v>46</v>
      </c>
      <c r="J89" s="42">
        <v>1.0</v>
      </c>
      <c r="K89" s="42" t="s">
        <v>18</v>
      </c>
      <c r="L89" s="18" t="s">
        <v>439</v>
      </c>
      <c r="M89" s="56"/>
      <c r="N89" s="56"/>
      <c r="O89" s="56"/>
      <c r="Q89" s="33" t="str">
        <f>IFERROR(MasterData!$B89,"")</f>
        <v/>
      </c>
      <c r="R89" s="33" t="str">
        <f>IFERROR(MasterData!$C89,"")</f>
        <v>Sommelier</v>
      </c>
      <c r="S89" s="33" t="str">
        <f>IFERROR(MasterData!$D89,"")</f>
        <v/>
      </c>
      <c r="T89" s="33" t="str">
        <f>IFERROR(MasterData!$E89,"")</f>
        <v/>
      </c>
      <c r="U89" s="33" t="str">
        <f>IFERROR(MasterData!$F89,"")</f>
        <v/>
      </c>
      <c r="V89" s="33" t="str">
        <f>IFERROR(MasterData!$I89,"")</f>
        <v/>
      </c>
      <c r="W89" s="33" t="str">
        <f>IFERROR(MasterData!$H89,"")</f>
        <v/>
      </c>
    </row>
    <row r="90" ht="21.75" customHeight="1">
      <c r="A90" s="55"/>
      <c r="B90" s="13" t="s">
        <v>98</v>
      </c>
      <c r="C90" s="13" t="s">
        <v>105</v>
      </c>
      <c r="D90" s="13" t="s">
        <v>14</v>
      </c>
      <c r="E90" s="44" t="s">
        <v>77</v>
      </c>
      <c r="F90" s="44" t="s">
        <v>34</v>
      </c>
      <c r="G90" s="48">
        <v>46118.0</v>
      </c>
      <c r="H90" s="51"/>
      <c r="I90" s="13" t="s">
        <v>46</v>
      </c>
      <c r="J90" s="44">
        <v>2.0</v>
      </c>
      <c r="K90" s="44" t="s">
        <v>18</v>
      </c>
      <c r="L90" s="13" t="s">
        <v>440</v>
      </c>
      <c r="M90" s="55"/>
      <c r="N90" s="55"/>
      <c r="O90" s="55"/>
      <c r="Q90" s="33" t="str">
        <f>IFERROR(MasterData!$B90,"")</f>
        <v/>
      </c>
      <c r="R90" s="33" t="str">
        <f>IFERROR(MasterData!$C90,"")</f>
        <v>Sous Chef</v>
      </c>
      <c r="S90" s="33" t="str">
        <f>IFERROR(MasterData!$D90,"")</f>
        <v/>
      </c>
      <c r="T90" s="33" t="str">
        <f>IFERROR(MasterData!$E90,"")</f>
        <v/>
      </c>
      <c r="U90" s="33" t="str">
        <f>IFERROR(MasterData!$F90,"")</f>
        <v/>
      </c>
      <c r="V90" s="33" t="str">
        <f>IFERROR(MasterData!$I90,"")</f>
        <v/>
      </c>
      <c r="W90" s="33" t="str">
        <f>IFERROR(MasterData!$H90,"")</f>
        <v/>
      </c>
    </row>
    <row r="91" ht="21.75" customHeight="1">
      <c r="A91" s="56"/>
      <c r="B91" s="18" t="s">
        <v>12</v>
      </c>
      <c r="C91" s="18" t="s">
        <v>105</v>
      </c>
      <c r="D91" s="18" t="s">
        <v>14</v>
      </c>
      <c r="E91" s="42" t="s">
        <v>15</v>
      </c>
      <c r="F91" s="42" t="s">
        <v>43</v>
      </c>
      <c r="G91" s="48">
        <v>46121.0</v>
      </c>
      <c r="H91" s="49"/>
      <c r="I91" s="18" t="s">
        <v>46</v>
      </c>
      <c r="J91" s="42">
        <v>3.0</v>
      </c>
      <c r="K91" s="42" t="s">
        <v>18</v>
      </c>
      <c r="L91" s="18" t="s">
        <v>441</v>
      </c>
      <c r="M91" s="56"/>
      <c r="N91" s="56"/>
      <c r="O91" s="56"/>
      <c r="Q91" s="33" t="str">
        <f>IFERROR(MasterData!$B91,"")</f>
        <v/>
      </c>
      <c r="R91" s="33" t="str">
        <f>IFERROR(MasterData!$C91,"")</f>
        <v>Sr. Duty Manager</v>
      </c>
      <c r="S91" s="33" t="str">
        <f>IFERROR(MasterData!$D91,"")</f>
        <v/>
      </c>
      <c r="T91" s="33" t="str">
        <f>IFERROR(MasterData!$E91,"")</f>
        <v/>
      </c>
      <c r="U91" s="33" t="str">
        <f>IFERROR(MasterData!$F91,"")</f>
        <v/>
      </c>
      <c r="V91" s="33" t="str">
        <f>IFERROR(MasterData!$I91,"")</f>
        <v/>
      </c>
      <c r="W91" s="33" t="str">
        <f>IFERROR(MasterData!$H91,"")</f>
        <v/>
      </c>
    </row>
    <row r="92" ht="21.75" customHeight="1">
      <c r="A92" s="55"/>
      <c r="B92" s="13" t="s">
        <v>12</v>
      </c>
      <c r="C92" s="13" t="s">
        <v>147</v>
      </c>
      <c r="D92" s="18" t="s">
        <v>14</v>
      </c>
      <c r="E92" s="44" t="s">
        <v>15</v>
      </c>
      <c r="F92" s="44" t="s">
        <v>34</v>
      </c>
      <c r="G92" s="50">
        <v>46121.0</v>
      </c>
      <c r="H92" s="51"/>
      <c r="I92" s="13" t="s">
        <v>46</v>
      </c>
      <c r="J92" s="44">
        <v>4.0</v>
      </c>
      <c r="K92" s="44" t="s">
        <v>18</v>
      </c>
      <c r="L92" s="13" t="s">
        <v>442</v>
      </c>
      <c r="M92" s="55"/>
      <c r="N92" s="55"/>
      <c r="O92" s="55"/>
      <c r="Q92" s="33" t="str">
        <f>IFERROR(MasterData!$B92,"")</f>
        <v/>
      </c>
      <c r="R92" s="33" t="str">
        <f>IFERROR(MasterData!$C92,"")</f>
        <v>Steward</v>
      </c>
      <c r="S92" s="33" t="str">
        <f>IFERROR(MasterData!$D92,"")</f>
        <v/>
      </c>
      <c r="T92" s="33" t="str">
        <f>IFERROR(MasterData!$E92,"")</f>
        <v/>
      </c>
      <c r="U92" s="33" t="str">
        <f>IFERROR(MasterData!$F92,"")</f>
        <v/>
      </c>
      <c r="V92" s="33" t="str">
        <f>IFERROR(MasterData!$I92,"")</f>
        <v/>
      </c>
      <c r="W92" s="33" t="str">
        <f>IFERROR(MasterData!$H92,"")</f>
        <v/>
      </c>
    </row>
    <row r="93" ht="21.75" customHeight="1">
      <c r="A93" s="56"/>
      <c r="B93" s="18" t="s">
        <v>12</v>
      </c>
      <c r="C93" s="18" t="s">
        <v>126</v>
      </c>
      <c r="D93" s="18" t="s">
        <v>14</v>
      </c>
      <c r="E93" s="42" t="s">
        <v>15</v>
      </c>
      <c r="F93" s="42" t="s">
        <v>25</v>
      </c>
      <c r="G93" s="50">
        <v>46121.0</v>
      </c>
      <c r="H93" s="49"/>
      <c r="I93" s="18" t="s">
        <v>46</v>
      </c>
      <c r="J93" s="42">
        <v>6.0</v>
      </c>
      <c r="K93" s="42" t="s">
        <v>18</v>
      </c>
      <c r="L93" s="18" t="s">
        <v>443</v>
      </c>
      <c r="M93" s="56"/>
      <c r="N93" s="56"/>
      <c r="O93" s="56"/>
      <c r="Q93" s="33" t="str">
        <f>IFERROR(MasterData!$B93,"")</f>
        <v/>
      </c>
      <c r="R93" s="33" t="str">
        <f>IFERROR(MasterData!$C93,"")</f>
        <v>Store Manager</v>
      </c>
      <c r="S93" s="33" t="str">
        <f>IFERROR(MasterData!$D93,"")</f>
        <v/>
      </c>
      <c r="T93" s="33" t="str">
        <f>IFERROR(MasterData!$E93,"")</f>
        <v/>
      </c>
      <c r="U93" s="33" t="str">
        <f>IFERROR(MasterData!$F93,"")</f>
        <v/>
      </c>
      <c r="V93" s="33" t="str">
        <f>IFERROR(MasterData!$I93,"")</f>
        <v/>
      </c>
      <c r="W93" s="33" t="str">
        <f>IFERROR(MasterData!$H93,"")</f>
        <v/>
      </c>
    </row>
    <row r="94" ht="21.75" customHeight="1">
      <c r="A94" s="55"/>
      <c r="B94" s="13" t="s">
        <v>12</v>
      </c>
      <c r="C94" s="13" t="s">
        <v>306</v>
      </c>
      <c r="D94" s="13" t="s">
        <v>23</v>
      </c>
      <c r="E94" s="44" t="s">
        <v>15</v>
      </c>
      <c r="F94" s="44" t="s">
        <v>25</v>
      </c>
      <c r="G94" s="50">
        <v>46121.0</v>
      </c>
      <c r="H94" s="51"/>
      <c r="I94" s="13" t="s">
        <v>46</v>
      </c>
      <c r="J94" s="44">
        <v>10.0</v>
      </c>
      <c r="K94" s="44" t="s">
        <v>18</v>
      </c>
      <c r="L94" s="13" t="s">
        <v>444</v>
      </c>
      <c r="M94" s="55"/>
      <c r="N94" s="55"/>
      <c r="O94" s="55"/>
      <c r="Q94" s="33" t="str">
        <f>IFERROR(MasterData!$B94,"")</f>
        <v/>
      </c>
      <c r="R94" s="33" t="str">
        <f>IFERROR(MasterData!$C94,"")</f>
        <v>Stores Manager</v>
      </c>
      <c r="S94" s="33" t="str">
        <f>IFERROR(MasterData!$D94,"")</f>
        <v/>
      </c>
      <c r="T94" s="33" t="str">
        <f>IFERROR(MasterData!$E94,"")</f>
        <v/>
      </c>
      <c r="U94" s="33" t="str">
        <f>IFERROR(MasterData!$F94,"")</f>
        <v/>
      </c>
      <c r="V94" s="33" t="str">
        <f>IFERROR(MasterData!$I94,"")</f>
        <v/>
      </c>
      <c r="W94" s="33" t="str">
        <f>IFERROR(MasterData!$H94,"")</f>
        <v/>
      </c>
    </row>
    <row r="95" ht="21.75" customHeight="1">
      <c r="A95" s="56"/>
      <c r="B95" s="18" t="s">
        <v>12</v>
      </c>
      <c r="C95" s="18" t="s">
        <v>102</v>
      </c>
      <c r="D95" s="18" t="s">
        <v>14</v>
      </c>
      <c r="E95" s="42" t="s">
        <v>15</v>
      </c>
      <c r="F95" s="42" t="s">
        <v>34</v>
      </c>
      <c r="G95" s="50">
        <v>46121.0</v>
      </c>
      <c r="H95" s="49"/>
      <c r="I95" s="18" t="s">
        <v>46</v>
      </c>
      <c r="J95" s="42">
        <v>5.0</v>
      </c>
      <c r="K95" s="42" t="s">
        <v>18</v>
      </c>
      <c r="L95" s="18" t="s">
        <v>444</v>
      </c>
      <c r="M95" s="56"/>
      <c r="N95" s="56"/>
      <c r="O95" s="56"/>
      <c r="Q95" s="33" t="str">
        <f>IFERROR(MasterData!$B95,"")</f>
        <v/>
      </c>
      <c r="R95" s="33" t="str">
        <f>IFERROR(MasterData!$C95,"")</f>
        <v>Supervisor</v>
      </c>
      <c r="S95" s="33" t="str">
        <f>IFERROR(MasterData!$D95,"")</f>
        <v/>
      </c>
      <c r="T95" s="33" t="str">
        <f>IFERROR(MasterData!$E95,"")</f>
        <v/>
      </c>
      <c r="U95" s="33" t="str">
        <f>IFERROR(MasterData!$F95,"")</f>
        <v/>
      </c>
      <c r="V95" s="33" t="str">
        <f>IFERROR(MasterData!$I95,"")</f>
        <v/>
      </c>
      <c r="W95" s="33" t="str">
        <f>IFERROR(MasterData!$H95,"")</f>
        <v/>
      </c>
    </row>
    <row r="96" ht="21.75" customHeight="1">
      <c r="A96" s="55"/>
      <c r="B96" s="13" t="s">
        <v>12</v>
      </c>
      <c r="C96" s="13" t="s">
        <v>186</v>
      </c>
      <c r="D96" s="13" t="s">
        <v>41</v>
      </c>
      <c r="E96" s="44" t="s">
        <v>15</v>
      </c>
      <c r="F96" s="44" t="s">
        <v>25</v>
      </c>
      <c r="G96" s="50">
        <v>46121.0</v>
      </c>
      <c r="H96" s="51"/>
      <c r="I96" s="13" t="s">
        <v>46</v>
      </c>
      <c r="J96" s="44">
        <v>3.0</v>
      </c>
      <c r="K96" s="44" t="s">
        <v>18</v>
      </c>
      <c r="L96" s="13" t="s">
        <v>445</v>
      </c>
      <c r="M96" s="55"/>
      <c r="N96" s="55"/>
      <c r="O96" s="55"/>
      <c r="Q96" s="33" t="str">
        <f>IFERROR(MasterData!$B96,"")</f>
        <v/>
      </c>
      <c r="R96" s="33" t="str">
        <f>IFERROR(MasterData!$C96,"")</f>
        <v>Supply Chain</v>
      </c>
      <c r="S96" s="33" t="str">
        <f>IFERROR(MasterData!$D96,"")</f>
        <v/>
      </c>
      <c r="T96" s="33" t="str">
        <f>IFERROR(MasterData!$E96,"")</f>
        <v/>
      </c>
      <c r="U96" s="33" t="str">
        <f>IFERROR(MasterData!$F96,"")</f>
        <v/>
      </c>
      <c r="V96" s="33" t="str">
        <f>IFERROR(MasterData!$I96,"")</f>
        <v/>
      </c>
      <c r="W96" s="33" t="str">
        <f>IFERROR(MasterData!$H96,"")</f>
        <v/>
      </c>
    </row>
    <row r="97" ht="21.75" customHeight="1">
      <c r="A97" s="56"/>
      <c r="B97" s="18" t="s">
        <v>182</v>
      </c>
      <c r="C97" s="18" t="s">
        <v>275</v>
      </c>
      <c r="D97" s="18" t="s">
        <v>23</v>
      </c>
      <c r="E97" s="42" t="s">
        <v>15</v>
      </c>
      <c r="F97" s="42" t="s">
        <v>43</v>
      </c>
      <c r="G97" s="48">
        <v>46121.0</v>
      </c>
      <c r="H97" s="49"/>
      <c r="I97" s="18" t="s">
        <v>37</v>
      </c>
      <c r="J97" s="42">
        <v>1.0</v>
      </c>
      <c r="K97" s="42" t="s">
        <v>18</v>
      </c>
      <c r="L97" s="53"/>
      <c r="M97" s="56"/>
      <c r="N97" s="56"/>
      <c r="O97" s="56"/>
      <c r="Q97" s="33" t="str">
        <f>IFERROR(MasterData!$B97,"")</f>
        <v/>
      </c>
      <c r="R97" s="33" t="str">
        <f>IFERROR(MasterData!$C97,"")</f>
        <v>Team Leader</v>
      </c>
      <c r="S97" s="33" t="str">
        <f>IFERROR(MasterData!$D97,"")</f>
        <v/>
      </c>
      <c r="T97" s="33" t="str">
        <f>IFERROR(MasterData!$E97,"")</f>
        <v/>
      </c>
      <c r="U97" s="33" t="str">
        <f>IFERROR(MasterData!$F97,"")</f>
        <v/>
      </c>
      <c r="V97" s="33" t="str">
        <f>IFERROR(MasterData!$I97,"")</f>
        <v/>
      </c>
      <c r="W97" s="33" t="str">
        <f>IFERROR(MasterData!$H97,"")</f>
        <v/>
      </c>
    </row>
    <row r="98" ht="21.75" customHeight="1">
      <c r="A98" s="55"/>
      <c r="B98" s="13" t="s">
        <v>182</v>
      </c>
      <c r="C98" s="13" t="s">
        <v>13</v>
      </c>
      <c r="D98" s="13" t="s">
        <v>23</v>
      </c>
      <c r="E98" s="44" t="s">
        <v>15</v>
      </c>
      <c r="F98" s="44" t="s">
        <v>34</v>
      </c>
      <c r="G98" s="50">
        <v>46121.0</v>
      </c>
      <c r="H98" s="51"/>
      <c r="I98" s="13" t="s">
        <v>37</v>
      </c>
      <c r="J98" s="44">
        <v>2.0</v>
      </c>
      <c r="K98" s="44" t="s">
        <v>18</v>
      </c>
      <c r="L98" s="52"/>
      <c r="M98" s="55"/>
      <c r="N98" s="55"/>
      <c r="O98" s="55"/>
      <c r="Q98" s="33" t="str">
        <f>IFERROR(MasterData!$B98,"")</f>
        <v/>
      </c>
      <c r="R98" s="33" t="str">
        <f>IFERROR(MasterData!$C98,"")</f>
        <v>Trainee Captain</v>
      </c>
      <c r="S98" s="33" t="str">
        <f>IFERROR(MasterData!$D98,"")</f>
        <v/>
      </c>
      <c r="T98" s="33" t="str">
        <f>IFERROR(MasterData!$E98,"")</f>
        <v/>
      </c>
      <c r="U98" s="33" t="str">
        <f>IFERROR(MasterData!$F98,"")</f>
        <v/>
      </c>
      <c r="V98" s="33" t="str">
        <f>IFERROR(MasterData!$I98,"")</f>
        <v/>
      </c>
      <c r="W98" s="33" t="str">
        <f>IFERROR(MasterData!$H98,"")</f>
        <v/>
      </c>
    </row>
    <row r="99" ht="21.75" customHeight="1">
      <c r="A99" s="56"/>
      <c r="B99" s="18" t="s">
        <v>182</v>
      </c>
      <c r="C99" s="18" t="s">
        <v>237</v>
      </c>
      <c r="D99" s="18" t="s">
        <v>23</v>
      </c>
      <c r="E99" s="42" t="s">
        <v>15</v>
      </c>
      <c r="F99" s="42" t="s">
        <v>34</v>
      </c>
      <c r="G99" s="48">
        <v>46121.0</v>
      </c>
      <c r="H99" s="49"/>
      <c r="I99" s="18" t="s">
        <v>37</v>
      </c>
      <c r="J99" s="42">
        <v>1.0</v>
      </c>
      <c r="K99" s="42" t="s">
        <v>18</v>
      </c>
      <c r="L99" s="53"/>
      <c r="M99" s="56"/>
      <c r="N99" s="56"/>
      <c r="O99" s="56"/>
      <c r="Q99" s="33" t="str">
        <f>IFERROR(MasterData!$B99,"")</f>
        <v/>
      </c>
      <c r="R99" s="33" t="str">
        <f>IFERROR(MasterData!$C99,"")</f>
        <v>Training Manager</v>
      </c>
      <c r="S99" s="33" t="str">
        <f>IFERROR(MasterData!$D99,"")</f>
        <v/>
      </c>
      <c r="T99" s="33" t="str">
        <f>IFERROR(MasterData!$E99,"")</f>
        <v/>
      </c>
      <c r="U99" s="33" t="str">
        <f>IFERROR(MasterData!$F99,"")</f>
        <v/>
      </c>
      <c r="V99" s="33" t="str">
        <f>IFERROR(MasterData!$I99,"")</f>
        <v/>
      </c>
      <c r="W99" s="33" t="str">
        <f>IFERROR(MasterData!$H99,"")</f>
        <v/>
      </c>
    </row>
    <row r="100" ht="21.75" customHeight="1">
      <c r="A100" s="55"/>
      <c r="B100" s="13" t="s">
        <v>289</v>
      </c>
      <c r="C100" s="13" t="s">
        <v>162</v>
      </c>
      <c r="D100" s="13" t="s">
        <v>14</v>
      </c>
      <c r="E100" s="44" t="s">
        <v>24</v>
      </c>
      <c r="F100" s="44" t="s">
        <v>52</v>
      </c>
      <c r="G100" s="48">
        <v>46115.0</v>
      </c>
      <c r="H100" s="51"/>
      <c r="I100" s="13" t="s">
        <v>37</v>
      </c>
      <c r="J100" s="44">
        <v>1.0</v>
      </c>
      <c r="K100" s="44" t="s">
        <v>36</v>
      </c>
      <c r="L100" s="52"/>
      <c r="M100" s="55"/>
      <c r="N100" s="55"/>
      <c r="O100" s="55"/>
      <c r="Q100" s="33" t="str">
        <f>IFERROR(MasterData!$B100,"")</f>
        <v/>
      </c>
      <c r="R100" s="33" t="str">
        <f>IFERROR(MasterData!$C100,"")</f>
        <v>Waiter</v>
      </c>
      <c r="S100" s="33" t="str">
        <f>IFERROR(MasterData!$D100,"")</f>
        <v/>
      </c>
      <c r="T100" s="33" t="str">
        <f>IFERROR(MasterData!$E100,"")</f>
        <v/>
      </c>
      <c r="U100" s="33" t="str">
        <f>IFERROR(MasterData!$F100,"")</f>
        <v/>
      </c>
      <c r="V100" s="33" t="str">
        <f>IFERROR(MasterData!$I100,"")</f>
        <v/>
      </c>
      <c r="W100" s="33" t="str">
        <f>IFERROR(MasterData!$H100,"")</f>
        <v/>
      </c>
    </row>
    <row r="101" ht="21.75" customHeight="1">
      <c r="A101" s="56"/>
      <c r="B101" s="18" t="s">
        <v>289</v>
      </c>
      <c r="C101" s="18" t="s">
        <v>304</v>
      </c>
      <c r="D101" s="18" t="s">
        <v>14</v>
      </c>
      <c r="E101" s="42" t="s">
        <v>24</v>
      </c>
      <c r="F101" s="42" t="s">
        <v>43</v>
      </c>
      <c r="G101" s="48">
        <v>46121.0</v>
      </c>
      <c r="H101" s="49"/>
      <c r="I101" s="18" t="s">
        <v>37</v>
      </c>
      <c r="J101" s="42">
        <v>1.0</v>
      </c>
      <c r="K101" s="42" t="s">
        <v>18</v>
      </c>
      <c r="L101" s="53"/>
      <c r="M101" s="56"/>
      <c r="N101" s="56"/>
      <c r="O101" s="56"/>
      <c r="Q101" s="33" t="str">
        <f>IFERROR(MasterData!$B101,"")</f>
        <v/>
      </c>
      <c r="R101" s="33" t="str">
        <f>IFERROR(MasterData!$C101,"")</f>
        <v>Aggregator Manager</v>
      </c>
      <c r="S101" s="33" t="str">
        <f>IFERROR(MasterData!$D101,"")</f>
        <v/>
      </c>
      <c r="T101" s="33" t="str">
        <f>IFERROR(MasterData!$E101,"")</f>
        <v/>
      </c>
      <c r="U101" s="33" t="str">
        <f>IFERROR(MasterData!$F101,"")</f>
        <v/>
      </c>
      <c r="V101" s="33" t="str">
        <f>IFERROR(MasterData!$I101,"")</f>
        <v/>
      </c>
      <c r="W101" s="33" t="str">
        <f>IFERROR(MasterData!$H101,"")</f>
        <v/>
      </c>
    </row>
    <row r="102" ht="21.75" customHeight="1">
      <c r="A102" s="55"/>
      <c r="B102" s="13" t="s">
        <v>289</v>
      </c>
      <c r="C102" s="13" t="s">
        <v>105</v>
      </c>
      <c r="D102" s="13" t="s">
        <v>14</v>
      </c>
      <c r="E102" s="44" t="s">
        <v>24</v>
      </c>
      <c r="F102" s="44" t="s">
        <v>34</v>
      </c>
      <c r="G102" s="50">
        <v>46121.0</v>
      </c>
      <c r="H102" s="51"/>
      <c r="I102" s="13" t="s">
        <v>37</v>
      </c>
      <c r="J102" s="44">
        <v>1.0</v>
      </c>
      <c r="K102" s="44" t="s">
        <v>18</v>
      </c>
      <c r="L102" s="52"/>
      <c r="M102" s="55"/>
      <c r="N102" s="55"/>
      <c r="O102" s="55"/>
      <c r="Q102" s="33" t="str">
        <f>IFERROR(MasterData!$B102,"")</f>
        <v/>
      </c>
      <c r="R102" s="33" t="str">
        <f>IFERROR(MasterData!$C102,"")</f>
        <v>Graphic Designer</v>
      </c>
      <c r="S102" s="33" t="str">
        <f>IFERROR(MasterData!$D102,"")</f>
        <v/>
      </c>
      <c r="T102" s="33" t="str">
        <f>IFERROR(MasterData!$E102,"")</f>
        <v/>
      </c>
      <c r="U102" s="33" t="str">
        <f>IFERROR(MasterData!$F102,"")</f>
        <v/>
      </c>
      <c r="V102" s="33" t="str">
        <f>IFERROR(MasterData!$I102,"")</f>
        <v/>
      </c>
      <c r="W102" s="33" t="str">
        <f>IFERROR(MasterData!$H102,"")</f>
        <v/>
      </c>
    </row>
    <row r="103" ht="21.75" customHeight="1">
      <c r="A103" s="56"/>
      <c r="B103" s="18" t="s">
        <v>280</v>
      </c>
      <c r="C103" s="18" t="s">
        <v>75</v>
      </c>
      <c r="D103" s="18" t="s">
        <v>23</v>
      </c>
      <c r="E103" s="42" t="s">
        <v>77</v>
      </c>
      <c r="F103" s="42" t="s">
        <v>43</v>
      </c>
      <c r="G103" s="48">
        <v>46132.0</v>
      </c>
      <c r="H103" s="49"/>
      <c r="I103" s="18" t="s">
        <v>46</v>
      </c>
      <c r="J103" s="42">
        <v>1.0</v>
      </c>
      <c r="K103" s="42" t="s">
        <v>18</v>
      </c>
      <c r="L103" s="18" t="s">
        <v>446</v>
      </c>
      <c r="M103" s="56"/>
      <c r="N103" s="56"/>
      <c r="O103" s="56"/>
      <c r="Q103" s="33" t="str">
        <f>IFERROR(MasterData!$B103,"")</f>
        <v/>
      </c>
      <c r="R103" s="33" t="str">
        <f>IFERROR(MasterData!$C103,"")</f>
        <v>Barista</v>
      </c>
      <c r="S103" s="33" t="str">
        <f>IFERROR(MasterData!$D103,"")</f>
        <v/>
      </c>
      <c r="T103" s="33" t="str">
        <f>IFERROR(MasterData!$E103,"")</f>
        <v/>
      </c>
      <c r="U103" s="33" t="str">
        <f>IFERROR(MasterData!$F103,"")</f>
        <v/>
      </c>
      <c r="V103" s="33" t="str">
        <f>IFERROR(MasterData!$I103,"")</f>
        <v/>
      </c>
      <c r="W103" s="33" t="str">
        <f>IFERROR(MasterData!$H103,"")</f>
        <v/>
      </c>
    </row>
    <row r="104" ht="21.75" customHeight="1">
      <c r="A104" s="55"/>
      <c r="B104" s="13" t="s">
        <v>280</v>
      </c>
      <c r="C104" s="13" t="s">
        <v>102</v>
      </c>
      <c r="D104" s="13" t="s">
        <v>23</v>
      </c>
      <c r="E104" s="44" t="s">
        <v>77</v>
      </c>
      <c r="F104" s="44" t="s">
        <v>34</v>
      </c>
      <c r="G104" s="48">
        <v>46132.0</v>
      </c>
      <c r="H104" s="51"/>
      <c r="I104" s="18" t="s">
        <v>46</v>
      </c>
      <c r="J104" s="44">
        <v>15.0</v>
      </c>
      <c r="K104" s="44" t="s">
        <v>18</v>
      </c>
      <c r="L104" s="13" t="s">
        <v>447</v>
      </c>
      <c r="M104" s="55"/>
      <c r="N104" s="55"/>
      <c r="O104" s="55"/>
      <c r="Q104" s="33" t="str">
        <f>IFERROR(MasterData!$B104,"")</f>
        <v/>
      </c>
      <c r="R104" s="33" t="str">
        <f>IFERROR(MasterData!$C104,"")</f>
        <v/>
      </c>
      <c r="S104" s="33" t="str">
        <f>IFERROR(MasterData!$D104,"")</f>
        <v/>
      </c>
      <c r="T104" s="33" t="str">
        <f>IFERROR(MasterData!$E104,"")</f>
        <v/>
      </c>
      <c r="U104" s="33" t="str">
        <f>IFERROR(MasterData!$F104,"")</f>
        <v/>
      </c>
      <c r="V104" s="33" t="str">
        <f>IFERROR(MasterData!$I104,"")</f>
        <v/>
      </c>
      <c r="W104" s="33" t="str">
        <f>IFERROR(MasterData!$H104,"")</f>
        <v/>
      </c>
    </row>
    <row r="105" ht="21.75" customHeight="1">
      <c r="A105" s="56"/>
      <c r="B105" s="18" t="s">
        <v>280</v>
      </c>
      <c r="C105" s="18" t="s">
        <v>92</v>
      </c>
      <c r="D105" s="18" t="s">
        <v>23</v>
      </c>
      <c r="E105" s="42" t="s">
        <v>77</v>
      </c>
      <c r="F105" s="42" t="s">
        <v>34</v>
      </c>
      <c r="G105" s="48">
        <v>46132.0</v>
      </c>
      <c r="H105" s="49"/>
      <c r="I105" s="18" t="s">
        <v>46</v>
      </c>
      <c r="J105" s="42">
        <v>12.0</v>
      </c>
      <c r="K105" s="42" t="s">
        <v>18</v>
      </c>
      <c r="L105" s="18" t="s">
        <v>448</v>
      </c>
      <c r="M105" s="56"/>
      <c r="N105" s="56"/>
      <c r="O105" s="56"/>
      <c r="Q105" s="33" t="str">
        <f>IFERROR(MasterData!$B105,"")</f>
        <v/>
      </c>
      <c r="R105" s="33" t="str">
        <f>IFERROR(MasterData!$C105,"")</f>
        <v/>
      </c>
      <c r="S105" s="33" t="str">
        <f>IFERROR(MasterData!$D105,"")</f>
        <v/>
      </c>
      <c r="T105" s="33" t="str">
        <f>IFERROR(MasterData!$E105,"")</f>
        <v/>
      </c>
      <c r="U105" s="33" t="str">
        <f>IFERROR(MasterData!$F105,"")</f>
        <v/>
      </c>
      <c r="V105" s="33" t="str">
        <f>IFERROR(MasterData!$I105,"")</f>
        <v/>
      </c>
      <c r="W105" s="33" t="str">
        <f>IFERROR(MasterData!$H105,"")</f>
        <v/>
      </c>
    </row>
    <row r="106" ht="21.75" customHeight="1">
      <c r="A106" s="55"/>
      <c r="B106" s="13" t="s">
        <v>280</v>
      </c>
      <c r="C106" s="13" t="s">
        <v>92</v>
      </c>
      <c r="D106" s="13" t="s">
        <v>23</v>
      </c>
      <c r="E106" s="44" t="s">
        <v>77</v>
      </c>
      <c r="F106" s="44" t="s">
        <v>34</v>
      </c>
      <c r="G106" s="48">
        <v>46132.0</v>
      </c>
      <c r="H106" s="51"/>
      <c r="I106" s="13" t="s">
        <v>46</v>
      </c>
      <c r="J106" s="44">
        <v>3.0</v>
      </c>
      <c r="K106" s="44" t="s">
        <v>18</v>
      </c>
      <c r="L106" s="13" t="s">
        <v>449</v>
      </c>
      <c r="M106" s="55"/>
      <c r="N106" s="55"/>
      <c r="O106" s="55"/>
      <c r="Q106" s="33" t="str">
        <f>IFERROR(MasterData!$B106,"")</f>
        <v/>
      </c>
      <c r="R106" s="33" t="str">
        <f>IFERROR(MasterData!$C106,"")</f>
        <v/>
      </c>
      <c r="S106" s="33" t="str">
        <f>IFERROR(MasterData!$D106,"")</f>
        <v/>
      </c>
      <c r="T106" s="33" t="str">
        <f>IFERROR(MasterData!$E106,"")</f>
        <v/>
      </c>
      <c r="U106" s="33" t="str">
        <f>IFERROR(MasterData!$F106,"")</f>
        <v/>
      </c>
      <c r="V106" s="33" t="str">
        <f>IFERROR(MasterData!$I106,"")</f>
        <v/>
      </c>
      <c r="W106" s="33" t="str">
        <f>IFERROR(MasterData!$H106,"")</f>
        <v/>
      </c>
    </row>
    <row r="107" ht="21.75" customHeight="1">
      <c r="A107" s="56"/>
      <c r="B107" s="18" t="s">
        <v>256</v>
      </c>
      <c r="C107" s="18" t="s">
        <v>117</v>
      </c>
      <c r="D107" s="18" t="s">
        <v>23</v>
      </c>
      <c r="E107" s="42" t="s">
        <v>15</v>
      </c>
      <c r="F107" s="42" t="s">
        <v>25</v>
      </c>
      <c r="G107" s="48">
        <v>46132.0</v>
      </c>
      <c r="H107" s="49"/>
      <c r="I107" s="18" t="s">
        <v>28</v>
      </c>
      <c r="J107" s="42">
        <v>5.0</v>
      </c>
      <c r="K107" s="42" t="s">
        <v>18</v>
      </c>
      <c r="L107" s="18" t="s">
        <v>450</v>
      </c>
      <c r="M107" s="56"/>
      <c r="N107" s="56"/>
      <c r="O107" s="56"/>
      <c r="Q107" s="33" t="str">
        <f>IFERROR(MasterData!$B107,"")</f>
        <v/>
      </c>
      <c r="R107" s="33" t="str">
        <f>IFERROR(MasterData!$C107,"")</f>
        <v/>
      </c>
      <c r="S107" s="33" t="str">
        <f>IFERROR(MasterData!$D107,"")</f>
        <v/>
      </c>
      <c r="T107" s="33" t="str">
        <f>IFERROR(MasterData!$E107,"")</f>
        <v/>
      </c>
      <c r="U107" s="33" t="str">
        <f>IFERROR(MasterData!$F107,"")</f>
        <v/>
      </c>
      <c r="V107" s="33" t="str">
        <f>IFERROR(MasterData!$I107,"")</f>
        <v/>
      </c>
      <c r="W107" s="33" t="str">
        <f>IFERROR(MasterData!$H107,"")</f>
        <v/>
      </c>
    </row>
    <row r="108" ht="21.75" customHeight="1">
      <c r="A108" s="55"/>
      <c r="B108" s="13" t="s">
        <v>256</v>
      </c>
      <c r="C108" s="13" t="s">
        <v>306</v>
      </c>
      <c r="D108" s="13" t="s">
        <v>23</v>
      </c>
      <c r="E108" s="44" t="s">
        <v>15</v>
      </c>
      <c r="F108" s="44" t="s">
        <v>25</v>
      </c>
      <c r="G108" s="50">
        <v>46132.0</v>
      </c>
      <c r="H108" s="51"/>
      <c r="I108" s="13" t="s">
        <v>28</v>
      </c>
      <c r="J108" s="44">
        <v>4.0</v>
      </c>
      <c r="K108" s="44" t="s">
        <v>18</v>
      </c>
      <c r="L108" s="13" t="s">
        <v>451</v>
      </c>
      <c r="M108" s="55"/>
      <c r="N108" s="55"/>
      <c r="O108" s="55"/>
      <c r="Q108" s="33" t="str">
        <f>IFERROR(MasterData!$B108,"")</f>
        <v/>
      </c>
      <c r="R108" s="33" t="str">
        <f>IFERROR(MasterData!$C108,"")</f>
        <v/>
      </c>
      <c r="S108" s="33" t="str">
        <f>IFERROR(MasterData!$D108,"")</f>
        <v/>
      </c>
      <c r="T108" s="33" t="str">
        <f>IFERROR(MasterData!$E108,"")</f>
        <v/>
      </c>
      <c r="U108" s="33" t="str">
        <f>IFERROR(MasterData!$F108,"")</f>
        <v/>
      </c>
      <c r="V108" s="33" t="str">
        <f>IFERROR(MasterData!$I108,"")</f>
        <v/>
      </c>
      <c r="W108" s="33" t="str">
        <f>IFERROR(MasterData!$H108,"")</f>
        <v/>
      </c>
    </row>
    <row r="109" ht="21.75" customHeight="1">
      <c r="A109" s="56"/>
      <c r="B109" s="18" t="s">
        <v>293</v>
      </c>
      <c r="C109" s="18" t="s">
        <v>117</v>
      </c>
      <c r="D109" s="13" t="s">
        <v>23</v>
      </c>
      <c r="E109" s="42" t="s">
        <v>15</v>
      </c>
      <c r="F109" s="42" t="s">
        <v>25</v>
      </c>
      <c r="G109" s="50">
        <v>46142.0</v>
      </c>
      <c r="H109" s="49"/>
      <c r="I109" s="18" t="s">
        <v>54</v>
      </c>
      <c r="J109" s="42">
        <v>3.0</v>
      </c>
      <c r="K109" s="42" t="s">
        <v>18</v>
      </c>
      <c r="L109" s="53"/>
      <c r="M109" s="56"/>
      <c r="N109" s="56"/>
      <c r="O109" s="56"/>
      <c r="Q109" s="33"/>
      <c r="R109" s="33"/>
      <c r="S109" s="33"/>
      <c r="T109" s="33"/>
      <c r="U109" s="33"/>
      <c r="V109" s="33"/>
      <c r="W109" s="33"/>
    </row>
    <row r="110" ht="21.75" customHeight="1">
      <c r="A110" s="55"/>
      <c r="B110" s="13" t="s">
        <v>293</v>
      </c>
      <c r="C110" s="13" t="s">
        <v>292</v>
      </c>
      <c r="D110" s="13" t="s">
        <v>23</v>
      </c>
      <c r="E110" s="44" t="s">
        <v>15</v>
      </c>
      <c r="F110" s="44" t="s">
        <v>34</v>
      </c>
      <c r="G110" s="50">
        <v>46142.0</v>
      </c>
      <c r="H110" s="51"/>
      <c r="I110" s="13" t="s">
        <v>54</v>
      </c>
      <c r="J110" s="44">
        <v>1.0</v>
      </c>
      <c r="K110" s="44" t="s">
        <v>18</v>
      </c>
      <c r="L110" s="52"/>
      <c r="M110" s="55"/>
      <c r="N110" s="55"/>
      <c r="O110" s="55"/>
      <c r="Q110" s="33" t="str">
        <f>IFERROR(MasterData!$B110,"")</f>
        <v/>
      </c>
      <c r="R110" s="33" t="str">
        <f>IFERROR(MasterData!$C110,"")</f>
        <v/>
      </c>
      <c r="S110" s="33" t="str">
        <f>IFERROR(MasterData!$D110,"")</f>
        <v/>
      </c>
      <c r="T110" s="33" t="str">
        <f>IFERROR(MasterData!$E110,"")</f>
        <v/>
      </c>
      <c r="U110" s="33" t="str">
        <f>IFERROR(MasterData!$F110,"")</f>
        <v/>
      </c>
      <c r="V110" s="33" t="str">
        <f>IFERROR(MasterData!$I110,"")</f>
        <v/>
      </c>
      <c r="W110" s="33" t="str">
        <f>IFERROR(MasterData!$H110,"")</f>
        <v/>
      </c>
    </row>
    <row r="111" ht="21.75" customHeight="1">
      <c r="A111" s="56"/>
      <c r="B111" s="18" t="s">
        <v>293</v>
      </c>
      <c r="C111" s="18" t="s">
        <v>102</v>
      </c>
      <c r="D111" s="18" t="s">
        <v>23</v>
      </c>
      <c r="E111" s="42" t="s">
        <v>15</v>
      </c>
      <c r="F111" s="42" t="s">
        <v>25</v>
      </c>
      <c r="G111" s="48">
        <v>46142.0</v>
      </c>
      <c r="H111" s="49"/>
      <c r="I111" s="18" t="s">
        <v>54</v>
      </c>
      <c r="J111" s="42">
        <v>2.0</v>
      </c>
      <c r="K111" s="42" t="s">
        <v>18</v>
      </c>
      <c r="L111" s="53"/>
      <c r="M111" s="56"/>
      <c r="N111" s="56"/>
      <c r="O111" s="56"/>
      <c r="Q111" s="33" t="str">
        <f>IFERROR(MasterData!$B111,"")</f>
        <v/>
      </c>
      <c r="R111" s="33" t="str">
        <f>IFERROR(MasterData!$C111,"")</f>
        <v/>
      </c>
      <c r="S111" s="33" t="str">
        <f>IFERROR(MasterData!$D111,"")</f>
        <v/>
      </c>
      <c r="T111" s="33" t="str">
        <f>IFERROR(MasterData!$E111,"")</f>
        <v/>
      </c>
      <c r="U111" s="33" t="str">
        <f>IFERROR(MasterData!$F111,"")</f>
        <v/>
      </c>
      <c r="V111" s="33" t="str">
        <f>IFERROR(MasterData!$I111,"")</f>
        <v/>
      </c>
      <c r="W111" s="33" t="str">
        <f>IFERROR(MasterData!$H111,"")</f>
        <v/>
      </c>
    </row>
    <row r="112" ht="21.75" customHeight="1">
      <c r="A112" s="55"/>
      <c r="B112" s="13" t="s">
        <v>293</v>
      </c>
      <c r="C112" s="13" t="s">
        <v>22</v>
      </c>
      <c r="D112" s="13" t="s">
        <v>23</v>
      </c>
      <c r="E112" s="44" t="s">
        <v>15</v>
      </c>
      <c r="F112" s="44" t="s">
        <v>25</v>
      </c>
      <c r="G112" s="50">
        <v>46142.0</v>
      </c>
      <c r="H112" s="51"/>
      <c r="I112" s="13" t="s">
        <v>54</v>
      </c>
      <c r="J112" s="44">
        <v>2.0</v>
      </c>
      <c r="K112" s="44" t="s">
        <v>18</v>
      </c>
      <c r="L112" s="52"/>
      <c r="M112" s="55"/>
      <c r="N112" s="55"/>
      <c r="O112" s="55"/>
      <c r="Q112" s="33" t="str">
        <f>IFERROR(MasterData!$B112,"")</f>
        <v/>
      </c>
      <c r="R112" s="33" t="str">
        <f>IFERROR(MasterData!$C112,"")</f>
        <v/>
      </c>
      <c r="S112" s="33" t="str">
        <f>IFERROR(MasterData!$D112,"")</f>
        <v/>
      </c>
      <c r="T112" s="33" t="str">
        <f>IFERROR(MasterData!$E112,"")</f>
        <v/>
      </c>
      <c r="U112" s="33" t="str">
        <f>IFERROR(MasterData!$F112,"")</f>
        <v/>
      </c>
      <c r="V112" s="33" t="str">
        <f>IFERROR(MasterData!$I112,"")</f>
        <v/>
      </c>
      <c r="W112" s="33" t="str">
        <f>IFERROR(MasterData!$H112,"")</f>
        <v/>
      </c>
    </row>
    <row r="113" ht="21.75" customHeight="1">
      <c r="A113" s="56"/>
      <c r="B113" s="18" t="s">
        <v>293</v>
      </c>
      <c r="C113" s="18" t="s">
        <v>87</v>
      </c>
      <c r="D113" s="18" t="s">
        <v>23</v>
      </c>
      <c r="E113" s="42" t="s">
        <v>15</v>
      </c>
      <c r="F113" s="42" t="s">
        <v>25</v>
      </c>
      <c r="G113" s="48">
        <v>46142.0</v>
      </c>
      <c r="H113" s="49"/>
      <c r="I113" s="18" t="s">
        <v>54</v>
      </c>
      <c r="J113" s="42">
        <v>2.0</v>
      </c>
      <c r="K113" s="42" t="s">
        <v>18</v>
      </c>
      <c r="L113" s="53"/>
      <c r="M113" s="56"/>
      <c r="N113" s="56"/>
      <c r="O113" s="56"/>
      <c r="Q113" s="33" t="str">
        <f>IFERROR(MasterData!$B113,"")</f>
        <v/>
      </c>
      <c r="R113" s="33" t="str">
        <f>IFERROR(MasterData!$C113,"")</f>
        <v/>
      </c>
      <c r="S113" s="33" t="str">
        <f>IFERROR(MasterData!$D113,"")</f>
        <v/>
      </c>
      <c r="T113" s="33" t="str">
        <f>IFERROR(MasterData!$E113,"")</f>
        <v/>
      </c>
      <c r="U113" s="33" t="str">
        <f>IFERROR(MasterData!$F113,"")</f>
        <v/>
      </c>
      <c r="V113" s="33" t="str">
        <f>IFERROR(MasterData!$I113,"")</f>
        <v/>
      </c>
      <c r="W113" s="33" t="str">
        <f>IFERROR(MasterData!$H113,"")</f>
        <v/>
      </c>
    </row>
    <row r="114" ht="21.75" customHeight="1">
      <c r="A114" s="55"/>
      <c r="B114" s="13" t="s">
        <v>293</v>
      </c>
      <c r="C114" s="13" t="s">
        <v>126</v>
      </c>
      <c r="D114" s="13" t="s">
        <v>14</v>
      </c>
      <c r="E114" s="44" t="s">
        <v>15</v>
      </c>
      <c r="F114" s="44" t="s">
        <v>25</v>
      </c>
      <c r="G114" s="50">
        <v>46142.0</v>
      </c>
      <c r="H114" s="51"/>
      <c r="I114" s="13" t="s">
        <v>54</v>
      </c>
      <c r="J114" s="44">
        <v>2.0</v>
      </c>
      <c r="K114" s="44" t="s">
        <v>18</v>
      </c>
      <c r="L114" s="52"/>
      <c r="M114" s="55"/>
      <c r="N114" s="55"/>
      <c r="O114" s="55"/>
      <c r="Q114" s="33" t="str">
        <f>IFERROR(MasterData!$B114,"")</f>
        <v/>
      </c>
      <c r="R114" s="33" t="str">
        <f>IFERROR(MasterData!$C114,"")</f>
        <v/>
      </c>
      <c r="S114" s="33" t="str">
        <f>IFERROR(MasterData!$D114,"")</f>
        <v/>
      </c>
      <c r="T114" s="33" t="str">
        <f>IFERROR(MasterData!$E114,"")</f>
        <v/>
      </c>
      <c r="U114" s="33" t="str">
        <f>IFERROR(MasterData!$F114,"")</f>
        <v/>
      </c>
      <c r="V114" s="33" t="str">
        <f>IFERROR(MasterData!$I114,"")</f>
        <v/>
      </c>
      <c r="W114" s="33" t="str">
        <f>IFERROR(MasterData!$H114,"")</f>
        <v/>
      </c>
    </row>
    <row r="115" ht="21.75" customHeight="1">
      <c r="A115" s="56"/>
      <c r="B115" s="18" t="s">
        <v>293</v>
      </c>
      <c r="C115" s="18" t="s">
        <v>147</v>
      </c>
      <c r="D115" s="18" t="s">
        <v>14</v>
      </c>
      <c r="E115" s="42" t="s">
        <v>15</v>
      </c>
      <c r="F115" s="42" t="s">
        <v>34</v>
      </c>
      <c r="G115" s="48">
        <v>46142.0</v>
      </c>
      <c r="H115" s="49"/>
      <c r="I115" s="18" t="s">
        <v>54</v>
      </c>
      <c r="J115" s="42">
        <v>1.0</v>
      </c>
      <c r="K115" s="42" t="s">
        <v>36</v>
      </c>
      <c r="L115" s="53"/>
      <c r="M115" s="56"/>
      <c r="N115" s="56"/>
      <c r="O115" s="56"/>
      <c r="Q115" s="33" t="str">
        <f>IFERROR(MasterData!$B115,"")</f>
        <v/>
      </c>
      <c r="R115" s="33" t="str">
        <f>IFERROR(MasterData!$C115,"")</f>
        <v/>
      </c>
      <c r="S115" s="33" t="str">
        <f>IFERROR(MasterData!$D115,"")</f>
        <v/>
      </c>
      <c r="T115" s="33" t="str">
        <f>IFERROR(MasterData!$E115,"")</f>
        <v/>
      </c>
      <c r="U115" s="33" t="str">
        <f>IFERROR(MasterData!$F115,"")</f>
        <v/>
      </c>
      <c r="V115" s="33" t="str">
        <f>IFERROR(MasterData!$I115,"")</f>
        <v/>
      </c>
      <c r="W115" s="33" t="str">
        <f>IFERROR(MasterData!$H115,"")</f>
        <v/>
      </c>
    </row>
    <row r="116" ht="21.75" customHeight="1">
      <c r="A116" s="55"/>
      <c r="B116" s="13"/>
      <c r="C116" s="52"/>
      <c r="D116" s="52"/>
      <c r="E116" s="57"/>
      <c r="F116" s="57"/>
      <c r="G116" s="51"/>
      <c r="H116" s="51"/>
      <c r="I116" s="52"/>
      <c r="J116" s="57"/>
      <c r="K116" s="57"/>
      <c r="L116" s="52"/>
      <c r="M116" s="55"/>
      <c r="N116" s="55"/>
      <c r="O116" s="55"/>
      <c r="Q116" s="33" t="str">
        <f>IFERROR(MasterData!$B116,"")</f>
        <v/>
      </c>
      <c r="R116" s="33" t="str">
        <f>IFERROR(MasterData!$C116,"")</f>
        <v/>
      </c>
      <c r="S116" s="33" t="str">
        <f>IFERROR(MasterData!$D116,"")</f>
        <v/>
      </c>
      <c r="T116" s="33" t="str">
        <f>IFERROR(MasterData!$E116,"")</f>
        <v/>
      </c>
      <c r="U116" s="33" t="str">
        <f>IFERROR(MasterData!$F116,"")</f>
        <v/>
      </c>
      <c r="V116" s="33" t="str">
        <f>IFERROR(MasterData!$I116,"")</f>
        <v/>
      </c>
      <c r="W116" s="33" t="str">
        <f>IFERROR(MasterData!$H116,"")</f>
        <v/>
      </c>
    </row>
    <row r="117" ht="21.75" customHeight="1">
      <c r="A117" s="56"/>
      <c r="B117" s="18"/>
      <c r="C117" s="53"/>
      <c r="D117" s="53"/>
      <c r="E117" s="58"/>
      <c r="F117" s="58"/>
      <c r="G117" s="49"/>
      <c r="H117" s="49"/>
      <c r="I117" s="53"/>
      <c r="J117" s="58"/>
      <c r="K117" s="58"/>
      <c r="L117" s="53"/>
      <c r="M117" s="56"/>
      <c r="N117" s="56"/>
      <c r="O117" s="56"/>
      <c r="Q117" s="33" t="str">
        <f>IFERROR(MasterData!$B117,"")</f>
        <v/>
      </c>
      <c r="R117" s="33" t="str">
        <f>IFERROR(MasterData!$C117,"")</f>
        <v/>
      </c>
      <c r="S117" s="33" t="str">
        <f>IFERROR(MasterData!$D117,"")</f>
        <v/>
      </c>
      <c r="T117" s="33" t="str">
        <f>IFERROR(MasterData!$E117,"")</f>
        <v/>
      </c>
      <c r="U117" s="33" t="str">
        <f>IFERROR(MasterData!$F117,"")</f>
        <v/>
      </c>
      <c r="V117" s="33" t="str">
        <f>IFERROR(MasterData!$I117,"")</f>
        <v/>
      </c>
      <c r="W117" s="33" t="str">
        <f>IFERROR(MasterData!$H117,"")</f>
        <v/>
      </c>
    </row>
    <row r="118" ht="21.75" customHeight="1">
      <c r="A118" s="55"/>
      <c r="B118" s="13"/>
      <c r="C118" s="52"/>
      <c r="D118" s="52"/>
      <c r="E118" s="57"/>
      <c r="F118" s="57"/>
      <c r="G118" s="51"/>
      <c r="H118" s="51"/>
      <c r="I118" s="52"/>
      <c r="J118" s="57"/>
      <c r="K118" s="57"/>
      <c r="L118" s="52"/>
      <c r="M118" s="55"/>
      <c r="N118" s="55"/>
      <c r="O118" s="55"/>
      <c r="Q118" s="33" t="str">
        <f>IFERROR(MasterData!$B118,"")</f>
        <v/>
      </c>
      <c r="R118" s="33" t="str">
        <f>IFERROR(MasterData!$C118,"")</f>
        <v/>
      </c>
      <c r="S118" s="33" t="str">
        <f>IFERROR(MasterData!$D118,"")</f>
        <v/>
      </c>
      <c r="T118" s="33" t="str">
        <f>IFERROR(MasterData!$E118,"")</f>
        <v/>
      </c>
      <c r="U118" s="33" t="str">
        <f>IFERROR(MasterData!$F118,"")</f>
        <v/>
      </c>
      <c r="V118" s="33" t="str">
        <f>IFERROR(MasterData!$I118,"")</f>
        <v/>
      </c>
      <c r="W118" s="33" t="str">
        <f>IFERROR(MasterData!$H118,"")</f>
        <v/>
      </c>
    </row>
    <row r="119" ht="21.75" customHeight="1">
      <c r="A119" s="56"/>
      <c r="B119" s="18"/>
      <c r="C119" s="53"/>
      <c r="D119" s="53"/>
      <c r="E119" s="58"/>
      <c r="F119" s="58"/>
      <c r="G119" s="49"/>
      <c r="H119" s="49"/>
      <c r="I119" s="53"/>
      <c r="J119" s="58"/>
      <c r="K119" s="58"/>
      <c r="L119" s="53"/>
      <c r="M119" s="56"/>
      <c r="N119" s="56"/>
      <c r="O119" s="56"/>
      <c r="Q119" s="33" t="str">
        <f>IFERROR(MasterData!$B119,"")</f>
        <v/>
      </c>
      <c r="R119" s="33" t="str">
        <f>IFERROR(MasterData!$C119,"")</f>
        <v/>
      </c>
      <c r="S119" s="33" t="str">
        <f>IFERROR(MasterData!$D119,"")</f>
        <v/>
      </c>
      <c r="T119" s="33" t="str">
        <f>IFERROR(MasterData!$E119,"")</f>
        <v/>
      </c>
      <c r="U119" s="33" t="str">
        <f>IFERROR(MasterData!$F119,"")</f>
        <v/>
      </c>
      <c r="V119" s="33" t="str">
        <f>IFERROR(MasterData!$I119,"")</f>
        <v/>
      </c>
      <c r="W119" s="33" t="str">
        <f>IFERROR(MasterData!$H119,"")</f>
        <v/>
      </c>
    </row>
    <row r="120" ht="21.75" customHeight="1">
      <c r="A120" s="55"/>
      <c r="B120" s="13"/>
      <c r="C120" s="52"/>
      <c r="D120" s="52"/>
      <c r="E120" s="57"/>
      <c r="F120" s="57"/>
      <c r="G120" s="51"/>
      <c r="H120" s="51"/>
      <c r="I120" s="52"/>
      <c r="J120" s="57"/>
      <c r="K120" s="57"/>
      <c r="L120" s="52"/>
      <c r="M120" s="55"/>
      <c r="N120" s="55"/>
      <c r="O120" s="55"/>
      <c r="Q120" s="33" t="str">
        <f>IFERROR(MasterData!$B120,"")</f>
        <v/>
      </c>
      <c r="R120" s="33" t="str">
        <f>IFERROR(MasterData!$C120,"")</f>
        <v/>
      </c>
      <c r="S120" s="33" t="str">
        <f>IFERROR(MasterData!$D120,"")</f>
        <v/>
      </c>
      <c r="T120" s="33" t="str">
        <f>IFERROR(MasterData!$E120,"")</f>
        <v/>
      </c>
      <c r="U120" s="33" t="str">
        <f>IFERROR(MasterData!$F120,"")</f>
        <v/>
      </c>
      <c r="V120" s="33" t="str">
        <f>IFERROR(MasterData!$I120,"")</f>
        <v/>
      </c>
      <c r="W120" s="33" t="str">
        <f>IFERROR(MasterData!$H120,"")</f>
        <v/>
      </c>
    </row>
    <row r="121" ht="21.75" customHeight="1">
      <c r="A121" s="56"/>
      <c r="B121" s="18"/>
      <c r="C121" s="53"/>
      <c r="D121" s="53"/>
      <c r="E121" s="58"/>
      <c r="F121" s="58"/>
      <c r="G121" s="49"/>
      <c r="H121" s="49"/>
      <c r="I121" s="53"/>
      <c r="J121" s="58"/>
      <c r="K121" s="58"/>
      <c r="L121" s="53"/>
      <c r="M121" s="56"/>
      <c r="N121" s="56"/>
      <c r="O121" s="56"/>
      <c r="Q121" s="33" t="str">
        <f>IFERROR(MasterData!$B121,"")</f>
        <v/>
      </c>
      <c r="R121" s="33" t="str">
        <f>IFERROR(MasterData!$C121,"")</f>
        <v/>
      </c>
      <c r="S121" s="33" t="str">
        <f>IFERROR(MasterData!$D121,"")</f>
        <v/>
      </c>
      <c r="T121" s="33" t="str">
        <f>IFERROR(MasterData!$E121,"")</f>
        <v/>
      </c>
      <c r="U121" s="33" t="str">
        <f>IFERROR(MasterData!$F121,"")</f>
        <v/>
      </c>
      <c r="V121" s="33" t="str">
        <f>IFERROR(MasterData!$I121,"")</f>
        <v/>
      </c>
      <c r="W121" s="33" t="str">
        <f>IFERROR(MasterData!$H121,"")</f>
        <v/>
      </c>
    </row>
    <row r="122" ht="21.75" customHeight="1">
      <c r="A122" s="55"/>
      <c r="B122" s="52"/>
      <c r="C122" s="52"/>
      <c r="D122" s="52"/>
      <c r="E122" s="57"/>
      <c r="F122" s="57"/>
      <c r="G122" s="51"/>
      <c r="H122" s="51"/>
      <c r="I122" s="52"/>
      <c r="J122" s="57"/>
      <c r="K122" s="57"/>
      <c r="L122" s="52"/>
      <c r="M122" s="55"/>
      <c r="N122" s="55"/>
      <c r="O122" s="55"/>
      <c r="Q122" s="33" t="str">
        <f>IFERROR(MasterData!$B122,"")</f>
        <v/>
      </c>
      <c r="R122" s="33" t="str">
        <f>IFERROR(MasterData!$C122,"")</f>
        <v/>
      </c>
      <c r="S122" s="33" t="str">
        <f>IFERROR(MasterData!$D122,"")</f>
        <v/>
      </c>
      <c r="T122" s="33" t="str">
        <f>IFERROR(MasterData!$E122,"")</f>
        <v/>
      </c>
      <c r="U122" s="33" t="str">
        <f>IFERROR(MasterData!$F122,"")</f>
        <v/>
      </c>
      <c r="V122" s="33" t="str">
        <f>IFERROR(MasterData!$I122,"")</f>
        <v/>
      </c>
      <c r="W122" s="33" t="str">
        <f>IFERROR(MasterData!$H122,"")</f>
        <v/>
      </c>
    </row>
    <row r="123" ht="21.75" customHeight="1">
      <c r="A123" s="56"/>
      <c r="B123" s="53"/>
      <c r="C123" s="53"/>
      <c r="D123" s="53"/>
      <c r="E123" s="58"/>
      <c r="F123" s="58"/>
      <c r="G123" s="49"/>
      <c r="H123" s="49"/>
      <c r="I123" s="53"/>
      <c r="J123" s="58"/>
      <c r="K123" s="58"/>
      <c r="L123" s="53"/>
      <c r="M123" s="56"/>
      <c r="N123" s="56"/>
      <c r="O123" s="56"/>
      <c r="Q123" s="33" t="str">
        <f>IFERROR(MasterData!$B123,"")</f>
        <v/>
      </c>
      <c r="R123" s="33" t="str">
        <f>IFERROR(MasterData!$C123,"")</f>
        <v/>
      </c>
      <c r="S123" s="33" t="str">
        <f>IFERROR(MasterData!$D123,"")</f>
        <v/>
      </c>
      <c r="T123" s="33" t="str">
        <f>IFERROR(MasterData!$E123,"")</f>
        <v/>
      </c>
      <c r="U123" s="33" t="str">
        <f>IFERROR(MasterData!$F123,"")</f>
        <v/>
      </c>
      <c r="V123" s="33" t="str">
        <f>IFERROR(MasterData!$I123,"")</f>
        <v/>
      </c>
      <c r="W123" s="33" t="str">
        <f>IFERROR(MasterData!$H123,"")</f>
        <v/>
      </c>
    </row>
    <row r="124" ht="21.75" customHeight="1">
      <c r="A124" s="55"/>
      <c r="B124" s="52"/>
      <c r="C124" s="52"/>
      <c r="D124" s="52"/>
      <c r="E124" s="57"/>
      <c r="F124" s="57"/>
      <c r="G124" s="51"/>
      <c r="H124" s="51"/>
      <c r="I124" s="52"/>
      <c r="J124" s="57"/>
      <c r="K124" s="57"/>
      <c r="L124" s="52"/>
      <c r="M124" s="55"/>
      <c r="N124" s="55"/>
      <c r="O124" s="55"/>
      <c r="Q124" s="33" t="str">
        <f>IFERROR(MasterData!$B124,"")</f>
        <v/>
      </c>
      <c r="R124" s="33" t="str">
        <f>IFERROR(MasterData!$C124,"")</f>
        <v/>
      </c>
      <c r="S124" s="33" t="str">
        <f>IFERROR(MasterData!$D124,"")</f>
        <v/>
      </c>
      <c r="T124" s="33" t="str">
        <f>IFERROR(MasterData!$E124,"")</f>
        <v/>
      </c>
      <c r="U124" s="33" t="str">
        <f>IFERROR(MasterData!$F124,"")</f>
        <v/>
      </c>
      <c r="V124" s="33" t="str">
        <f>IFERROR(MasterData!$I124,"")</f>
        <v/>
      </c>
      <c r="W124" s="33" t="str">
        <f>IFERROR(MasterData!$H124,"")</f>
        <v/>
      </c>
    </row>
    <row r="125" ht="21.75" customHeight="1">
      <c r="A125" s="56"/>
      <c r="B125" s="53"/>
      <c r="C125" s="53"/>
      <c r="D125" s="53"/>
      <c r="E125" s="58"/>
      <c r="F125" s="58"/>
      <c r="G125" s="49"/>
      <c r="H125" s="49"/>
      <c r="I125" s="53"/>
      <c r="J125" s="58"/>
      <c r="K125" s="58"/>
      <c r="L125" s="53"/>
      <c r="M125" s="56"/>
      <c r="N125" s="56"/>
      <c r="O125" s="56"/>
      <c r="Q125" s="33" t="str">
        <f>IFERROR(MasterData!$B125,"")</f>
        <v/>
      </c>
      <c r="R125" s="33" t="str">
        <f>IFERROR(MasterData!$C125,"")</f>
        <v/>
      </c>
      <c r="S125" s="33" t="str">
        <f>IFERROR(MasterData!$D125,"")</f>
        <v/>
      </c>
      <c r="T125" s="33" t="str">
        <f>IFERROR(MasterData!$E125,"")</f>
        <v/>
      </c>
      <c r="U125" s="33" t="str">
        <f>IFERROR(MasterData!$F125,"")</f>
        <v/>
      </c>
      <c r="V125" s="33" t="str">
        <f>IFERROR(MasterData!$I125,"")</f>
        <v/>
      </c>
      <c r="W125" s="33" t="str">
        <f>IFERROR(MasterData!$H125,"")</f>
        <v/>
      </c>
    </row>
    <row r="126" ht="21.75" customHeight="1">
      <c r="A126" s="55"/>
      <c r="B126" s="52"/>
      <c r="C126" s="52"/>
      <c r="D126" s="52"/>
      <c r="E126" s="57"/>
      <c r="F126" s="57"/>
      <c r="G126" s="51"/>
      <c r="H126" s="51"/>
      <c r="I126" s="52"/>
      <c r="J126" s="57"/>
      <c r="K126" s="57"/>
      <c r="L126" s="52"/>
      <c r="M126" s="55"/>
      <c r="N126" s="55"/>
      <c r="O126" s="55"/>
      <c r="Q126" s="33" t="str">
        <f>IFERROR(MasterData!$B126,"")</f>
        <v/>
      </c>
      <c r="R126" s="33" t="str">
        <f>IFERROR(MasterData!$C126,"")</f>
        <v/>
      </c>
      <c r="S126" s="33" t="str">
        <f>IFERROR(MasterData!$D126,"")</f>
        <v/>
      </c>
      <c r="T126" s="33" t="str">
        <f>IFERROR(MasterData!$E126,"")</f>
        <v/>
      </c>
      <c r="U126" s="33" t="str">
        <f>IFERROR(MasterData!$F126,"")</f>
        <v/>
      </c>
      <c r="V126" s="33" t="str">
        <f>IFERROR(MasterData!$I126,"")</f>
        <v/>
      </c>
      <c r="W126" s="33" t="str">
        <f>IFERROR(MasterData!$H126,"")</f>
        <v/>
      </c>
    </row>
    <row r="127" ht="21.75" customHeight="1">
      <c r="A127" s="56"/>
      <c r="B127" s="53"/>
      <c r="C127" s="53"/>
      <c r="D127" s="53"/>
      <c r="E127" s="58"/>
      <c r="F127" s="58"/>
      <c r="G127" s="49"/>
      <c r="H127" s="49"/>
      <c r="I127" s="53"/>
      <c r="J127" s="58"/>
      <c r="K127" s="58"/>
      <c r="L127" s="53"/>
      <c r="M127" s="56"/>
      <c r="N127" s="56"/>
      <c r="O127" s="56"/>
      <c r="Q127" s="33" t="str">
        <f>IFERROR(MasterData!$B127,"")</f>
        <v/>
      </c>
      <c r="R127" s="33" t="str">
        <f>IFERROR(MasterData!$C127,"")</f>
        <v/>
      </c>
      <c r="S127" s="33" t="str">
        <f>IFERROR(MasterData!$D127,"")</f>
        <v/>
      </c>
      <c r="T127" s="33" t="str">
        <f>IFERROR(MasterData!$E127,"")</f>
        <v/>
      </c>
      <c r="U127" s="33" t="str">
        <f>IFERROR(MasterData!$F127,"")</f>
        <v/>
      </c>
      <c r="V127" s="33" t="str">
        <f>IFERROR(MasterData!$I127,"")</f>
        <v/>
      </c>
      <c r="W127" s="33" t="str">
        <f>IFERROR(MasterData!$H127,"")</f>
        <v/>
      </c>
    </row>
    <row r="128" ht="21.75" customHeight="1">
      <c r="A128" s="55"/>
      <c r="B128" s="52"/>
      <c r="C128" s="52"/>
      <c r="D128" s="52"/>
      <c r="E128" s="57"/>
      <c r="F128" s="57"/>
      <c r="G128" s="51"/>
      <c r="H128" s="51"/>
      <c r="I128" s="52"/>
      <c r="J128" s="57"/>
      <c r="K128" s="57"/>
      <c r="L128" s="52"/>
      <c r="M128" s="55"/>
      <c r="N128" s="55"/>
      <c r="O128" s="55"/>
      <c r="Q128" s="33" t="str">
        <f>IFERROR(MasterData!$B128,"")</f>
        <v/>
      </c>
      <c r="R128" s="33" t="str">
        <f>IFERROR(MasterData!$C128,"")</f>
        <v/>
      </c>
      <c r="S128" s="33" t="str">
        <f>IFERROR(MasterData!$D128,"")</f>
        <v/>
      </c>
      <c r="T128" s="33" t="str">
        <f>IFERROR(MasterData!$E128,"")</f>
        <v/>
      </c>
      <c r="U128" s="33" t="str">
        <f>IFERROR(MasterData!$F128,"")</f>
        <v/>
      </c>
      <c r="V128" s="33" t="str">
        <f>IFERROR(MasterData!$I128,"")</f>
        <v/>
      </c>
      <c r="W128" s="33" t="str">
        <f>IFERROR(MasterData!$H128,"")</f>
        <v/>
      </c>
    </row>
    <row r="129" ht="21.75" customHeight="1">
      <c r="A129" s="56"/>
      <c r="B129" s="53"/>
      <c r="C129" s="53"/>
      <c r="D129" s="53"/>
      <c r="E129" s="58"/>
      <c r="F129" s="58"/>
      <c r="G129" s="49"/>
      <c r="H129" s="49"/>
      <c r="I129" s="53"/>
      <c r="J129" s="58"/>
      <c r="K129" s="58"/>
      <c r="L129" s="53"/>
      <c r="M129" s="56"/>
      <c r="N129" s="56"/>
      <c r="O129" s="56"/>
      <c r="Q129" s="33" t="str">
        <f>IFERROR(MasterData!$B129,"")</f>
        <v/>
      </c>
      <c r="R129" s="33" t="str">
        <f>IFERROR(MasterData!$C129,"")</f>
        <v/>
      </c>
      <c r="S129" s="33" t="str">
        <f>IFERROR(MasterData!$D129,"")</f>
        <v/>
      </c>
      <c r="T129" s="33" t="str">
        <f>IFERROR(MasterData!$E129,"")</f>
        <v/>
      </c>
      <c r="U129" s="33" t="str">
        <f>IFERROR(MasterData!$F129,"")</f>
        <v/>
      </c>
      <c r="V129" s="33" t="str">
        <f>IFERROR(MasterData!$I129,"")</f>
        <v/>
      </c>
      <c r="W129" s="33" t="str">
        <f>IFERROR(MasterData!$H129,"")</f>
        <v/>
      </c>
    </row>
    <row r="130" ht="21.75" customHeight="1">
      <c r="A130" s="55"/>
      <c r="B130" s="52"/>
      <c r="C130" s="52"/>
      <c r="D130" s="52"/>
      <c r="E130" s="57"/>
      <c r="F130" s="57"/>
      <c r="G130" s="51"/>
      <c r="H130" s="51"/>
      <c r="I130" s="52"/>
      <c r="J130" s="57"/>
      <c r="K130" s="57"/>
      <c r="L130" s="52"/>
      <c r="M130" s="55"/>
      <c r="N130" s="55"/>
      <c r="O130" s="55"/>
      <c r="Q130" s="33" t="str">
        <f>IFERROR(MasterData!$B130,"")</f>
        <v/>
      </c>
      <c r="R130" s="33" t="str">
        <f>IFERROR(MasterData!$C130,"")</f>
        <v/>
      </c>
      <c r="S130" s="33" t="str">
        <f>IFERROR(MasterData!$D130,"")</f>
        <v/>
      </c>
      <c r="T130" s="33" t="str">
        <f>IFERROR(MasterData!$E130,"")</f>
        <v/>
      </c>
      <c r="U130" s="33" t="str">
        <f>IFERROR(MasterData!$F130,"")</f>
        <v/>
      </c>
      <c r="V130" s="33" t="str">
        <f>IFERROR(MasterData!$I130,"")</f>
        <v/>
      </c>
      <c r="W130" s="33" t="str">
        <f>IFERROR(MasterData!$H130,"")</f>
        <v/>
      </c>
    </row>
    <row r="131" ht="21.75" customHeight="1">
      <c r="A131" s="56"/>
      <c r="B131" s="53"/>
      <c r="C131" s="53"/>
      <c r="D131" s="53"/>
      <c r="E131" s="58"/>
      <c r="F131" s="58"/>
      <c r="G131" s="49"/>
      <c r="H131" s="49"/>
      <c r="I131" s="53"/>
      <c r="J131" s="58"/>
      <c r="K131" s="58"/>
      <c r="L131" s="53"/>
      <c r="M131" s="56"/>
      <c r="N131" s="56"/>
      <c r="O131" s="56"/>
      <c r="Q131" s="33" t="str">
        <f>IFERROR(MasterData!$B131,"")</f>
        <v/>
      </c>
      <c r="R131" s="33" t="str">
        <f>IFERROR(MasterData!$C131,"")</f>
        <v/>
      </c>
      <c r="S131" s="33" t="str">
        <f>IFERROR(MasterData!$D131,"")</f>
        <v/>
      </c>
      <c r="T131" s="33" t="str">
        <f>IFERROR(MasterData!$E131,"")</f>
        <v/>
      </c>
      <c r="U131" s="33" t="str">
        <f>IFERROR(MasterData!$F131,"")</f>
        <v/>
      </c>
      <c r="V131" s="33" t="str">
        <f>IFERROR(MasterData!$I131,"")</f>
        <v/>
      </c>
      <c r="W131" s="33" t="str">
        <f>IFERROR(MasterData!$H131,"")</f>
        <v/>
      </c>
    </row>
    <row r="132" ht="21.75" customHeight="1">
      <c r="A132" s="55"/>
      <c r="B132" s="52"/>
      <c r="C132" s="52"/>
      <c r="D132" s="52"/>
      <c r="E132" s="57"/>
      <c r="F132" s="57"/>
      <c r="G132" s="51"/>
      <c r="H132" s="51"/>
      <c r="I132" s="52"/>
      <c r="J132" s="57"/>
      <c r="K132" s="57"/>
      <c r="L132" s="52"/>
      <c r="M132" s="55"/>
      <c r="N132" s="55"/>
      <c r="O132" s="55"/>
      <c r="Q132" s="33" t="str">
        <f>IFERROR(MasterData!$B132,"")</f>
        <v/>
      </c>
      <c r="R132" s="33" t="str">
        <f>IFERROR(MasterData!$C132,"")</f>
        <v/>
      </c>
      <c r="S132" s="33" t="str">
        <f>IFERROR(MasterData!$D132,"")</f>
        <v/>
      </c>
      <c r="T132" s="33" t="str">
        <f>IFERROR(MasterData!$E132,"")</f>
        <v/>
      </c>
      <c r="U132" s="33" t="str">
        <f>IFERROR(MasterData!$F132,"")</f>
        <v/>
      </c>
      <c r="V132" s="33" t="str">
        <f>IFERROR(MasterData!$I132,"")</f>
        <v/>
      </c>
      <c r="W132" s="33" t="str">
        <f>IFERROR(MasterData!$H132,"")</f>
        <v/>
      </c>
    </row>
    <row r="133" ht="21.75" customHeight="1">
      <c r="A133" s="56"/>
      <c r="B133" s="53"/>
      <c r="C133" s="53"/>
      <c r="D133" s="53"/>
      <c r="E133" s="58"/>
      <c r="F133" s="58"/>
      <c r="G133" s="49"/>
      <c r="H133" s="49"/>
      <c r="I133" s="53"/>
      <c r="J133" s="58"/>
      <c r="K133" s="58"/>
      <c r="L133" s="53"/>
      <c r="M133" s="56"/>
      <c r="N133" s="56"/>
      <c r="O133" s="56"/>
      <c r="Q133" s="33" t="str">
        <f>IFERROR(MasterData!$B133,"")</f>
        <v/>
      </c>
      <c r="R133" s="33" t="str">
        <f>IFERROR(MasterData!$C133,"")</f>
        <v/>
      </c>
      <c r="S133" s="33" t="str">
        <f>IFERROR(MasterData!$D133,"")</f>
        <v/>
      </c>
      <c r="T133" s="33" t="str">
        <f>IFERROR(MasterData!$E133,"")</f>
        <v/>
      </c>
      <c r="U133" s="33" t="str">
        <f>IFERROR(MasterData!$F133,"")</f>
        <v/>
      </c>
      <c r="V133" s="33" t="str">
        <f>IFERROR(MasterData!$I133,"")</f>
        <v/>
      </c>
      <c r="W133" s="33" t="str">
        <f>IFERROR(MasterData!$H133,"")</f>
        <v/>
      </c>
    </row>
    <row r="134" ht="21.75" customHeight="1">
      <c r="A134" s="55"/>
      <c r="B134" s="52"/>
      <c r="C134" s="52"/>
      <c r="D134" s="52"/>
      <c r="E134" s="57"/>
      <c r="F134" s="57"/>
      <c r="G134" s="51"/>
      <c r="H134" s="51"/>
      <c r="I134" s="52"/>
      <c r="J134" s="57"/>
      <c r="K134" s="57"/>
      <c r="L134" s="52"/>
      <c r="M134" s="55"/>
      <c r="N134" s="55"/>
      <c r="O134" s="55"/>
      <c r="Q134" s="33" t="str">
        <f>IFERROR(MasterData!$B134,"")</f>
        <v/>
      </c>
      <c r="R134" s="33" t="str">
        <f>IFERROR(MasterData!$C134,"")</f>
        <v/>
      </c>
      <c r="S134" s="33" t="str">
        <f>IFERROR(MasterData!$D134,"")</f>
        <v/>
      </c>
      <c r="T134" s="33" t="str">
        <f>IFERROR(MasterData!$E134,"")</f>
        <v/>
      </c>
      <c r="U134" s="33" t="str">
        <f>IFERROR(MasterData!$F134,"")</f>
        <v/>
      </c>
      <c r="V134" s="33" t="str">
        <f>IFERROR(MasterData!$I134,"")</f>
        <v/>
      </c>
      <c r="W134" s="33" t="str">
        <f>IFERROR(MasterData!$H134,"")</f>
        <v/>
      </c>
    </row>
    <row r="135" ht="21.75" customHeight="1">
      <c r="A135" s="56"/>
      <c r="B135" s="53"/>
      <c r="C135" s="53"/>
      <c r="D135" s="53"/>
      <c r="E135" s="58"/>
      <c r="F135" s="58"/>
      <c r="G135" s="49"/>
      <c r="H135" s="49"/>
      <c r="I135" s="53"/>
      <c r="J135" s="58"/>
      <c r="K135" s="58"/>
      <c r="L135" s="53"/>
      <c r="M135" s="56"/>
      <c r="N135" s="56"/>
      <c r="O135" s="56"/>
      <c r="Q135" s="33" t="str">
        <f>IFERROR(MasterData!$B135,"")</f>
        <v/>
      </c>
      <c r="R135" s="33" t="str">
        <f>IFERROR(MasterData!$C135,"")</f>
        <v/>
      </c>
      <c r="S135" s="33" t="str">
        <f>IFERROR(MasterData!$D135,"")</f>
        <v/>
      </c>
      <c r="T135" s="33" t="str">
        <f>IFERROR(MasterData!$E135,"")</f>
        <v/>
      </c>
      <c r="U135" s="33" t="str">
        <f>IFERROR(MasterData!$F135,"")</f>
        <v/>
      </c>
      <c r="V135" s="33" t="str">
        <f>IFERROR(MasterData!$I135,"")</f>
        <v/>
      </c>
      <c r="W135" s="33" t="str">
        <f>IFERROR(MasterData!$H135,"")</f>
        <v/>
      </c>
    </row>
    <row r="136" ht="21.75" customHeight="1">
      <c r="A136" s="55"/>
      <c r="B136" s="52"/>
      <c r="C136" s="52"/>
      <c r="D136" s="52"/>
      <c r="E136" s="57"/>
      <c r="F136" s="57"/>
      <c r="G136" s="51"/>
      <c r="H136" s="51"/>
      <c r="I136" s="52"/>
      <c r="J136" s="57"/>
      <c r="K136" s="57"/>
      <c r="L136" s="52"/>
      <c r="M136" s="55"/>
      <c r="N136" s="55"/>
      <c r="O136" s="55"/>
      <c r="Q136" s="33" t="str">
        <f>IFERROR(MasterData!$B136,"")</f>
        <v/>
      </c>
      <c r="R136" s="33" t="str">
        <f>IFERROR(MasterData!$C136,"")</f>
        <v/>
      </c>
      <c r="S136" s="33" t="str">
        <f>IFERROR(MasterData!$D136,"")</f>
        <v/>
      </c>
      <c r="T136" s="33" t="str">
        <f>IFERROR(MasterData!$E136,"")</f>
        <v/>
      </c>
      <c r="U136" s="33" t="str">
        <f>IFERROR(MasterData!$F136,"")</f>
        <v/>
      </c>
      <c r="V136" s="33" t="str">
        <f>IFERROR(MasterData!$I136,"")</f>
        <v/>
      </c>
      <c r="W136" s="33" t="str">
        <f>IFERROR(MasterData!$H136,"")</f>
        <v/>
      </c>
    </row>
    <row r="137" ht="21.75" customHeight="1">
      <c r="A137" s="56"/>
      <c r="B137" s="53"/>
      <c r="C137" s="53"/>
      <c r="D137" s="53"/>
      <c r="E137" s="58"/>
      <c r="F137" s="58"/>
      <c r="G137" s="49"/>
      <c r="H137" s="49"/>
      <c r="I137" s="53"/>
      <c r="J137" s="58"/>
      <c r="K137" s="58"/>
      <c r="L137" s="53"/>
      <c r="M137" s="56"/>
      <c r="N137" s="56"/>
      <c r="O137" s="56"/>
      <c r="Q137" s="33" t="str">
        <f>IFERROR(MasterData!$B137,"")</f>
        <v/>
      </c>
      <c r="R137" s="33" t="str">
        <f>IFERROR(MasterData!$C137,"")</f>
        <v/>
      </c>
      <c r="S137" s="33" t="str">
        <f>IFERROR(MasterData!$D137,"")</f>
        <v/>
      </c>
      <c r="T137" s="33" t="str">
        <f>IFERROR(MasterData!$E137,"")</f>
        <v/>
      </c>
      <c r="U137" s="33" t="str">
        <f>IFERROR(MasterData!$F137,"")</f>
        <v/>
      </c>
      <c r="V137" s="33" t="str">
        <f>IFERROR(MasterData!$I137,"")</f>
        <v/>
      </c>
      <c r="W137" s="33" t="str">
        <f>IFERROR(MasterData!$H137,"")</f>
        <v/>
      </c>
    </row>
    <row r="138" ht="21.75" customHeight="1">
      <c r="A138" s="55"/>
      <c r="B138" s="52"/>
      <c r="C138" s="52"/>
      <c r="D138" s="52"/>
      <c r="E138" s="57"/>
      <c r="F138" s="57"/>
      <c r="G138" s="51"/>
      <c r="H138" s="51"/>
      <c r="I138" s="52"/>
      <c r="J138" s="57"/>
      <c r="K138" s="57"/>
      <c r="L138" s="52"/>
      <c r="M138" s="55"/>
      <c r="N138" s="55"/>
      <c r="O138" s="55"/>
      <c r="Q138" s="33" t="str">
        <f>IFERROR(MasterData!$B138,"")</f>
        <v/>
      </c>
      <c r="R138" s="33" t="str">
        <f>IFERROR(MasterData!$C138,"")</f>
        <v/>
      </c>
      <c r="S138" s="33" t="str">
        <f>IFERROR(MasterData!$D138,"")</f>
        <v/>
      </c>
      <c r="T138" s="33" t="str">
        <f>IFERROR(MasterData!$E138,"")</f>
        <v/>
      </c>
      <c r="U138" s="33" t="str">
        <f>IFERROR(MasterData!$F138,"")</f>
        <v/>
      </c>
      <c r="V138" s="33" t="str">
        <f>IFERROR(MasterData!$I138,"")</f>
        <v/>
      </c>
      <c r="W138" s="33" t="str">
        <f>IFERROR(MasterData!$H138,"")</f>
        <v/>
      </c>
    </row>
    <row r="139" ht="21.75" customHeight="1">
      <c r="A139" s="56"/>
      <c r="B139" s="53"/>
      <c r="C139" s="53"/>
      <c r="D139" s="53"/>
      <c r="E139" s="58"/>
      <c r="F139" s="58"/>
      <c r="G139" s="49"/>
      <c r="H139" s="49"/>
      <c r="I139" s="53"/>
      <c r="J139" s="58"/>
      <c r="K139" s="58"/>
      <c r="L139" s="53"/>
      <c r="M139" s="56"/>
      <c r="N139" s="56"/>
      <c r="O139" s="56"/>
      <c r="Q139" s="33" t="str">
        <f>IFERROR(MasterData!$B139,"")</f>
        <v/>
      </c>
      <c r="R139" s="33" t="str">
        <f>IFERROR(MasterData!$C139,"")</f>
        <v/>
      </c>
      <c r="S139" s="33" t="str">
        <f>IFERROR(MasterData!$D139,"")</f>
        <v/>
      </c>
      <c r="T139" s="33" t="str">
        <f>IFERROR(MasterData!$E139,"")</f>
        <v/>
      </c>
      <c r="U139" s="33" t="str">
        <f>IFERROR(MasterData!$F139,"")</f>
        <v/>
      </c>
      <c r="V139" s="33" t="str">
        <f>IFERROR(MasterData!$I139,"")</f>
        <v/>
      </c>
      <c r="W139" s="33" t="str">
        <f>IFERROR(MasterData!$H139,"")</f>
        <v/>
      </c>
    </row>
    <row r="140" ht="21.75" customHeight="1">
      <c r="A140" s="55"/>
      <c r="B140" s="52"/>
      <c r="C140" s="52"/>
      <c r="D140" s="52"/>
      <c r="E140" s="57"/>
      <c r="F140" s="57"/>
      <c r="G140" s="51"/>
      <c r="H140" s="51"/>
      <c r="I140" s="52"/>
      <c r="J140" s="57"/>
      <c r="K140" s="57"/>
      <c r="L140" s="52"/>
      <c r="M140" s="55"/>
      <c r="N140" s="55"/>
      <c r="O140" s="55"/>
      <c r="Q140" s="33" t="str">
        <f>IFERROR(MasterData!$B140,"")</f>
        <v/>
      </c>
      <c r="R140" s="33" t="str">
        <f>IFERROR(MasterData!$C140,"")</f>
        <v/>
      </c>
      <c r="S140" s="33" t="str">
        <f>IFERROR(MasterData!$D140,"")</f>
        <v/>
      </c>
      <c r="T140" s="33" t="str">
        <f>IFERROR(MasterData!$E140,"")</f>
        <v/>
      </c>
      <c r="U140" s="33" t="str">
        <f>IFERROR(MasterData!$F140,"")</f>
        <v/>
      </c>
      <c r="V140" s="33" t="str">
        <f>IFERROR(MasterData!$I140,"")</f>
        <v/>
      </c>
      <c r="W140" s="33" t="str">
        <f>IFERROR(MasterData!$H140,"")</f>
        <v/>
      </c>
    </row>
    <row r="141" ht="21.75" customHeight="1">
      <c r="A141" s="56"/>
      <c r="B141" s="53"/>
      <c r="C141" s="53"/>
      <c r="D141" s="53"/>
      <c r="E141" s="58"/>
      <c r="F141" s="58"/>
      <c r="G141" s="49"/>
      <c r="H141" s="49"/>
      <c r="I141" s="53"/>
      <c r="J141" s="58"/>
      <c r="K141" s="58"/>
      <c r="L141" s="53"/>
      <c r="M141" s="56"/>
      <c r="N141" s="56"/>
      <c r="O141" s="56"/>
      <c r="Q141" s="33" t="str">
        <f>IFERROR(MasterData!$B141,"")</f>
        <v/>
      </c>
      <c r="R141" s="33" t="str">
        <f>IFERROR(MasterData!$C141,"")</f>
        <v/>
      </c>
      <c r="S141" s="33" t="str">
        <f>IFERROR(MasterData!$D141,"")</f>
        <v/>
      </c>
      <c r="T141" s="33" t="str">
        <f>IFERROR(MasterData!$E141,"")</f>
        <v/>
      </c>
      <c r="U141" s="33" t="str">
        <f>IFERROR(MasterData!$F141,"")</f>
        <v/>
      </c>
      <c r="V141" s="33" t="str">
        <f>IFERROR(MasterData!$I141,"")</f>
        <v/>
      </c>
      <c r="W141" s="33" t="str">
        <f>IFERROR(MasterData!$H141,"")</f>
        <v/>
      </c>
    </row>
    <row r="142" ht="21.75" customHeight="1">
      <c r="A142" s="55"/>
      <c r="B142" s="52"/>
      <c r="C142" s="52"/>
      <c r="D142" s="52"/>
      <c r="E142" s="57"/>
      <c r="F142" s="57"/>
      <c r="G142" s="51"/>
      <c r="H142" s="51"/>
      <c r="I142" s="52"/>
      <c r="J142" s="57"/>
      <c r="K142" s="57"/>
      <c r="L142" s="52"/>
      <c r="M142" s="55"/>
      <c r="N142" s="55"/>
      <c r="O142" s="55"/>
      <c r="Q142" s="33" t="str">
        <f>IFERROR(MasterData!$B142,"")</f>
        <v/>
      </c>
      <c r="R142" s="33" t="str">
        <f>IFERROR(MasterData!$C142,"")</f>
        <v/>
      </c>
      <c r="S142" s="33" t="str">
        <f>IFERROR(MasterData!$D142,"")</f>
        <v/>
      </c>
      <c r="T142" s="33" t="str">
        <f>IFERROR(MasterData!$E142,"")</f>
        <v/>
      </c>
      <c r="U142" s="33" t="str">
        <f>IFERROR(MasterData!$F142,"")</f>
        <v/>
      </c>
      <c r="V142" s="33" t="str">
        <f>IFERROR(MasterData!$I142,"")</f>
        <v/>
      </c>
      <c r="W142" s="33" t="str">
        <f>IFERROR(MasterData!$H142,"")</f>
        <v/>
      </c>
    </row>
    <row r="143" ht="21.75" customHeight="1">
      <c r="A143" s="56"/>
      <c r="B143" s="53"/>
      <c r="C143" s="53"/>
      <c r="D143" s="53"/>
      <c r="E143" s="58"/>
      <c r="F143" s="58"/>
      <c r="G143" s="49"/>
      <c r="H143" s="49"/>
      <c r="I143" s="53"/>
      <c r="J143" s="58"/>
      <c r="K143" s="58"/>
      <c r="L143" s="53"/>
      <c r="M143" s="56"/>
      <c r="N143" s="56"/>
      <c r="O143" s="56"/>
      <c r="Q143" s="33" t="str">
        <f>IFERROR(MasterData!$B143,"")</f>
        <v/>
      </c>
      <c r="R143" s="33" t="str">
        <f>IFERROR(MasterData!$C143,"")</f>
        <v/>
      </c>
      <c r="S143" s="33" t="str">
        <f>IFERROR(MasterData!$D143,"")</f>
        <v/>
      </c>
      <c r="T143" s="33" t="str">
        <f>IFERROR(MasterData!$E143,"")</f>
        <v/>
      </c>
      <c r="U143" s="33" t="str">
        <f>IFERROR(MasterData!$F143,"")</f>
        <v/>
      </c>
      <c r="V143" s="33" t="str">
        <f>IFERROR(MasterData!$I143,"")</f>
        <v/>
      </c>
      <c r="W143" s="33" t="str">
        <f>IFERROR(MasterData!$H143,"")</f>
        <v/>
      </c>
    </row>
    <row r="144" ht="21.75" customHeight="1">
      <c r="A144" s="55"/>
      <c r="B144" s="52"/>
      <c r="C144" s="52"/>
      <c r="D144" s="52"/>
      <c r="E144" s="57"/>
      <c r="F144" s="57"/>
      <c r="G144" s="51"/>
      <c r="H144" s="51"/>
      <c r="I144" s="52"/>
      <c r="J144" s="57"/>
      <c r="K144" s="57"/>
      <c r="L144" s="52"/>
      <c r="M144" s="55"/>
      <c r="N144" s="55"/>
      <c r="O144" s="55"/>
      <c r="Q144" s="33" t="str">
        <f>IFERROR(MasterData!$B144,"")</f>
        <v/>
      </c>
      <c r="R144" s="33" t="str">
        <f>IFERROR(MasterData!$C144,"")</f>
        <v/>
      </c>
      <c r="S144" s="33" t="str">
        <f>IFERROR(MasterData!$D144,"")</f>
        <v/>
      </c>
      <c r="T144" s="33" t="str">
        <f>IFERROR(MasterData!$E144,"")</f>
        <v/>
      </c>
      <c r="U144" s="33" t="str">
        <f>IFERROR(MasterData!$F144,"")</f>
        <v/>
      </c>
      <c r="V144" s="33" t="str">
        <f>IFERROR(MasterData!$I144,"")</f>
        <v/>
      </c>
      <c r="W144" s="33" t="str">
        <f>IFERROR(MasterData!$H144,"")</f>
        <v/>
      </c>
    </row>
    <row r="145" ht="21.75" customHeight="1">
      <c r="A145" s="56"/>
      <c r="B145" s="53"/>
      <c r="C145" s="53"/>
      <c r="D145" s="53"/>
      <c r="E145" s="58"/>
      <c r="F145" s="58"/>
      <c r="G145" s="49"/>
      <c r="H145" s="49"/>
      <c r="I145" s="53"/>
      <c r="J145" s="58"/>
      <c r="K145" s="58"/>
      <c r="L145" s="53"/>
      <c r="M145" s="56"/>
      <c r="N145" s="56"/>
      <c r="O145" s="56"/>
      <c r="Q145" s="33" t="str">
        <f>IFERROR(MasterData!$B145,"")</f>
        <v/>
      </c>
      <c r="R145" s="33" t="str">
        <f>IFERROR(MasterData!$C145,"")</f>
        <v/>
      </c>
      <c r="S145" s="33" t="str">
        <f>IFERROR(MasterData!$D145,"")</f>
        <v/>
      </c>
      <c r="T145" s="33" t="str">
        <f>IFERROR(MasterData!$E145,"")</f>
        <v/>
      </c>
      <c r="U145" s="33" t="str">
        <f>IFERROR(MasterData!$F145,"")</f>
        <v/>
      </c>
      <c r="V145" s="33" t="str">
        <f>IFERROR(MasterData!$I145,"")</f>
        <v/>
      </c>
      <c r="W145" s="33" t="str">
        <f>IFERROR(MasterData!$H145,"")</f>
        <v/>
      </c>
    </row>
    <row r="146" ht="21.75" customHeight="1">
      <c r="A146" s="55"/>
      <c r="B146" s="52"/>
      <c r="C146" s="52"/>
      <c r="D146" s="52"/>
      <c r="E146" s="57"/>
      <c r="F146" s="57"/>
      <c r="G146" s="51"/>
      <c r="H146" s="51"/>
      <c r="I146" s="52"/>
      <c r="J146" s="57"/>
      <c r="K146" s="57"/>
      <c r="L146" s="52"/>
      <c r="M146" s="55"/>
      <c r="N146" s="55"/>
      <c r="O146" s="55"/>
      <c r="Q146" s="33" t="str">
        <f>IFERROR(MasterData!$B146,"")</f>
        <v/>
      </c>
      <c r="R146" s="33" t="str">
        <f>IFERROR(MasterData!$C146,"")</f>
        <v/>
      </c>
      <c r="S146" s="33" t="str">
        <f>IFERROR(MasterData!$D146,"")</f>
        <v/>
      </c>
      <c r="T146" s="33" t="str">
        <f>IFERROR(MasterData!$E146,"")</f>
        <v/>
      </c>
      <c r="U146" s="33" t="str">
        <f>IFERROR(MasterData!$F146,"")</f>
        <v/>
      </c>
      <c r="V146" s="33" t="str">
        <f>IFERROR(MasterData!$I146,"")</f>
        <v/>
      </c>
      <c r="W146" s="33" t="str">
        <f>IFERROR(MasterData!$H146,"")</f>
        <v/>
      </c>
    </row>
    <row r="147" ht="21.75" customHeight="1">
      <c r="A147" s="56"/>
      <c r="B147" s="53"/>
      <c r="C147" s="53"/>
      <c r="D147" s="53"/>
      <c r="E147" s="58"/>
      <c r="F147" s="58"/>
      <c r="G147" s="49"/>
      <c r="H147" s="49"/>
      <c r="I147" s="53"/>
      <c r="J147" s="58"/>
      <c r="K147" s="58"/>
      <c r="L147" s="53"/>
      <c r="M147" s="56"/>
      <c r="N147" s="56"/>
      <c r="O147" s="56"/>
      <c r="Q147" s="33" t="str">
        <f>IFERROR(MasterData!$B147,"")</f>
        <v/>
      </c>
      <c r="R147" s="33" t="str">
        <f>IFERROR(MasterData!$C147,"")</f>
        <v/>
      </c>
      <c r="S147" s="33" t="str">
        <f>IFERROR(MasterData!$D147,"")</f>
        <v/>
      </c>
      <c r="T147" s="33" t="str">
        <f>IFERROR(MasterData!$E147,"")</f>
        <v/>
      </c>
      <c r="U147" s="33" t="str">
        <f>IFERROR(MasterData!$F147,"")</f>
        <v/>
      </c>
      <c r="V147" s="33" t="str">
        <f>IFERROR(MasterData!$I147,"")</f>
        <v/>
      </c>
      <c r="W147" s="33" t="str">
        <f>IFERROR(MasterData!$H147,"")</f>
        <v/>
      </c>
    </row>
    <row r="148" ht="21.75" customHeight="1">
      <c r="A148" s="55"/>
      <c r="B148" s="52"/>
      <c r="C148" s="52"/>
      <c r="D148" s="52"/>
      <c r="E148" s="57"/>
      <c r="F148" s="57"/>
      <c r="G148" s="51"/>
      <c r="H148" s="51"/>
      <c r="I148" s="52"/>
      <c r="J148" s="57"/>
      <c r="K148" s="57"/>
      <c r="L148" s="52"/>
      <c r="M148" s="55"/>
      <c r="N148" s="55"/>
      <c r="O148" s="55"/>
      <c r="Q148" s="33" t="str">
        <f>IFERROR(MasterData!$B148,"")</f>
        <v/>
      </c>
      <c r="R148" s="33" t="str">
        <f>IFERROR(MasterData!$C148,"")</f>
        <v/>
      </c>
      <c r="S148" s="33" t="str">
        <f>IFERROR(MasterData!$D148,"")</f>
        <v/>
      </c>
      <c r="T148" s="33" t="str">
        <f>IFERROR(MasterData!$E148,"")</f>
        <v/>
      </c>
      <c r="U148" s="33" t="str">
        <f>IFERROR(MasterData!$F148,"")</f>
        <v/>
      </c>
      <c r="V148" s="33" t="str">
        <f>IFERROR(MasterData!$I148,"")</f>
        <v/>
      </c>
      <c r="W148" s="33" t="str">
        <f>IFERROR(MasterData!$H148,"")</f>
        <v/>
      </c>
    </row>
    <row r="149" ht="21.75" customHeight="1">
      <c r="A149" s="56"/>
      <c r="B149" s="53"/>
      <c r="C149" s="53"/>
      <c r="D149" s="53"/>
      <c r="E149" s="58"/>
      <c r="F149" s="58"/>
      <c r="G149" s="49"/>
      <c r="H149" s="49"/>
      <c r="I149" s="53"/>
      <c r="J149" s="58"/>
      <c r="K149" s="58"/>
      <c r="L149" s="53"/>
      <c r="M149" s="56"/>
      <c r="N149" s="56"/>
      <c r="O149" s="56"/>
      <c r="Q149" s="33" t="str">
        <f>IFERROR(MasterData!$B149,"")</f>
        <v/>
      </c>
      <c r="R149" s="33" t="str">
        <f>IFERROR(MasterData!$C149,"")</f>
        <v/>
      </c>
      <c r="S149" s="33" t="str">
        <f>IFERROR(MasterData!$D149,"")</f>
        <v/>
      </c>
      <c r="T149" s="33" t="str">
        <f>IFERROR(MasterData!$E149,"")</f>
        <v/>
      </c>
      <c r="U149" s="33" t="str">
        <f>IFERROR(MasterData!$F149,"")</f>
        <v/>
      </c>
      <c r="V149" s="33" t="str">
        <f>IFERROR(MasterData!$I149,"")</f>
        <v/>
      </c>
      <c r="W149" s="33" t="str">
        <f>IFERROR(MasterData!$H149,"")</f>
        <v/>
      </c>
    </row>
    <row r="150" ht="21.75" customHeight="1">
      <c r="A150" s="55"/>
      <c r="B150" s="52"/>
      <c r="C150" s="52"/>
      <c r="D150" s="52"/>
      <c r="E150" s="57"/>
      <c r="F150" s="57"/>
      <c r="G150" s="51"/>
      <c r="H150" s="51"/>
      <c r="I150" s="52"/>
      <c r="J150" s="57"/>
      <c r="K150" s="57"/>
      <c r="L150" s="52"/>
      <c r="M150" s="55"/>
      <c r="N150" s="55"/>
      <c r="O150" s="55"/>
      <c r="Q150" s="33" t="str">
        <f>IFERROR(MasterData!$B150,"")</f>
        <v/>
      </c>
      <c r="R150" s="33" t="str">
        <f>IFERROR(MasterData!$C150,"")</f>
        <v/>
      </c>
      <c r="S150" s="33" t="str">
        <f>IFERROR(MasterData!$D150,"")</f>
        <v/>
      </c>
      <c r="T150" s="33" t="str">
        <f>IFERROR(MasterData!$E150,"")</f>
        <v/>
      </c>
      <c r="U150" s="33" t="str">
        <f>IFERROR(MasterData!$F150,"")</f>
        <v/>
      </c>
      <c r="V150" s="33" t="str">
        <f>IFERROR(MasterData!$I150,"")</f>
        <v/>
      </c>
      <c r="W150" s="33" t="str">
        <f>IFERROR(MasterData!$H150,"")</f>
        <v/>
      </c>
    </row>
    <row r="151" ht="21.75" customHeight="1">
      <c r="A151" s="56"/>
      <c r="B151" s="53"/>
      <c r="C151" s="53"/>
      <c r="D151" s="53"/>
      <c r="E151" s="58"/>
      <c r="F151" s="58"/>
      <c r="G151" s="49"/>
      <c r="H151" s="49"/>
      <c r="I151" s="53"/>
      <c r="J151" s="58"/>
      <c r="K151" s="58"/>
      <c r="L151" s="53"/>
      <c r="M151" s="56"/>
      <c r="N151" s="56"/>
      <c r="O151" s="56"/>
      <c r="Q151" s="33" t="str">
        <f>IFERROR(MasterData!$B151,"")</f>
        <v/>
      </c>
      <c r="R151" s="33" t="str">
        <f>IFERROR(MasterData!$C151,"")</f>
        <v/>
      </c>
      <c r="S151" s="33" t="str">
        <f>IFERROR(MasterData!$D151,"")</f>
        <v/>
      </c>
      <c r="T151" s="33" t="str">
        <f>IFERROR(MasterData!$E151,"")</f>
        <v/>
      </c>
      <c r="U151" s="33" t="str">
        <f>IFERROR(MasterData!$F151,"")</f>
        <v/>
      </c>
      <c r="V151" s="33" t="str">
        <f>IFERROR(MasterData!$I151,"")</f>
        <v/>
      </c>
      <c r="W151" s="33" t="str">
        <f>IFERROR(MasterData!$H151,"")</f>
        <v/>
      </c>
    </row>
    <row r="152" ht="21.75" customHeight="1">
      <c r="A152" s="55"/>
      <c r="B152" s="52"/>
      <c r="C152" s="52"/>
      <c r="D152" s="52"/>
      <c r="E152" s="57"/>
      <c r="F152" s="57"/>
      <c r="G152" s="51"/>
      <c r="H152" s="51"/>
      <c r="I152" s="52"/>
      <c r="J152" s="57"/>
      <c r="K152" s="57"/>
      <c r="L152" s="52"/>
      <c r="M152" s="55"/>
      <c r="N152" s="55"/>
      <c r="O152" s="55"/>
      <c r="Q152" s="33" t="str">
        <f>IFERROR(MasterData!$B152,"")</f>
        <v/>
      </c>
      <c r="R152" s="33" t="str">
        <f>IFERROR(MasterData!$C152,"")</f>
        <v/>
      </c>
      <c r="S152" s="33" t="str">
        <f>IFERROR(MasterData!$D152,"")</f>
        <v/>
      </c>
      <c r="T152" s="33" t="str">
        <f>IFERROR(MasterData!$E152,"")</f>
        <v/>
      </c>
      <c r="U152" s="33" t="str">
        <f>IFERROR(MasterData!$F152,"")</f>
        <v/>
      </c>
      <c r="V152" s="33" t="str">
        <f>IFERROR(MasterData!$I152,"")</f>
        <v/>
      </c>
      <c r="W152" s="33" t="str">
        <f>IFERROR(MasterData!$H152,"")</f>
        <v/>
      </c>
    </row>
    <row r="153" ht="21.75" customHeight="1">
      <c r="A153" s="56"/>
      <c r="B153" s="53"/>
      <c r="C153" s="53"/>
      <c r="D153" s="53"/>
      <c r="E153" s="58"/>
      <c r="F153" s="58"/>
      <c r="G153" s="49"/>
      <c r="H153" s="49"/>
      <c r="I153" s="53"/>
      <c r="J153" s="58"/>
      <c r="K153" s="58"/>
      <c r="L153" s="53"/>
      <c r="M153" s="56"/>
      <c r="N153" s="56"/>
      <c r="O153" s="56"/>
      <c r="Q153" s="33" t="str">
        <f>IFERROR(MasterData!$B153,"")</f>
        <v/>
      </c>
      <c r="R153" s="33" t="str">
        <f>IFERROR(MasterData!$C153,"")</f>
        <v/>
      </c>
      <c r="S153" s="33" t="str">
        <f>IFERROR(MasterData!$D153,"")</f>
        <v/>
      </c>
      <c r="T153" s="33" t="str">
        <f>IFERROR(MasterData!$E153,"")</f>
        <v/>
      </c>
      <c r="U153" s="33" t="str">
        <f>IFERROR(MasterData!$F153,"")</f>
        <v/>
      </c>
      <c r="V153" s="33" t="str">
        <f>IFERROR(MasterData!$I153,"")</f>
        <v/>
      </c>
      <c r="W153" s="33" t="str">
        <f>IFERROR(MasterData!$H153,"")</f>
        <v/>
      </c>
    </row>
    <row r="154" ht="21.75" customHeight="1">
      <c r="A154" s="55"/>
      <c r="B154" s="52"/>
      <c r="C154" s="52"/>
      <c r="D154" s="52"/>
      <c r="E154" s="57"/>
      <c r="F154" s="57"/>
      <c r="G154" s="51"/>
      <c r="H154" s="51"/>
      <c r="I154" s="52"/>
      <c r="J154" s="57"/>
      <c r="K154" s="57"/>
      <c r="L154" s="52"/>
      <c r="M154" s="55"/>
      <c r="N154" s="55"/>
      <c r="O154" s="55"/>
      <c r="Q154" s="33" t="str">
        <f>IFERROR(MasterData!$B154,"")</f>
        <v/>
      </c>
      <c r="R154" s="33" t="str">
        <f>IFERROR(MasterData!$C154,"")</f>
        <v/>
      </c>
      <c r="S154" s="33" t="str">
        <f>IFERROR(MasterData!$D154,"")</f>
        <v/>
      </c>
      <c r="T154" s="33" t="str">
        <f>IFERROR(MasterData!$E154,"")</f>
        <v/>
      </c>
      <c r="U154" s="33" t="str">
        <f>IFERROR(MasterData!$F154,"")</f>
        <v/>
      </c>
      <c r="V154" s="33" t="str">
        <f>IFERROR(MasterData!$I154,"")</f>
        <v/>
      </c>
      <c r="W154" s="33" t="str">
        <f>IFERROR(MasterData!$H154,"")</f>
        <v/>
      </c>
    </row>
    <row r="155" ht="21.75" customHeight="1">
      <c r="A155" s="56"/>
      <c r="B155" s="53"/>
      <c r="C155" s="53"/>
      <c r="D155" s="53"/>
      <c r="E155" s="58"/>
      <c r="F155" s="58"/>
      <c r="G155" s="49"/>
      <c r="H155" s="49"/>
      <c r="I155" s="53"/>
      <c r="J155" s="58"/>
      <c r="K155" s="58"/>
      <c r="L155" s="53"/>
      <c r="M155" s="56"/>
      <c r="N155" s="56"/>
      <c r="O155" s="56"/>
      <c r="Q155" s="33" t="str">
        <f>IFERROR(MasterData!$B155,"")</f>
        <v/>
      </c>
      <c r="R155" s="33" t="str">
        <f>IFERROR(MasterData!$C155,"")</f>
        <v/>
      </c>
      <c r="S155" s="33" t="str">
        <f>IFERROR(MasterData!$D155,"")</f>
        <v/>
      </c>
      <c r="T155" s="33" t="str">
        <f>IFERROR(MasterData!$E155,"")</f>
        <v/>
      </c>
      <c r="U155" s="33" t="str">
        <f>IFERROR(MasterData!$F155,"")</f>
        <v/>
      </c>
      <c r="V155" s="33" t="str">
        <f>IFERROR(MasterData!$I155,"")</f>
        <v/>
      </c>
      <c r="W155" s="33" t="str">
        <f>IFERROR(MasterData!$H155,"")</f>
        <v/>
      </c>
    </row>
    <row r="156" ht="21.75" customHeight="1">
      <c r="A156" s="55"/>
      <c r="B156" s="52"/>
      <c r="C156" s="52"/>
      <c r="D156" s="52"/>
      <c r="E156" s="57"/>
      <c r="F156" s="57"/>
      <c r="G156" s="51"/>
      <c r="H156" s="51"/>
      <c r="I156" s="52"/>
      <c r="J156" s="57"/>
      <c r="K156" s="57"/>
      <c r="L156" s="52"/>
      <c r="M156" s="55"/>
      <c r="N156" s="55"/>
      <c r="O156" s="55"/>
      <c r="Q156" s="33" t="str">
        <f>IFERROR(MasterData!$B156,"")</f>
        <v/>
      </c>
      <c r="R156" s="33" t="str">
        <f>IFERROR(MasterData!$C156,"")</f>
        <v/>
      </c>
      <c r="S156" s="33" t="str">
        <f>IFERROR(MasterData!$D156,"")</f>
        <v/>
      </c>
      <c r="T156" s="33" t="str">
        <f>IFERROR(MasterData!$E156,"")</f>
        <v/>
      </c>
      <c r="U156" s="33" t="str">
        <f>IFERROR(MasterData!$F156,"")</f>
        <v/>
      </c>
      <c r="V156" s="33" t="str">
        <f>IFERROR(MasterData!$I156,"")</f>
        <v/>
      </c>
      <c r="W156" s="33" t="str">
        <f>IFERROR(MasterData!$H156,"")</f>
        <v/>
      </c>
    </row>
    <row r="157" ht="21.75" customHeight="1">
      <c r="A157" s="56"/>
      <c r="B157" s="53"/>
      <c r="C157" s="53"/>
      <c r="D157" s="53"/>
      <c r="E157" s="58"/>
      <c r="F157" s="58"/>
      <c r="G157" s="49"/>
      <c r="H157" s="49"/>
      <c r="I157" s="53"/>
      <c r="J157" s="58"/>
      <c r="K157" s="58"/>
      <c r="L157" s="53"/>
      <c r="M157" s="56"/>
      <c r="N157" s="56"/>
      <c r="O157" s="56"/>
      <c r="Q157" s="33" t="str">
        <f>IFERROR(MasterData!$B157,"")</f>
        <v/>
      </c>
      <c r="R157" s="33" t="str">
        <f>IFERROR(MasterData!$C157,"")</f>
        <v/>
      </c>
      <c r="S157" s="33" t="str">
        <f>IFERROR(MasterData!$D157,"")</f>
        <v/>
      </c>
      <c r="T157" s="33" t="str">
        <f>IFERROR(MasterData!$E157,"")</f>
        <v/>
      </c>
      <c r="U157" s="33" t="str">
        <f>IFERROR(MasterData!$F157,"")</f>
        <v/>
      </c>
      <c r="V157" s="33" t="str">
        <f>IFERROR(MasterData!$I157,"")</f>
        <v/>
      </c>
      <c r="W157" s="33" t="str">
        <f>IFERROR(MasterData!$H157,"")</f>
        <v/>
      </c>
    </row>
    <row r="158" ht="21.75" customHeight="1">
      <c r="A158" s="55"/>
      <c r="B158" s="52"/>
      <c r="C158" s="52"/>
      <c r="D158" s="52"/>
      <c r="E158" s="57"/>
      <c r="F158" s="57"/>
      <c r="G158" s="51"/>
      <c r="H158" s="51"/>
      <c r="I158" s="52"/>
      <c r="J158" s="57"/>
      <c r="K158" s="57"/>
      <c r="L158" s="52"/>
      <c r="M158" s="55"/>
      <c r="N158" s="55"/>
      <c r="O158" s="55"/>
      <c r="Q158" s="33" t="str">
        <f>IFERROR(MasterData!$B158,"")</f>
        <v/>
      </c>
      <c r="R158" s="33" t="str">
        <f>IFERROR(MasterData!$C158,"")</f>
        <v/>
      </c>
      <c r="S158" s="33" t="str">
        <f>IFERROR(MasterData!$D158,"")</f>
        <v/>
      </c>
      <c r="T158" s="33" t="str">
        <f>IFERROR(MasterData!$E158,"")</f>
        <v/>
      </c>
      <c r="U158" s="33" t="str">
        <f>IFERROR(MasterData!$F158,"")</f>
        <v/>
      </c>
      <c r="V158" s="33" t="str">
        <f>IFERROR(MasterData!$I158,"")</f>
        <v/>
      </c>
      <c r="W158" s="33" t="str">
        <f>IFERROR(MasterData!$H158,"")</f>
        <v/>
      </c>
    </row>
    <row r="159" ht="21.75" customHeight="1">
      <c r="A159" s="56"/>
      <c r="B159" s="53"/>
      <c r="C159" s="53"/>
      <c r="D159" s="53"/>
      <c r="E159" s="58"/>
      <c r="F159" s="58"/>
      <c r="G159" s="49"/>
      <c r="H159" s="49"/>
      <c r="I159" s="53"/>
      <c r="J159" s="58"/>
      <c r="K159" s="58"/>
      <c r="L159" s="53"/>
      <c r="M159" s="56"/>
      <c r="N159" s="56"/>
      <c r="O159" s="56"/>
      <c r="Q159" s="33" t="str">
        <f>IFERROR(MasterData!$B159,"")</f>
        <v/>
      </c>
      <c r="R159" s="33" t="str">
        <f>IFERROR(MasterData!$C159,"")</f>
        <v/>
      </c>
      <c r="S159" s="33" t="str">
        <f>IFERROR(MasterData!$D159,"")</f>
        <v/>
      </c>
      <c r="T159" s="33" t="str">
        <f>IFERROR(MasterData!$E159,"")</f>
        <v/>
      </c>
      <c r="U159" s="33" t="str">
        <f>IFERROR(MasterData!$F159,"")</f>
        <v/>
      </c>
      <c r="V159" s="33" t="str">
        <f>IFERROR(MasterData!$I159,"")</f>
        <v/>
      </c>
      <c r="W159" s="33" t="str">
        <f>IFERROR(MasterData!$H159,"")</f>
        <v/>
      </c>
    </row>
    <row r="160" ht="21.75" customHeight="1">
      <c r="A160" s="55"/>
      <c r="B160" s="52"/>
      <c r="C160" s="52"/>
      <c r="D160" s="52"/>
      <c r="E160" s="57"/>
      <c r="F160" s="57"/>
      <c r="G160" s="51"/>
      <c r="H160" s="51"/>
      <c r="I160" s="52"/>
      <c r="J160" s="57"/>
      <c r="K160" s="57"/>
      <c r="L160" s="52"/>
      <c r="M160" s="55"/>
      <c r="N160" s="55"/>
      <c r="O160" s="55"/>
      <c r="Q160" s="33" t="str">
        <f>IFERROR(MasterData!$B160,"")</f>
        <v/>
      </c>
      <c r="R160" s="33" t="str">
        <f>IFERROR(MasterData!$C160,"")</f>
        <v/>
      </c>
      <c r="S160" s="33" t="str">
        <f>IFERROR(MasterData!$D160,"")</f>
        <v/>
      </c>
      <c r="T160" s="33" t="str">
        <f>IFERROR(MasterData!$E160,"")</f>
        <v/>
      </c>
      <c r="U160" s="33" t="str">
        <f>IFERROR(MasterData!$F160,"")</f>
        <v/>
      </c>
      <c r="V160" s="33" t="str">
        <f>IFERROR(MasterData!$I160,"")</f>
        <v/>
      </c>
      <c r="W160" s="33" t="str">
        <f>IFERROR(MasterData!$H160,"")</f>
        <v/>
      </c>
    </row>
    <row r="161" ht="21.75" customHeight="1">
      <c r="A161" s="56"/>
      <c r="B161" s="53"/>
      <c r="C161" s="53"/>
      <c r="D161" s="53"/>
      <c r="E161" s="58"/>
      <c r="F161" s="58"/>
      <c r="G161" s="49"/>
      <c r="H161" s="49"/>
      <c r="I161" s="53"/>
      <c r="J161" s="58"/>
      <c r="K161" s="58"/>
      <c r="L161" s="53"/>
      <c r="M161" s="56"/>
      <c r="N161" s="56"/>
      <c r="O161" s="56"/>
      <c r="Q161" s="33" t="str">
        <f>IFERROR(MasterData!$B161,"")</f>
        <v/>
      </c>
      <c r="R161" s="33" t="str">
        <f>IFERROR(MasterData!$C161,"")</f>
        <v/>
      </c>
      <c r="S161" s="33" t="str">
        <f>IFERROR(MasterData!$D161,"")</f>
        <v/>
      </c>
      <c r="T161" s="33" t="str">
        <f>IFERROR(MasterData!$E161,"")</f>
        <v/>
      </c>
      <c r="U161" s="33" t="str">
        <f>IFERROR(MasterData!$F161,"")</f>
        <v/>
      </c>
      <c r="V161" s="33" t="str">
        <f>IFERROR(MasterData!$I161,"")</f>
        <v/>
      </c>
      <c r="W161" s="33" t="str">
        <f>IFERROR(MasterData!$H161,"")</f>
        <v/>
      </c>
    </row>
    <row r="162" ht="21.75" customHeight="1">
      <c r="A162" s="55"/>
      <c r="B162" s="52"/>
      <c r="C162" s="52"/>
      <c r="D162" s="52"/>
      <c r="E162" s="57"/>
      <c r="F162" s="57"/>
      <c r="G162" s="51"/>
      <c r="H162" s="51"/>
      <c r="I162" s="52"/>
      <c r="J162" s="57"/>
      <c r="K162" s="57"/>
      <c r="L162" s="52"/>
      <c r="M162" s="55"/>
      <c r="N162" s="55"/>
      <c r="O162" s="55"/>
      <c r="Q162" s="33" t="str">
        <f>IFERROR(MasterData!$B162,"")</f>
        <v/>
      </c>
      <c r="R162" s="33" t="str">
        <f>IFERROR(MasterData!$C162,"")</f>
        <v/>
      </c>
      <c r="S162" s="33" t="str">
        <f>IFERROR(MasterData!$D162,"")</f>
        <v/>
      </c>
      <c r="T162" s="33" t="str">
        <f>IFERROR(MasterData!$E162,"")</f>
        <v/>
      </c>
      <c r="U162" s="33" t="str">
        <f>IFERROR(MasterData!$F162,"")</f>
        <v/>
      </c>
      <c r="V162" s="33" t="str">
        <f>IFERROR(MasterData!$I162,"")</f>
        <v/>
      </c>
      <c r="W162" s="33" t="str">
        <f>IFERROR(MasterData!$H162,"")</f>
        <v/>
      </c>
    </row>
    <row r="163" ht="21.75" customHeight="1">
      <c r="A163" s="56"/>
      <c r="B163" s="53"/>
      <c r="C163" s="53"/>
      <c r="D163" s="53"/>
      <c r="E163" s="58"/>
      <c r="F163" s="58"/>
      <c r="G163" s="49"/>
      <c r="H163" s="49"/>
      <c r="I163" s="53"/>
      <c r="J163" s="58"/>
      <c r="K163" s="58"/>
      <c r="L163" s="53"/>
      <c r="M163" s="56"/>
      <c r="N163" s="56"/>
      <c r="O163" s="56"/>
      <c r="Q163" s="33" t="str">
        <f>IFERROR(MasterData!$B163,"")</f>
        <v/>
      </c>
      <c r="R163" s="33" t="str">
        <f>IFERROR(MasterData!$C163,"")</f>
        <v/>
      </c>
      <c r="S163" s="33" t="str">
        <f>IFERROR(MasterData!$D163,"")</f>
        <v/>
      </c>
      <c r="T163" s="33" t="str">
        <f>IFERROR(MasterData!$E163,"")</f>
        <v/>
      </c>
      <c r="U163" s="33" t="str">
        <f>IFERROR(MasterData!$F163,"")</f>
        <v/>
      </c>
      <c r="V163" s="33" t="str">
        <f>IFERROR(MasterData!$I163,"")</f>
        <v/>
      </c>
      <c r="W163" s="33" t="str">
        <f>IFERROR(MasterData!$H163,"")</f>
        <v/>
      </c>
    </row>
    <row r="164" ht="21.75" customHeight="1">
      <c r="A164" s="55"/>
      <c r="B164" s="52"/>
      <c r="C164" s="52"/>
      <c r="D164" s="52"/>
      <c r="E164" s="57"/>
      <c r="F164" s="57"/>
      <c r="G164" s="51"/>
      <c r="H164" s="51"/>
      <c r="I164" s="52"/>
      <c r="J164" s="57"/>
      <c r="K164" s="57"/>
      <c r="L164" s="52"/>
      <c r="M164" s="55"/>
      <c r="N164" s="55"/>
      <c r="O164" s="55"/>
      <c r="Q164" s="33" t="str">
        <f>IFERROR(MasterData!$B164,"")</f>
        <v/>
      </c>
      <c r="R164" s="33" t="str">
        <f>IFERROR(MasterData!$C164,"")</f>
        <v/>
      </c>
      <c r="S164" s="33" t="str">
        <f>IFERROR(MasterData!$D164,"")</f>
        <v/>
      </c>
      <c r="T164" s="33" t="str">
        <f>IFERROR(MasterData!$E164,"")</f>
        <v/>
      </c>
      <c r="U164" s="33" t="str">
        <f>IFERROR(MasterData!$F164,"")</f>
        <v/>
      </c>
      <c r="V164" s="33" t="str">
        <f>IFERROR(MasterData!$I164,"")</f>
        <v/>
      </c>
      <c r="W164" s="33" t="str">
        <f>IFERROR(MasterData!$H164,"")</f>
        <v/>
      </c>
    </row>
    <row r="165" ht="21.75" customHeight="1">
      <c r="A165" s="56"/>
      <c r="B165" s="53"/>
      <c r="C165" s="53"/>
      <c r="D165" s="53"/>
      <c r="E165" s="58"/>
      <c r="F165" s="58"/>
      <c r="G165" s="49"/>
      <c r="H165" s="49"/>
      <c r="I165" s="53"/>
      <c r="J165" s="58"/>
      <c r="K165" s="58"/>
      <c r="L165" s="53"/>
      <c r="M165" s="56"/>
      <c r="N165" s="56"/>
      <c r="O165" s="56"/>
      <c r="Q165" s="33" t="str">
        <f>IFERROR(MasterData!$B165,"")</f>
        <v/>
      </c>
      <c r="R165" s="33" t="str">
        <f>IFERROR(MasterData!$C165,"")</f>
        <v/>
      </c>
      <c r="S165" s="33" t="str">
        <f>IFERROR(MasterData!$D165,"")</f>
        <v/>
      </c>
      <c r="T165" s="33" t="str">
        <f>IFERROR(MasterData!$E165,"")</f>
        <v/>
      </c>
      <c r="U165" s="33" t="str">
        <f>IFERROR(MasterData!$F165,"")</f>
        <v/>
      </c>
      <c r="V165" s="33" t="str">
        <f>IFERROR(MasterData!$I165,"")</f>
        <v/>
      </c>
      <c r="W165" s="33" t="str">
        <f>IFERROR(MasterData!$H165,"")</f>
        <v/>
      </c>
    </row>
    <row r="166" ht="21.75" customHeight="1">
      <c r="A166" s="55"/>
      <c r="B166" s="52"/>
      <c r="C166" s="52"/>
      <c r="D166" s="52"/>
      <c r="E166" s="57"/>
      <c r="F166" s="57"/>
      <c r="G166" s="51"/>
      <c r="H166" s="51"/>
      <c r="I166" s="52"/>
      <c r="J166" s="57"/>
      <c r="K166" s="57"/>
      <c r="L166" s="52"/>
      <c r="M166" s="55"/>
      <c r="N166" s="55"/>
      <c r="O166" s="55"/>
      <c r="Q166" s="33" t="str">
        <f>IFERROR(MasterData!$B166,"")</f>
        <v/>
      </c>
      <c r="R166" s="33" t="str">
        <f>IFERROR(MasterData!$C166,"")</f>
        <v/>
      </c>
      <c r="S166" s="33" t="str">
        <f>IFERROR(MasterData!$D166,"")</f>
        <v/>
      </c>
      <c r="T166" s="33" t="str">
        <f>IFERROR(MasterData!$E166,"")</f>
        <v/>
      </c>
      <c r="U166" s="33" t="str">
        <f>IFERROR(MasterData!$F166,"")</f>
        <v/>
      </c>
      <c r="V166" s="33" t="str">
        <f>IFERROR(MasterData!$I166,"")</f>
        <v/>
      </c>
      <c r="W166" s="33" t="str">
        <f>IFERROR(MasterData!$H166,"")</f>
        <v/>
      </c>
    </row>
    <row r="167" ht="21.75" customHeight="1">
      <c r="A167" s="56"/>
      <c r="B167" s="53"/>
      <c r="C167" s="53"/>
      <c r="D167" s="53"/>
      <c r="E167" s="58"/>
      <c r="F167" s="58"/>
      <c r="G167" s="49"/>
      <c r="H167" s="49"/>
      <c r="I167" s="53"/>
      <c r="J167" s="58"/>
      <c r="K167" s="58"/>
      <c r="L167" s="53"/>
      <c r="M167" s="56"/>
      <c r="N167" s="56"/>
      <c r="O167" s="56"/>
      <c r="Q167" s="33" t="str">
        <f>IFERROR(MasterData!$B167,"")</f>
        <v/>
      </c>
      <c r="R167" s="33" t="str">
        <f>IFERROR(MasterData!$C167,"")</f>
        <v/>
      </c>
      <c r="S167" s="33" t="str">
        <f>IFERROR(MasterData!$D167,"")</f>
        <v/>
      </c>
      <c r="T167" s="33" t="str">
        <f>IFERROR(MasterData!$E167,"")</f>
        <v/>
      </c>
      <c r="U167" s="33" t="str">
        <f>IFERROR(MasterData!$F167,"")</f>
        <v/>
      </c>
      <c r="V167" s="33" t="str">
        <f>IFERROR(MasterData!$I167,"")</f>
        <v/>
      </c>
      <c r="W167" s="33" t="str">
        <f>IFERROR(MasterData!$H167,"")</f>
        <v/>
      </c>
    </row>
    <row r="168" ht="21.75" customHeight="1">
      <c r="A168" s="55"/>
      <c r="B168" s="52"/>
      <c r="C168" s="52"/>
      <c r="D168" s="52"/>
      <c r="E168" s="57"/>
      <c r="F168" s="57"/>
      <c r="G168" s="51"/>
      <c r="H168" s="51"/>
      <c r="I168" s="52"/>
      <c r="J168" s="57"/>
      <c r="K168" s="57"/>
      <c r="L168" s="52"/>
      <c r="M168" s="55"/>
      <c r="N168" s="55"/>
      <c r="O168" s="55"/>
      <c r="Q168" s="33" t="str">
        <f>IFERROR(MasterData!$B168,"")</f>
        <v/>
      </c>
      <c r="R168" s="33" t="str">
        <f>IFERROR(MasterData!$C168,"")</f>
        <v/>
      </c>
      <c r="S168" s="33" t="str">
        <f>IFERROR(MasterData!$D168,"")</f>
        <v/>
      </c>
      <c r="T168" s="33" t="str">
        <f>IFERROR(MasterData!$E168,"")</f>
        <v/>
      </c>
      <c r="U168" s="33" t="str">
        <f>IFERROR(MasterData!$F168,"")</f>
        <v/>
      </c>
      <c r="V168" s="33" t="str">
        <f>IFERROR(MasterData!$I168,"")</f>
        <v/>
      </c>
      <c r="W168" s="33" t="str">
        <f>IFERROR(MasterData!$H168,"")</f>
        <v/>
      </c>
    </row>
    <row r="169" ht="21.75" customHeight="1">
      <c r="A169" s="56"/>
      <c r="B169" s="53"/>
      <c r="C169" s="53"/>
      <c r="D169" s="53"/>
      <c r="E169" s="58"/>
      <c r="F169" s="58"/>
      <c r="G169" s="49"/>
      <c r="H169" s="49"/>
      <c r="I169" s="53"/>
      <c r="J169" s="58"/>
      <c r="K169" s="58"/>
      <c r="L169" s="53"/>
      <c r="M169" s="56"/>
      <c r="N169" s="56"/>
      <c r="O169" s="56"/>
      <c r="Q169" s="33" t="str">
        <f>IFERROR(MasterData!$B169,"")</f>
        <v/>
      </c>
      <c r="R169" s="33" t="str">
        <f>IFERROR(MasterData!$C169,"")</f>
        <v/>
      </c>
      <c r="S169" s="33" t="str">
        <f>IFERROR(MasterData!$D169,"")</f>
        <v/>
      </c>
      <c r="T169" s="33" t="str">
        <f>IFERROR(MasterData!$E169,"")</f>
        <v/>
      </c>
      <c r="U169" s="33" t="str">
        <f>IFERROR(MasterData!$F169,"")</f>
        <v/>
      </c>
      <c r="V169" s="33" t="str">
        <f>IFERROR(MasterData!$I169,"")</f>
        <v/>
      </c>
      <c r="W169" s="33" t="str">
        <f>IFERROR(MasterData!$H169,"")</f>
        <v/>
      </c>
    </row>
    <row r="170" ht="21.75" customHeight="1">
      <c r="A170" s="55"/>
      <c r="B170" s="52"/>
      <c r="C170" s="52"/>
      <c r="D170" s="52"/>
      <c r="E170" s="57"/>
      <c r="F170" s="57"/>
      <c r="G170" s="51"/>
      <c r="H170" s="51"/>
      <c r="I170" s="52"/>
      <c r="J170" s="57"/>
      <c r="K170" s="57"/>
      <c r="L170" s="52"/>
      <c r="M170" s="55"/>
      <c r="N170" s="55"/>
      <c r="O170" s="55"/>
      <c r="Q170" s="33" t="str">
        <f>IFERROR(MasterData!$B170,"")</f>
        <v/>
      </c>
      <c r="R170" s="33" t="str">
        <f>IFERROR(MasterData!$C170,"")</f>
        <v/>
      </c>
      <c r="S170" s="33" t="str">
        <f>IFERROR(MasterData!$D170,"")</f>
        <v/>
      </c>
      <c r="T170" s="33" t="str">
        <f>IFERROR(MasterData!$E170,"")</f>
        <v/>
      </c>
      <c r="U170" s="33" t="str">
        <f>IFERROR(MasterData!$F170,"")</f>
        <v/>
      </c>
      <c r="V170" s="33" t="str">
        <f>IFERROR(MasterData!$I170,"")</f>
        <v/>
      </c>
      <c r="W170" s="33" t="str">
        <f>IFERROR(MasterData!$H170,"")</f>
        <v/>
      </c>
    </row>
    <row r="171" ht="21.75" customHeight="1">
      <c r="A171" s="56"/>
      <c r="B171" s="53"/>
      <c r="C171" s="53"/>
      <c r="D171" s="53"/>
      <c r="E171" s="58"/>
      <c r="F171" s="58"/>
      <c r="G171" s="49"/>
      <c r="H171" s="49"/>
      <c r="I171" s="53"/>
      <c r="J171" s="58"/>
      <c r="K171" s="58"/>
      <c r="L171" s="53"/>
      <c r="M171" s="56"/>
      <c r="N171" s="56"/>
      <c r="O171" s="56"/>
      <c r="Q171" s="33" t="str">
        <f>IFERROR(MasterData!$B171,"")</f>
        <v/>
      </c>
      <c r="R171" s="33" t="str">
        <f>IFERROR(MasterData!$C171,"")</f>
        <v/>
      </c>
      <c r="S171" s="33" t="str">
        <f>IFERROR(MasterData!$D171,"")</f>
        <v/>
      </c>
      <c r="T171" s="33" t="str">
        <f>IFERROR(MasterData!$E171,"")</f>
        <v/>
      </c>
      <c r="U171" s="33" t="str">
        <f>IFERROR(MasterData!$F171,"")</f>
        <v/>
      </c>
      <c r="V171" s="33" t="str">
        <f>IFERROR(MasterData!$I171,"")</f>
        <v/>
      </c>
      <c r="W171" s="33" t="str">
        <f>IFERROR(MasterData!$H171,"")</f>
        <v/>
      </c>
    </row>
    <row r="172" ht="21.75" customHeight="1">
      <c r="A172" s="55"/>
      <c r="B172" s="52"/>
      <c r="C172" s="52"/>
      <c r="D172" s="52"/>
      <c r="E172" s="57"/>
      <c r="F172" s="57"/>
      <c r="G172" s="51"/>
      <c r="H172" s="51"/>
      <c r="I172" s="52"/>
      <c r="J172" s="57"/>
      <c r="K172" s="57"/>
      <c r="L172" s="52"/>
      <c r="M172" s="55"/>
      <c r="N172" s="55"/>
      <c r="O172" s="55"/>
      <c r="Q172" s="33" t="str">
        <f>IFERROR(MasterData!$B172,"")</f>
        <v/>
      </c>
      <c r="R172" s="33" t="str">
        <f>IFERROR(MasterData!$C172,"")</f>
        <v/>
      </c>
      <c r="S172" s="33" t="str">
        <f>IFERROR(MasterData!$D172,"")</f>
        <v/>
      </c>
      <c r="T172" s="33" t="str">
        <f>IFERROR(MasterData!$E172,"")</f>
        <v/>
      </c>
      <c r="U172" s="33" t="str">
        <f>IFERROR(MasterData!$F172,"")</f>
        <v/>
      </c>
      <c r="V172" s="33" t="str">
        <f>IFERROR(MasterData!$I172,"")</f>
        <v/>
      </c>
      <c r="W172" s="33" t="str">
        <f>IFERROR(MasterData!$H172,"")</f>
        <v/>
      </c>
    </row>
    <row r="173" ht="21.75" customHeight="1">
      <c r="A173" s="56"/>
      <c r="B173" s="53"/>
      <c r="C173" s="53"/>
      <c r="D173" s="53"/>
      <c r="E173" s="58"/>
      <c r="F173" s="58"/>
      <c r="G173" s="49"/>
      <c r="H173" s="49"/>
      <c r="I173" s="53"/>
      <c r="J173" s="58"/>
      <c r="K173" s="58"/>
      <c r="L173" s="53"/>
      <c r="M173" s="56"/>
      <c r="N173" s="56"/>
      <c r="O173" s="56"/>
      <c r="Q173" s="33" t="str">
        <f>IFERROR(MasterData!$B173,"")</f>
        <v/>
      </c>
      <c r="R173" s="33" t="str">
        <f>IFERROR(MasterData!$C173,"")</f>
        <v/>
      </c>
      <c r="S173" s="33" t="str">
        <f>IFERROR(MasterData!$D173,"")</f>
        <v/>
      </c>
      <c r="T173" s="33" t="str">
        <f>IFERROR(MasterData!$E173,"")</f>
        <v/>
      </c>
      <c r="U173" s="33" t="str">
        <f>IFERROR(MasterData!$F173,"")</f>
        <v/>
      </c>
      <c r="V173" s="33" t="str">
        <f>IFERROR(MasterData!$I173,"")</f>
        <v/>
      </c>
      <c r="W173" s="33" t="str">
        <f>IFERROR(MasterData!$H173,"")</f>
        <v/>
      </c>
    </row>
    <row r="174" ht="21.75" customHeight="1">
      <c r="A174" s="55"/>
      <c r="B174" s="52"/>
      <c r="C174" s="52"/>
      <c r="D174" s="52"/>
      <c r="E174" s="57"/>
      <c r="F174" s="57"/>
      <c r="G174" s="51"/>
      <c r="H174" s="51"/>
      <c r="I174" s="52"/>
      <c r="J174" s="57"/>
      <c r="K174" s="57"/>
      <c r="L174" s="52"/>
      <c r="M174" s="55"/>
      <c r="N174" s="55"/>
      <c r="O174" s="55"/>
      <c r="Q174" s="33" t="str">
        <f>IFERROR(MasterData!$B174,"")</f>
        <v/>
      </c>
      <c r="R174" s="33" t="str">
        <f>IFERROR(MasterData!$C174,"")</f>
        <v/>
      </c>
      <c r="S174" s="33" t="str">
        <f>IFERROR(MasterData!$D174,"")</f>
        <v/>
      </c>
      <c r="T174" s="33" t="str">
        <f>IFERROR(MasterData!$E174,"")</f>
        <v/>
      </c>
      <c r="U174" s="33" t="str">
        <f>IFERROR(MasterData!$F174,"")</f>
        <v/>
      </c>
      <c r="V174" s="33" t="str">
        <f>IFERROR(MasterData!$I174,"")</f>
        <v/>
      </c>
      <c r="W174" s="33" t="str">
        <f>IFERROR(MasterData!$H174,"")</f>
        <v/>
      </c>
    </row>
    <row r="175" ht="21.75" customHeight="1">
      <c r="A175" s="56"/>
      <c r="B175" s="53"/>
      <c r="C175" s="53"/>
      <c r="D175" s="53"/>
      <c r="E175" s="58"/>
      <c r="F175" s="58"/>
      <c r="G175" s="49"/>
      <c r="H175" s="49"/>
      <c r="I175" s="53"/>
      <c r="J175" s="58"/>
      <c r="K175" s="58"/>
      <c r="L175" s="53"/>
      <c r="M175" s="56"/>
      <c r="N175" s="56"/>
      <c r="O175" s="56"/>
      <c r="Q175" s="33" t="str">
        <f>IFERROR(MasterData!$B175,"")</f>
        <v/>
      </c>
      <c r="R175" s="33" t="str">
        <f>IFERROR(MasterData!$C175,"")</f>
        <v/>
      </c>
      <c r="S175" s="33" t="str">
        <f>IFERROR(MasterData!$D175,"")</f>
        <v/>
      </c>
      <c r="T175" s="33" t="str">
        <f>IFERROR(MasterData!$E175,"")</f>
        <v/>
      </c>
      <c r="U175" s="33" t="str">
        <f>IFERROR(MasterData!$F175,"")</f>
        <v/>
      </c>
      <c r="V175" s="33" t="str">
        <f>IFERROR(MasterData!$I175,"")</f>
        <v/>
      </c>
      <c r="W175" s="33" t="str">
        <f>IFERROR(MasterData!$H175,"")</f>
        <v/>
      </c>
    </row>
    <row r="176" ht="21.75" customHeight="1">
      <c r="A176" s="55"/>
      <c r="B176" s="52"/>
      <c r="C176" s="52"/>
      <c r="D176" s="52"/>
      <c r="E176" s="57"/>
      <c r="F176" s="57"/>
      <c r="G176" s="51"/>
      <c r="H176" s="51"/>
      <c r="I176" s="52"/>
      <c r="J176" s="57"/>
      <c r="K176" s="57"/>
      <c r="L176" s="52"/>
      <c r="M176" s="55"/>
      <c r="N176" s="55"/>
      <c r="O176" s="55"/>
      <c r="Q176" s="33" t="str">
        <f>IFERROR(MasterData!$B176,"")</f>
        <v/>
      </c>
      <c r="R176" s="33" t="str">
        <f>IFERROR(MasterData!$C176,"")</f>
        <v/>
      </c>
      <c r="S176" s="33" t="str">
        <f>IFERROR(MasterData!$D176,"")</f>
        <v/>
      </c>
      <c r="T176" s="33" t="str">
        <f>IFERROR(MasterData!$E176,"")</f>
        <v/>
      </c>
      <c r="U176" s="33" t="str">
        <f>IFERROR(MasterData!$F176,"")</f>
        <v/>
      </c>
      <c r="V176" s="33" t="str">
        <f>IFERROR(MasterData!$I176,"")</f>
        <v/>
      </c>
      <c r="W176" s="33" t="str">
        <f>IFERROR(MasterData!$H176,"")</f>
        <v/>
      </c>
    </row>
    <row r="177" ht="21.75" customHeight="1">
      <c r="A177" s="56"/>
      <c r="B177" s="53"/>
      <c r="C177" s="53"/>
      <c r="D177" s="53"/>
      <c r="E177" s="58"/>
      <c r="F177" s="58"/>
      <c r="G177" s="49"/>
      <c r="H177" s="49"/>
      <c r="I177" s="53"/>
      <c r="J177" s="58"/>
      <c r="K177" s="58"/>
      <c r="L177" s="53"/>
      <c r="M177" s="56"/>
      <c r="N177" s="56"/>
      <c r="O177" s="56"/>
      <c r="Q177" s="33" t="str">
        <f>IFERROR(MasterData!$B177,"")</f>
        <v/>
      </c>
      <c r="R177" s="33" t="str">
        <f>IFERROR(MasterData!$C177,"")</f>
        <v/>
      </c>
      <c r="S177" s="33" t="str">
        <f>IFERROR(MasterData!$D177,"")</f>
        <v/>
      </c>
      <c r="T177" s="33" t="str">
        <f>IFERROR(MasterData!$E177,"")</f>
        <v/>
      </c>
      <c r="U177" s="33" t="str">
        <f>IFERROR(MasterData!$F177,"")</f>
        <v/>
      </c>
      <c r="V177" s="33" t="str">
        <f>IFERROR(MasterData!$I177,"")</f>
        <v/>
      </c>
      <c r="W177" s="33" t="str">
        <f>IFERROR(MasterData!$H177,"")</f>
        <v/>
      </c>
    </row>
    <row r="178" ht="21.75" customHeight="1">
      <c r="A178" s="55"/>
      <c r="B178" s="52"/>
      <c r="C178" s="52"/>
      <c r="D178" s="52"/>
      <c r="E178" s="57"/>
      <c r="F178" s="57"/>
      <c r="G178" s="51"/>
      <c r="H178" s="51"/>
      <c r="I178" s="52"/>
      <c r="J178" s="57"/>
      <c r="K178" s="57"/>
      <c r="L178" s="52"/>
      <c r="M178" s="55"/>
      <c r="N178" s="55"/>
      <c r="O178" s="55"/>
      <c r="Q178" s="33" t="str">
        <f>IFERROR(MasterData!$B178,"")</f>
        <v/>
      </c>
      <c r="R178" s="33" t="str">
        <f>IFERROR(MasterData!$C178,"")</f>
        <v/>
      </c>
      <c r="S178" s="33" t="str">
        <f>IFERROR(MasterData!$D178,"")</f>
        <v/>
      </c>
      <c r="T178" s="33" t="str">
        <f>IFERROR(MasterData!$E178,"")</f>
        <v/>
      </c>
      <c r="U178" s="33" t="str">
        <f>IFERROR(MasterData!$F178,"")</f>
        <v/>
      </c>
      <c r="V178" s="33" t="str">
        <f>IFERROR(MasterData!$I178,"")</f>
        <v/>
      </c>
      <c r="W178" s="33" t="str">
        <f>IFERROR(MasterData!$H178,"")</f>
        <v/>
      </c>
    </row>
    <row r="179" ht="21.75" customHeight="1">
      <c r="A179" s="56"/>
      <c r="B179" s="53"/>
      <c r="C179" s="53"/>
      <c r="D179" s="53"/>
      <c r="E179" s="58"/>
      <c r="F179" s="58"/>
      <c r="G179" s="49"/>
      <c r="H179" s="49"/>
      <c r="I179" s="53"/>
      <c r="J179" s="58"/>
      <c r="K179" s="58"/>
      <c r="L179" s="53"/>
      <c r="M179" s="56"/>
      <c r="N179" s="56"/>
      <c r="O179" s="56"/>
      <c r="Q179" s="33" t="str">
        <f>IFERROR(MasterData!$B179,"")</f>
        <v/>
      </c>
      <c r="R179" s="33" t="str">
        <f>IFERROR(MasterData!$C179,"")</f>
        <v/>
      </c>
      <c r="S179" s="33" t="str">
        <f>IFERROR(MasterData!$D179,"")</f>
        <v/>
      </c>
      <c r="T179" s="33" t="str">
        <f>IFERROR(MasterData!$E179,"")</f>
        <v/>
      </c>
      <c r="U179" s="33" t="str">
        <f>IFERROR(MasterData!$F179,"")</f>
        <v/>
      </c>
      <c r="V179" s="33" t="str">
        <f>IFERROR(MasterData!$I179,"")</f>
        <v/>
      </c>
      <c r="W179" s="33" t="str">
        <f>IFERROR(MasterData!$H179,"")</f>
        <v/>
      </c>
    </row>
    <row r="180" ht="21.75" customHeight="1">
      <c r="A180" s="55"/>
      <c r="B180" s="52"/>
      <c r="C180" s="52"/>
      <c r="D180" s="52"/>
      <c r="E180" s="57"/>
      <c r="F180" s="57"/>
      <c r="G180" s="51"/>
      <c r="H180" s="51"/>
      <c r="I180" s="52"/>
      <c r="J180" s="57"/>
      <c r="K180" s="57"/>
      <c r="L180" s="52"/>
      <c r="M180" s="55"/>
      <c r="N180" s="55"/>
      <c r="O180" s="55"/>
      <c r="Q180" s="33" t="str">
        <f>IFERROR(MasterData!$B180,"")</f>
        <v/>
      </c>
      <c r="R180" s="33" t="str">
        <f>IFERROR(MasterData!$C180,"")</f>
        <v/>
      </c>
      <c r="S180" s="33" t="str">
        <f>IFERROR(MasterData!$D180,"")</f>
        <v/>
      </c>
      <c r="T180" s="33" t="str">
        <f>IFERROR(MasterData!$E180,"")</f>
        <v/>
      </c>
      <c r="U180" s="33" t="str">
        <f>IFERROR(MasterData!$F180,"")</f>
        <v/>
      </c>
      <c r="V180" s="33" t="str">
        <f>IFERROR(MasterData!$I180,"")</f>
        <v/>
      </c>
      <c r="W180" s="33" t="str">
        <f>IFERROR(MasterData!$H180,"")</f>
        <v/>
      </c>
    </row>
    <row r="181" ht="21.75" customHeight="1">
      <c r="A181" s="56"/>
      <c r="B181" s="53"/>
      <c r="C181" s="53"/>
      <c r="D181" s="53"/>
      <c r="E181" s="58"/>
      <c r="F181" s="58"/>
      <c r="G181" s="49"/>
      <c r="H181" s="49"/>
      <c r="I181" s="53"/>
      <c r="J181" s="58"/>
      <c r="K181" s="58"/>
      <c r="L181" s="53"/>
      <c r="M181" s="56"/>
      <c r="N181" s="56"/>
      <c r="O181" s="56"/>
      <c r="Q181" s="33" t="str">
        <f>IFERROR(MasterData!$B181,"")</f>
        <v/>
      </c>
      <c r="R181" s="33" t="str">
        <f>IFERROR(MasterData!$C181,"")</f>
        <v/>
      </c>
      <c r="S181" s="33" t="str">
        <f>IFERROR(MasterData!$D181,"")</f>
        <v/>
      </c>
      <c r="T181" s="33" t="str">
        <f>IFERROR(MasterData!$E181,"")</f>
        <v/>
      </c>
      <c r="U181" s="33" t="str">
        <f>IFERROR(MasterData!$F181,"")</f>
        <v/>
      </c>
      <c r="V181" s="33" t="str">
        <f>IFERROR(MasterData!$I181,"")</f>
        <v/>
      </c>
      <c r="W181" s="33" t="str">
        <f>IFERROR(MasterData!$H181,"")</f>
        <v/>
      </c>
    </row>
    <row r="182" ht="21.75" customHeight="1">
      <c r="A182" s="55"/>
      <c r="B182" s="52"/>
      <c r="C182" s="52"/>
      <c r="D182" s="52"/>
      <c r="E182" s="57"/>
      <c r="F182" s="57"/>
      <c r="G182" s="51"/>
      <c r="H182" s="51"/>
      <c r="I182" s="52"/>
      <c r="J182" s="57"/>
      <c r="K182" s="57"/>
      <c r="L182" s="52"/>
      <c r="M182" s="55"/>
      <c r="N182" s="55"/>
      <c r="O182" s="55"/>
      <c r="Q182" s="33" t="str">
        <f>IFERROR(MasterData!$B182,"")</f>
        <v/>
      </c>
      <c r="R182" s="33" t="str">
        <f>IFERROR(MasterData!$C182,"")</f>
        <v/>
      </c>
      <c r="S182" s="33" t="str">
        <f>IFERROR(MasterData!$D182,"")</f>
        <v/>
      </c>
      <c r="T182" s="33" t="str">
        <f>IFERROR(MasterData!$E182,"")</f>
        <v/>
      </c>
      <c r="U182" s="33" t="str">
        <f>IFERROR(MasterData!$F182,"")</f>
        <v/>
      </c>
      <c r="V182" s="33" t="str">
        <f>IFERROR(MasterData!$I182,"")</f>
        <v/>
      </c>
      <c r="W182" s="33" t="str">
        <f>IFERROR(MasterData!$H182,"")</f>
        <v/>
      </c>
    </row>
    <row r="183" ht="21.75" customHeight="1">
      <c r="A183" s="56"/>
      <c r="B183" s="53"/>
      <c r="C183" s="53"/>
      <c r="D183" s="53"/>
      <c r="E183" s="58"/>
      <c r="F183" s="58"/>
      <c r="G183" s="49"/>
      <c r="H183" s="49"/>
      <c r="I183" s="53"/>
      <c r="J183" s="58"/>
      <c r="K183" s="58"/>
      <c r="L183" s="53"/>
      <c r="M183" s="56"/>
      <c r="N183" s="56"/>
      <c r="O183" s="56"/>
      <c r="Q183" s="33" t="str">
        <f>IFERROR(MasterData!$B183,"")</f>
        <v/>
      </c>
      <c r="R183" s="33" t="str">
        <f>IFERROR(MasterData!$C183,"")</f>
        <v/>
      </c>
      <c r="S183" s="33" t="str">
        <f>IFERROR(MasterData!$D183,"")</f>
        <v/>
      </c>
      <c r="T183" s="33" t="str">
        <f>IFERROR(MasterData!$E183,"")</f>
        <v/>
      </c>
      <c r="U183" s="33" t="str">
        <f>IFERROR(MasterData!$F183,"")</f>
        <v/>
      </c>
      <c r="V183" s="33" t="str">
        <f>IFERROR(MasterData!$I183,"")</f>
        <v/>
      </c>
      <c r="W183" s="33" t="str">
        <f>IFERROR(MasterData!$H183,"")</f>
        <v/>
      </c>
    </row>
    <row r="184" ht="21.75" customHeight="1">
      <c r="A184" s="55"/>
      <c r="B184" s="52"/>
      <c r="C184" s="52"/>
      <c r="D184" s="52"/>
      <c r="E184" s="57"/>
      <c r="F184" s="57"/>
      <c r="G184" s="51"/>
      <c r="H184" s="51"/>
      <c r="I184" s="52"/>
      <c r="J184" s="57"/>
      <c r="K184" s="57"/>
      <c r="L184" s="52"/>
      <c r="M184" s="55"/>
      <c r="N184" s="55"/>
      <c r="O184" s="55"/>
      <c r="Q184" s="33" t="str">
        <f>IFERROR(MasterData!$B184,"")</f>
        <v/>
      </c>
      <c r="R184" s="33" t="str">
        <f>IFERROR(MasterData!$C184,"")</f>
        <v/>
      </c>
      <c r="S184" s="33" t="str">
        <f>IFERROR(MasterData!$D184,"")</f>
        <v/>
      </c>
      <c r="T184" s="33" t="str">
        <f>IFERROR(MasterData!$E184,"")</f>
        <v/>
      </c>
      <c r="U184" s="33" t="str">
        <f>IFERROR(MasterData!$F184,"")</f>
        <v/>
      </c>
      <c r="V184" s="33" t="str">
        <f>IFERROR(MasterData!$I184,"")</f>
        <v/>
      </c>
      <c r="W184" s="33" t="str">
        <f>IFERROR(MasterData!$H184,"")</f>
        <v/>
      </c>
    </row>
    <row r="185" ht="21.75" customHeight="1">
      <c r="A185" s="56"/>
      <c r="B185" s="53"/>
      <c r="C185" s="53"/>
      <c r="D185" s="53"/>
      <c r="E185" s="58"/>
      <c r="F185" s="58"/>
      <c r="G185" s="49"/>
      <c r="H185" s="49"/>
      <c r="I185" s="53"/>
      <c r="J185" s="58"/>
      <c r="K185" s="58"/>
      <c r="L185" s="53"/>
      <c r="M185" s="56"/>
      <c r="N185" s="56"/>
      <c r="O185" s="56"/>
      <c r="Q185" s="33" t="str">
        <f>IFERROR(MasterData!$B185,"")</f>
        <v/>
      </c>
      <c r="R185" s="33" t="str">
        <f>IFERROR(MasterData!$C185,"")</f>
        <v/>
      </c>
      <c r="S185" s="33" t="str">
        <f>IFERROR(MasterData!$D185,"")</f>
        <v/>
      </c>
      <c r="T185" s="33" t="str">
        <f>IFERROR(MasterData!$E185,"")</f>
        <v/>
      </c>
      <c r="U185" s="33" t="str">
        <f>IFERROR(MasterData!$F185,"")</f>
        <v/>
      </c>
      <c r="V185" s="33" t="str">
        <f>IFERROR(MasterData!$I185,"")</f>
        <v/>
      </c>
      <c r="W185" s="33" t="str">
        <f>IFERROR(MasterData!$H185,"")</f>
        <v/>
      </c>
    </row>
    <row r="186" ht="21.75" customHeight="1">
      <c r="A186" s="55"/>
      <c r="B186" s="52"/>
      <c r="C186" s="52"/>
      <c r="D186" s="52"/>
      <c r="E186" s="57"/>
      <c r="F186" s="57"/>
      <c r="G186" s="51"/>
      <c r="H186" s="51"/>
      <c r="I186" s="52"/>
      <c r="J186" s="57"/>
      <c r="K186" s="57"/>
      <c r="L186" s="52"/>
      <c r="M186" s="55"/>
      <c r="N186" s="55"/>
      <c r="O186" s="55"/>
      <c r="Q186" s="33" t="str">
        <f>IFERROR(MasterData!$B186,"")</f>
        <v/>
      </c>
      <c r="R186" s="33" t="str">
        <f>IFERROR(MasterData!$C186,"")</f>
        <v/>
      </c>
      <c r="S186" s="33" t="str">
        <f>IFERROR(MasterData!$D186,"")</f>
        <v/>
      </c>
      <c r="T186" s="33" t="str">
        <f>IFERROR(MasterData!$E186,"")</f>
        <v/>
      </c>
      <c r="U186" s="33" t="str">
        <f>IFERROR(MasterData!$F186,"")</f>
        <v/>
      </c>
      <c r="V186" s="33" t="str">
        <f>IFERROR(MasterData!$I186,"")</f>
        <v/>
      </c>
      <c r="W186" s="33" t="str">
        <f>IFERROR(MasterData!$H186,"")</f>
        <v/>
      </c>
    </row>
    <row r="187" ht="21.75" customHeight="1">
      <c r="A187" s="56"/>
      <c r="B187" s="53"/>
      <c r="C187" s="53"/>
      <c r="D187" s="53"/>
      <c r="E187" s="58"/>
      <c r="F187" s="58"/>
      <c r="G187" s="49"/>
      <c r="H187" s="49"/>
      <c r="I187" s="53"/>
      <c r="J187" s="58"/>
      <c r="K187" s="58"/>
      <c r="L187" s="53"/>
      <c r="M187" s="56"/>
      <c r="N187" s="56"/>
      <c r="O187" s="56"/>
      <c r="Q187" s="33" t="str">
        <f>IFERROR(MasterData!$B187,"")</f>
        <v/>
      </c>
      <c r="R187" s="33" t="str">
        <f>IFERROR(MasterData!$C187,"")</f>
        <v/>
      </c>
      <c r="S187" s="33" t="str">
        <f>IFERROR(MasterData!$D187,"")</f>
        <v/>
      </c>
      <c r="T187" s="33" t="str">
        <f>IFERROR(MasterData!$E187,"")</f>
        <v/>
      </c>
      <c r="U187" s="33" t="str">
        <f>IFERROR(MasterData!$F187,"")</f>
        <v/>
      </c>
      <c r="V187" s="33" t="str">
        <f>IFERROR(MasterData!$I187,"")</f>
        <v/>
      </c>
      <c r="W187" s="33" t="str">
        <f>IFERROR(MasterData!$H187,"")</f>
        <v/>
      </c>
    </row>
    <row r="188" ht="21.75" customHeight="1">
      <c r="A188" s="55"/>
      <c r="B188" s="52"/>
      <c r="C188" s="52"/>
      <c r="D188" s="52"/>
      <c r="E188" s="57"/>
      <c r="F188" s="57"/>
      <c r="G188" s="51"/>
      <c r="H188" s="51"/>
      <c r="I188" s="52"/>
      <c r="J188" s="57"/>
      <c r="K188" s="57"/>
      <c r="L188" s="52"/>
      <c r="M188" s="55"/>
      <c r="N188" s="55"/>
      <c r="O188" s="55"/>
      <c r="Q188" s="33" t="str">
        <f>IFERROR(MasterData!$B188,"")</f>
        <v/>
      </c>
      <c r="R188" s="33" t="str">
        <f>IFERROR(MasterData!$C188,"")</f>
        <v/>
      </c>
      <c r="S188" s="33" t="str">
        <f>IFERROR(MasterData!$D188,"")</f>
        <v/>
      </c>
      <c r="T188" s="33" t="str">
        <f>IFERROR(MasterData!$E188,"")</f>
        <v/>
      </c>
      <c r="U188" s="33" t="str">
        <f>IFERROR(MasterData!$F188,"")</f>
        <v/>
      </c>
      <c r="V188" s="33" t="str">
        <f>IFERROR(MasterData!$I188,"")</f>
        <v/>
      </c>
      <c r="W188" s="33" t="str">
        <f>IFERROR(MasterData!$H188,"")</f>
        <v/>
      </c>
    </row>
    <row r="189" ht="21.75" customHeight="1">
      <c r="A189" s="56"/>
      <c r="B189" s="53"/>
      <c r="C189" s="53"/>
      <c r="D189" s="53"/>
      <c r="E189" s="58"/>
      <c r="F189" s="58"/>
      <c r="G189" s="49"/>
      <c r="H189" s="49"/>
      <c r="I189" s="53"/>
      <c r="J189" s="58"/>
      <c r="K189" s="58"/>
      <c r="L189" s="53"/>
      <c r="M189" s="56"/>
      <c r="N189" s="56"/>
      <c r="O189" s="56"/>
      <c r="Q189" s="33" t="str">
        <f>IFERROR(MasterData!$B189,"")</f>
        <v/>
      </c>
      <c r="R189" s="33" t="str">
        <f>IFERROR(MasterData!$C189,"")</f>
        <v/>
      </c>
      <c r="S189" s="33" t="str">
        <f>IFERROR(MasterData!$D189,"")</f>
        <v/>
      </c>
      <c r="T189" s="33" t="str">
        <f>IFERROR(MasterData!$E189,"")</f>
        <v/>
      </c>
      <c r="U189" s="33" t="str">
        <f>IFERROR(MasterData!$F189,"")</f>
        <v/>
      </c>
      <c r="V189" s="33" t="str">
        <f>IFERROR(MasterData!$I189,"")</f>
        <v/>
      </c>
      <c r="W189" s="33" t="str">
        <f>IFERROR(MasterData!$H189,"")</f>
        <v/>
      </c>
    </row>
    <row r="190" ht="21.75" customHeight="1">
      <c r="A190" s="55"/>
      <c r="B190" s="52"/>
      <c r="C190" s="52"/>
      <c r="D190" s="52"/>
      <c r="E190" s="57"/>
      <c r="F190" s="57"/>
      <c r="G190" s="51"/>
      <c r="H190" s="51"/>
      <c r="I190" s="52"/>
      <c r="J190" s="57"/>
      <c r="K190" s="57"/>
      <c r="L190" s="52"/>
      <c r="M190" s="55"/>
      <c r="N190" s="55"/>
      <c r="O190" s="55"/>
      <c r="Q190" s="33" t="str">
        <f>IFERROR(MasterData!$B190,"")</f>
        <v/>
      </c>
      <c r="R190" s="33" t="str">
        <f>IFERROR(MasterData!$C190,"")</f>
        <v/>
      </c>
      <c r="S190" s="33" t="str">
        <f>IFERROR(MasterData!$D190,"")</f>
        <v/>
      </c>
      <c r="T190" s="33" t="str">
        <f>IFERROR(MasterData!$E190,"")</f>
        <v/>
      </c>
      <c r="U190" s="33" t="str">
        <f>IFERROR(MasterData!$F190,"")</f>
        <v/>
      </c>
      <c r="V190" s="33" t="str">
        <f>IFERROR(MasterData!$I190,"")</f>
        <v/>
      </c>
      <c r="W190" s="33" t="str">
        <f>IFERROR(MasterData!$H190,"")</f>
        <v/>
      </c>
    </row>
    <row r="191" ht="21.75" customHeight="1">
      <c r="A191" s="56"/>
      <c r="B191" s="53"/>
      <c r="C191" s="53"/>
      <c r="D191" s="53"/>
      <c r="E191" s="58"/>
      <c r="F191" s="58"/>
      <c r="G191" s="49"/>
      <c r="H191" s="49"/>
      <c r="I191" s="53"/>
      <c r="J191" s="58"/>
      <c r="K191" s="58"/>
      <c r="L191" s="53"/>
      <c r="M191" s="56"/>
      <c r="N191" s="56"/>
      <c r="O191" s="56"/>
      <c r="Q191" s="33" t="str">
        <f>IFERROR(MasterData!$B191,"")</f>
        <v/>
      </c>
      <c r="R191" s="33" t="str">
        <f>IFERROR(MasterData!$C191,"")</f>
        <v/>
      </c>
      <c r="S191" s="33" t="str">
        <f>IFERROR(MasterData!$D191,"")</f>
        <v/>
      </c>
      <c r="T191" s="33" t="str">
        <f>IFERROR(MasterData!$E191,"")</f>
        <v/>
      </c>
      <c r="U191" s="33" t="str">
        <f>IFERROR(MasterData!$F191,"")</f>
        <v/>
      </c>
      <c r="V191" s="33" t="str">
        <f>IFERROR(MasterData!$I191,"")</f>
        <v/>
      </c>
      <c r="W191" s="33" t="str">
        <f>IFERROR(MasterData!$H191,"")</f>
        <v/>
      </c>
    </row>
    <row r="192" ht="21.75" customHeight="1">
      <c r="A192" s="55"/>
      <c r="B192" s="52"/>
      <c r="C192" s="52"/>
      <c r="D192" s="52"/>
      <c r="E192" s="57"/>
      <c r="F192" s="57"/>
      <c r="G192" s="51"/>
      <c r="H192" s="51"/>
      <c r="I192" s="52"/>
      <c r="J192" s="57"/>
      <c r="K192" s="57"/>
      <c r="L192" s="52"/>
      <c r="M192" s="55"/>
      <c r="N192" s="55"/>
      <c r="O192" s="55"/>
      <c r="Q192" s="33" t="str">
        <f>IFERROR(MasterData!$B192,"")</f>
        <v/>
      </c>
      <c r="R192" s="33" t="str">
        <f>IFERROR(MasterData!$C192,"")</f>
        <v/>
      </c>
      <c r="S192" s="33" t="str">
        <f>IFERROR(MasterData!$D192,"")</f>
        <v/>
      </c>
      <c r="T192" s="33" t="str">
        <f>IFERROR(MasterData!$E192,"")</f>
        <v/>
      </c>
      <c r="U192" s="33" t="str">
        <f>IFERROR(MasterData!$F192,"")</f>
        <v/>
      </c>
      <c r="V192" s="33" t="str">
        <f>IFERROR(MasterData!$I192,"")</f>
        <v/>
      </c>
      <c r="W192" s="33" t="str">
        <f>IFERROR(MasterData!$H192,"")</f>
        <v/>
      </c>
    </row>
    <row r="193" ht="21.75" customHeight="1">
      <c r="A193" s="56"/>
      <c r="B193" s="53"/>
      <c r="C193" s="53"/>
      <c r="D193" s="53"/>
      <c r="E193" s="58"/>
      <c r="F193" s="58"/>
      <c r="G193" s="49"/>
      <c r="H193" s="49"/>
      <c r="I193" s="53"/>
      <c r="J193" s="58"/>
      <c r="K193" s="58"/>
      <c r="L193" s="53"/>
      <c r="M193" s="56"/>
      <c r="N193" s="56"/>
      <c r="O193" s="56"/>
      <c r="Q193" s="33" t="str">
        <f>IFERROR(MasterData!$B193,"")</f>
        <v/>
      </c>
      <c r="R193" s="33" t="str">
        <f>IFERROR(MasterData!$C193,"")</f>
        <v/>
      </c>
      <c r="S193" s="33" t="str">
        <f>IFERROR(MasterData!$D193,"")</f>
        <v/>
      </c>
      <c r="T193" s="33" t="str">
        <f>IFERROR(MasterData!$E193,"")</f>
        <v/>
      </c>
      <c r="U193" s="33" t="str">
        <f>IFERROR(MasterData!$F193,"")</f>
        <v/>
      </c>
      <c r="V193" s="33" t="str">
        <f>IFERROR(MasterData!$I193,"")</f>
        <v/>
      </c>
      <c r="W193" s="33" t="str">
        <f>IFERROR(MasterData!$H193,"")</f>
        <v/>
      </c>
    </row>
    <row r="194" ht="21.75" customHeight="1">
      <c r="A194" s="55"/>
      <c r="B194" s="52"/>
      <c r="C194" s="52"/>
      <c r="D194" s="52"/>
      <c r="E194" s="57"/>
      <c r="F194" s="57"/>
      <c r="G194" s="51"/>
      <c r="H194" s="51"/>
      <c r="I194" s="52"/>
      <c r="J194" s="57"/>
      <c r="K194" s="57"/>
      <c r="L194" s="52"/>
      <c r="M194" s="55"/>
      <c r="N194" s="55"/>
      <c r="O194" s="55"/>
      <c r="Q194" s="33" t="str">
        <f>IFERROR(MasterData!$B194,"")</f>
        <v/>
      </c>
      <c r="R194" s="33" t="str">
        <f>IFERROR(MasterData!$C194,"")</f>
        <v/>
      </c>
      <c r="S194" s="33" t="str">
        <f>IFERROR(MasterData!$D194,"")</f>
        <v/>
      </c>
      <c r="T194" s="33" t="str">
        <f>IFERROR(MasterData!$E194,"")</f>
        <v/>
      </c>
      <c r="U194" s="33" t="str">
        <f>IFERROR(MasterData!$F194,"")</f>
        <v/>
      </c>
      <c r="V194" s="33" t="str">
        <f>IFERROR(MasterData!$I194,"")</f>
        <v/>
      </c>
      <c r="W194" s="33" t="str">
        <f>IFERROR(MasterData!$H194,"")</f>
        <v/>
      </c>
    </row>
    <row r="195" ht="21.75" customHeight="1">
      <c r="A195" s="56"/>
      <c r="B195" s="53"/>
      <c r="C195" s="53"/>
      <c r="D195" s="53"/>
      <c r="E195" s="58"/>
      <c r="F195" s="58"/>
      <c r="G195" s="49"/>
      <c r="H195" s="49"/>
      <c r="I195" s="53"/>
      <c r="J195" s="58"/>
      <c r="K195" s="58"/>
      <c r="L195" s="53"/>
      <c r="M195" s="56"/>
      <c r="N195" s="56"/>
      <c r="O195" s="56"/>
      <c r="Q195" s="33" t="str">
        <f>IFERROR(MasterData!$B195,"")</f>
        <v/>
      </c>
      <c r="R195" s="33" t="str">
        <f>IFERROR(MasterData!$C195,"")</f>
        <v/>
      </c>
      <c r="S195" s="33" t="str">
        <f>IFERROR(MasterData!$D195,"")</f>
        <v/>
      </c>
      <c r="T195" s="33" t="str">
        <f>IFERROR(MasterData!$E195,"")</f>
        <v/>
      </c>
      <c r="U195" s="33" t="str">
        <f>IFERROR(MasterData!$F195,"")</f>
        <v/>
      </c>
      <c r="V195" s="33" t="str">
        <f>IFERROR(MasterData!$I195,"")</f>
        <v/>
      </c>
      <c r="W195" s="33" t="str">
        <f>IFERROR(MasterData!$H195,"")</f>
        <v/>
      </c>
    </row>
    <row r="196" ht="21.75" customHeight="1">
      <c r="A196" s="55"/>
      <c r="B196" s="52"/>
      <c r="C196" s="52"/>
      <c r="D196" s="52"/>
      <c r="E196" s="57"/>
      <c r="F196" s="57"/>
      <c r="G196" s="51"/>
      <c r="H196" s="51"/>
      <c r="I196" s="52"/>
      <c r="J196" s="57"/>
      <c r="K196" s="57"/>
      <c r="L196" s="52"/>
      <c r="M196" s="55"/>
      <c r="N196" s="55"/>
      <c r="O196" s="55"/>
      <c r="Q196" s="33" t="str">
        <f>IFERROR(MasterData!$B196,"")</f>
        <v/>
      </c>
      <c r="R196" s="33" t="str">
        <f>IFERROR(MasterData!$C196,"")</f>
        <v/>
      </c>
      <c r="S196" s="33" t="str">
        <f>IFERROR(MasterData!$D196,"")</f>
        <v/>
      </c>
      <c r="T196" s="33" t="str">
        <f>IFERROR(MasterData!$E196,"")</f>
        <v/>
      </c>
      <c r="U196" s="33" t="str">
        <f>IFERROR(MasterData!$F196,"")</f>
        <v/>
      </c>
      <c r="V196" s="33" t="str">
        <f>IFERROR(MasterData!$I196,"")</f>
        <v/>
      </c>
      <c r="W196" s="33" t="str">
        <f>IFERROR(MasterData!$H196,"")</f>
        <v/>
      </c>
    </row>
    <row r="197" ht="21.75" customHeight="1">
      <c r="A197" s="56"/>
      <c r="B197" s="53"/>
      <c r="C197" s="53"/>
      <c r="D197" s="53"/>
      <c r="E197" s="58"/>
      <c r="F197" s="58"/>
      <c r="G197" s="49"/>
      <c r="H197" s="49"/>
      <c r="I197" s="53"/>
      <c r="J197" s="58"/>
      <c r="K197" s="58"/>
      <c r="L197" s="53"/>
      <c r="M197" s="56"/>
      <c r="N197" s="56"/>
      <c r="O197" s="56"/>
      <c r="Q197" s="33" t="str">
        <f>IFERROR(MasterData!$B197,"")</f>
        <v/>
      </c>
      <c r="R197" s="33" t="str">
        <f>IFERROR(MasterData!$C197,"")</f>
        <v/>
      </c>
      <c r="S197" s="33" t="str">
        <f>IFERROR(MasterData!$D197,"")</f>
        <v/>
      </c>
      <c r="T197" s="33" t="str">
        <f>IFERROR(MasterData!$E197,"")</f>
        <v/>
      </c>
      <c r="U197" s="33" t="str">
        <f>IFERROR(MasterData!$F197,"")</f>
        <v/>
      </c>
      <c r="V197" s="33" t="str">
        <f>IFERROR(MasterData!$I197,"")</f>
        <v/>
      </c>
      <c r="W197" s="33" t="str">
        <f>IFERROR(MasterData!$H197,"")</f>
        <v/>
      </c>
    </row>
    <row r="198" ht="21.75" customHeight="1">
      <c r="A198" s="55"/>
      <c r="B198" s="52"/>
      <c r="C198" s="52"/>
      <c r="D198" s="52"/>
      <c r="E198" s="57"/>
      <c r="F198" s="57"/>
      <c r="G198" s="51"/>
      <c r="H198" s="51"/>
      <c r="I198" s="52"/>
      <c r="J198" s="57"/>
      <c r="K198" s="57"/>
      <c r="L198" s="52"/>
      <c r="M198" s="55"/>
      <c r="N198" s="55"/>
      <c r="O198" s="55"/>
      <c r="Q198" s="33" t="str">
        <f>IFERROR(MasterData!$B198,"")</f>
        <v/>
      </c>
      <c r="R198" s="33" t="str">
        <f>IFERROR(MasterData!$C198,"")</f>
        <v/>
      </c>
      <c r="S198" s="33" t="str">
        <f>IFERROR(MasterData!$D198,"")</f>
        <v/>
      </c>
      <c r="T198" s="33" t="str">
        <f>IFERROR(MasterData!$E198,"")</f>
        <v/>
      </c>
      <c r="U198" s="33" t="str">
        <f>IFERROR(MasterData!$F198,"")</f>
        <v/>
      </c>
      <c r="V198" s="33" t="str">
        <f>IFERROR(MasterData!$I198,"")</f>
        <v/>
      </c>
      <c r="W198" s="33" t="str">
        <f>IFERROR(MasterData!$H198,"")</f>
        <v/>
      </c>
    </row>
    <row r="199" ht="21.75" customHeight="1">
      <c r="A199" s="56"/>
      <c r="B199" s="53"/>
      <c r="C199" s="53"/>
      <c r="D199" s="53"/>
      <c r="E199" s="58"/>
      <c r="F199" s="58"/>
      <c r="G199" s="49"/>
      <c r="H199" s="49"/>
      <c r="I199" s="53"/>
      <c r="J199" s="58"/>
      <c r="K199" s="58"/>
      <c r="L199" s="53"/>
      <c r="M199" s="56"/>
      <c r="N199" s="56"/>
      <c r="O199" s="56"/>
      <c r="Q199" s="33" t="str">
        <f>IFERROR(MasterData!$B199,"")</f>
        <v/>
      </c>
      <c r="R199" s="33" t="str">
        <f>IFERROR(MasterData!$C199,"")</f>
        <v/>
      </c>
      <c r="S199" s="33" t="str">
        <f>IFERROR(MasterData!$D199,"")</f>
        <v/>
      </c>
      <c r="T199" s="33" t="str">
        <f>IFERROR(MasterData!$E199,"")</f>
        <v/>
      </c>
      <c r="U199" s="33" t="str">
        <f>IFERROR(MasterData!$F199,"")</f>
        <v/>
      </c>
      <c r="V199" s="33" t="str">
        <f>IFERROR(MasterData!$I199,"")</f>
        <v/>
      </c>
      <c r="W199" s="33" t="str">
        <f>IFERROR(MasterData!$H199,"")</f>
        <v/>
      </c>
    </row>
    <row r="200" ht="21.75" customHeight="1">
      <c r="A200" s="55"/>
      <c r="B200" s="52"/>
      <c r="C200" s="52"/>
      <c r="D200" s="52"/>
      <c r="E200" s="57"/>
      <c r="F200" s="57"/>
      <c r="G200" s="51"/>
      <c r="H200" s="51"/>
      <c r="I200" s="52"/>
      <c r="J200" s="57"/>
      <c r="K200" s="57"/>
      <c r="L200" s="52"/>
      <c r="M200" s="55"/>
      <c r="N200" s="55"/>
      <c r="O200" s="55"/>
      <c r="Q200" s="33" t="str">
        <f>IFERROR(MasterData!$B200,"")</f>
        <v/>
      </c>
      <c r="R200" s="33" t="str">
        <f>IFERROR(MasterData!$C200,"")</f>
        <v/>
      </c>
      <c r="S200" s="33" t="str">
        <f>IFERROR(MasterData!$D200,"")</f>
        <v/>
      </c>
      <c r="T200" s="33" t="str">
        <f>IFERROR(MasterData!$E200,"")</f>
        <v/>
      </c>
      <c r="U200" s="33" t="str">
        <f>IFERROR(MasterData!$F200,"")</f>
        <v/>
      </c>
      <c r="V200" s="33" t="str">
        <f>IFERROR(MasterData!$I200,"")</f>
        <v/>
      </c>
      <c r="W200" s="33" t="str">
        <f>IFERROR(MasterData!$H200,"")</f>
        <v/>
      </c>
    </row>
    <row r="201" ht="21.75" customHeight="1">
      <c r="A201" s="56"/>
      <c r="B201" s="53"/>
      <c r="C201" s="53"/>
      <c r="D201" s="53"/>
      <c r="E201" s="58"/>
      <c r="F201" s="58"/>
      <c r="G201" s="49"/>
      <c r="H201" s="49"/>
      <c r="I201" s="53"/>
      <c r="J201" s="58"/>
      <c r="K201" s="58"/>
      <c r="L201" s="53"/>
      <c r="M201" s="56"/>
      <c r="N201" s="56"/>
      <c r="O201" s="56"/>
      <c r="Q201" s="33" t="str">
        <f>IFERROR(MasterData!$B201,"")</f>
        <v/>
      </c>
      <c r="R201" s="33" t="str">
        <f>IFERROR(MasterData!$C201,"")</f>
        <v/>
      </c>
      <c r="S201" s="33" t="str">
        <f>IFERROR(MasterData!$D201,"")</f>
        <v/>
      </c>
      <c r="T201" s="33" t="str">
        <f>IFERROR(MasterData!$E201,"")</f>
        <v/>
      </c>
      <c r="U201" s="33" t="str">
        <f>IFERROR(MasterData!$F201,"")</f>
        <v/>
      </c>
      <c r="V201" s="33" t="str">
        <f>IFERROR(MasterData!$I201,"")</f>
        <v/>
      </c>
      <c r="W201" s="33" t="str">
        <f>IFERROR(MasterData!$H201,"")</f>
        <v/>
      </c>
    </row>
    <row r="202" ht="21.75" customHeight="1">
      <c r="A202" s="55"/>
      <c r="B202" s="52"/>
      <c r="C202" s="52"/>
      <c r="D202" s="52"/>
      <c r="E202" s="57"/>
      <c r="F202" s="57"/>
      <c r="G202" s="51"/>
      <c r="H202" s="51"/>
      <c r="I202" s="52"/>
      <c r="J202" s="57"/>
      <c r="K202" s="57"/>
      <c r="L202" s="52"/>
      <c r="M202" s="55"/>
      <c r="N202" s="55"/>
      <c r="O202" s="55"/>
      <c r="Q202" s="33" t="str">
        <f>IFERROR(MasterData!$B202,"")</f>
        <v/>
      </c>
      <c r="R202" s="33" t="str">
        <f>IFERROR(MasterData!$C202,"")</f>
        <v/>
      </c>
      <c r="S202" s="33" t="str">
        <f>IFERROR(MasterData!$D202,"")</f>
        <v/>
      </c>
      <c r="T202" s="33" t="str">
        <f>IFERROR(MasterData!$E202,"")</f>
        <v/>
      </c>
      <c r="U202" s="33" t="str">
        <f>IFERROR(MasterData!$F202,"")</f>
        <v/>
      </c>
      <c r="V202" s="33" t="str">
        <f>IFERROR(MasterData!$I202,"")</f>
        <v/>
      </c>
      <c r="W202" s="33" t="str">
        <f>IFERROR(MasterData!$H202,"")</f>
        <v/>
      </c>
    </row>
    <row r="203" ht="21.75" customHeight="1">
      <c r="A203" s="56"/>
      <c r="B203" s="53"/>
      <c r="C203" s="53"/>
      <c r="D203" s="53"/>
      <c r="E203" s="58"/>
      <c r="F203" s="58"/>
      <c r="G203" s="49"/>
      <c r="H203" s="49"/>
      <c r="I203" s="53"/>
      <c r="J203" s="58"/>
      <c r="K203" s="58"/>
      <c r="L203" s="53"/>
      <c r="M203" s="56"/>
      <c r="N203" s="56"/>
      <c r="O203" s="56"/>
      <c r="Q203" s="33" t="str">
        <f>IFERROR(MasterData!$B203,"")</f>
        <v/>
      </c>
      <c r="R203" s="33" t="str">
        <f>IFERROR(MasterData!$C203,"")</f>
        <v/>
      </c>
      <c r="S203" s="33" t="str">
        <f>IFERROR(MasterData!$D203,"")</f>
        <v/>
      </c>
      <c r="T203" s="33" t="str">
        <f>IFERROR(MasterData!$E203,"")</f>
        <v/>
      </c>
      <c r="U203" s="33" t="str">
        <f>IFERROR(MasterData!$F203,"")</f>
        <v/>
      </c>
      <c r="V203" s="33" t="str">
        <f>IFERROR(MasterData!$I203,"")</f>
        <v/>
      </c>
      <c r="W203" s="33" t="str">
        <f>IFERROR(MasterData!$H203,"")</f>
        <v/>
      </c>
    </row>
    <row r="204" ht="14.25" customHeight="1">
      <c r="B204" s="59"/>
      <c r="C204" s="59"/>
      <c r="D204" s="59"/>
      <c r="E204" s="59"/>
      <c r="F204" s="59"/>
      <c r="I204" s="59"/>
      <c r="K204" s="59"/>
      <c r="Q204" s="33" t="str">
        <f>IFERROR(MasterData!$B204,"")</f>
        <v/>
      </c>
      <c r="R204" s="33" t="str">
        <f>IFERROR(MasterData!$C204,"")</f>
        <v/>
      </c>
      <c r="S204" s="33" t="str">
        <f>IFERROR(MasterData!$D204,"")</f>
        <v/>
      </c>
      <c r="T204" s="33" t="str">
        <f>IFERROR(MasterData!$E204,"")</f>
        <v/>
      </c>
      <c r="U204" s="33" t="str">
        <f>IFERROR(MasterData!$F204,"")</f>
        <v/>
      </c>
      <c r="V204" s="33" t="str">
        <f>IFERROR(MasterData!$I204,"")</f>
        <v/>
      </c>
      <c r="W204" s="33" t="str">
        <f>IFERROR(MasterData!$H204,"")</f>
        <v/>
      </c>
    </row>
    <row r="205" ht="14.25" customHeight="1">
      <c r="B205" s="59"/>
      <c r="C205" s="59"/>
      <c r="D205" s="59"/>
      <c r="E205" s="59"/>
      <c r="F205" s="59"/>
      <c r="I205" s="59"/>
      <c r="K205" s="59"/>
      <c r="Q205" s="33" t="str">
        <f>IFERROR(MasterData!$B205,"")</f>
        <v/>
      </c>
      <c r="R205" s="33" t="str">
        <f>IFERROR(MasterData!$C205,"")</f>
        <v/>
      </c>
      <c r="S205" s="33" t="str">
        <f>IFERROR(MasterData!$D205,"")</f>
        <v/>
      </c>
      <c r="T205" s="33" t="str">
        <f>IFERROR(MasterData!$E205,"")</f>
        <v/>
      </c>
      <c r="U205" s="33" t="str">
        <f>IFERROR(MasterData!$F205,"")</f>
        <v/>
      </c>
      <c r="V205" s="33" t="str">
        <f>IFERROR(MasterData!$I205,"")</f>
        <v/>
      </c>
      <c r="W205" s="33" t="str">
        <f>IFERROR(MasterData!$H205,"")</f>
        <v/>
      </c>
    </row>
    <row r="206" ht="14.25" customHeight="1">
      <c r="B206" s="59"/>
      <c r="C206" s="59"/>
      <c r="D206" s="59"/>
      <c r="E206" s="59"/>
      <c r="F206" s="59"/>
      <c r="I206" s="59"/>
      <c r="K206" s="59"/>
      <c r="Q206" s="33" t="str">
        <f>IFERROR(MasterData!$B206,"")</f>
        <v/>
      </c>
      <c r="R206" s="33" t="str">
        <f>IFERROR(MasterData!$C206,"")</f>
        <v/>
      </c>
      <c r="S206" s="33" t="str">
        <f>IFERROR(MasterData!$D206,"")</f>
        <v/>
      </c>
      <c r="T206" s="33" t="str">
        <f>IFERROR(MasterData!$E206,"")</f>
        <v/>
      </c>
      <c r="U206" s="33" t="str">
        <f>IFERROR(MasterData!$F206,"")</f>
        <v/>
      </c>
      <c r="V206" s="33" t="str">
        <f>IFERROR(MasterData!$I206,"")</f>
        <v/>
      </c>
      <c r="W206" s="33" t="str">
        <f>IFERROR(MasterData!$H206,"")</f>
        <v/>
      </c>
    </row>
    <row r="207" ht="14.25" customHeight="1">
      <c r="B207" s="59"/>
      <c r="C207" s="59"/>
      <c r="D207" s="59"/>
      <c r="E207" s="59"/>
      <c r="F207" s="59"/>
      <c r="I207" s="59"/>
      <c r="K207" s="59"/>
      <c r="Q207" s="33" t="str">
        <f>IFERROR(MasterData!$B207,"")</f>
        <v/>
      </c>
      <c r="R207" s="33" t="str">
        <f>IFERROR(MasterData!$C207,"")</f>
        <v/>
      </c>
      <c r="S207" s="33" t="str">
        <f>IFERROR(MasterData!$D207,"")</f>
        <v/>
      </c>
      <c r="T207" s="33" t="str">
        <f>IFERROR(MasterData!$E207,"")</f>
        <v/>
      </c>
      <c r="U207" s="33" t="str">
        <f>IFERROR(MasterData!$F207,"")</f>
        <v/>
      </c>
      <c r="V207" s="33" t="str">
        <f>IFERROR(MasterData!$I207,"")</f>
        <v/>
      </c>
      <c r="W207" s="33" t="str">
        <f>IFERROR(MasterData!$H207,"")</f>
        <v/>
      </c>
    </row>
    <row r="208" ht="14.25" customHeight="1">
      <c r="B208" s="59"/>
      <c r="C208" s="59"/>
      <c r="D208" s="59"/>
      <c r="E208" s="59"/>
      <c r="F208" s="59"/>
      <c r="I208" s="59"/>
      <c r="K208" s="59"/>
      <c r="Q208" s="33" t="str">
        <f>IFERROR(MasterData!$B208,"")</f>
        <v/>
      </c>
      <c r="R208" s="33" t="str">
        <f>IFERROR(MasterData!$C208,"")</f>
        <v/>
      </c>
      <c r="S208" s="33" t="str">
        <f>IFERROR(MasterData!$D208,"")</f>
        <v/>
      </c>
      <c r="T208" s="33" t="str">
        <f>IFERROR(MasterData!$E208,"")</f>
        <v/>
      </c>
      <c r="U208" s="33" t="str">
        <f>IFERROR(MasterData!$F208,"")</f>
        <v/>
      </c>
      <c r="V208" s="33" t="str">
        <f>IFERROR(MasterData!$I208,"")</f>
        <v/>
      </c>
      <c r="W208" s="33" t="str">
        <f>IFERROR(MasterData!$H208,"")</f>
        <v/>
      </c>
    </row>
    <row r="209" ht="14.25" customHeight="1">
      <c r="B209" s="59"/>
      <c r="C209" s="59"/>
      <c r="D209" s="59"/>
      <c r="E209" s="59"/>
      <c r="F209" s="59"/>
      <c r="I209" s="59"/>
      <c r="K209" s="59"/>
      <c r="Q209" s="33" t="str">
        <f>IFERROR(MasterData!$B209,"")</f>
        <v/>
      </c>
      <c r="R209" s="33" t="str">
        <f>IFERROR(MasterData!$C209,"")</f>
        <v/>
      </c>
      <c r="S209" s="33" t="str">
        <f>IFERROR(MasterData!$D209,"")</f>
        <v/>
      </c>
      <c r="T209" s="33" t="str">
        <f>IFERROR(MasterData!$E209,"")</f>
        <v/>
      </c>
      <c r="U209" s="33" t="str">
        <f>IFERROR(MasterData!$F209,"")</f>
        <v/>
      </c>
      <c r="V209" s="33" t="str">
        <f>IFERROR(MasterData!$I209,"")</f>
        <v/>
      </c>
      <c r="W209" s="33" t="str">
        <f>IFERROR(MasterData!$H209,"")</f>
        <v/>
      </c>
    </row>
    <row r="210" ht="14.25" customHeight="1">
      <c r="B210" s="59"/>
      <c r="C210" s="59"/>
      <c r="D210" s="59"/>
      <c r="E210" s="59"/>
      <c r="F210" s="59"/>
      <c r="I210" s="59"/>
      <c r="K210" s="59"/>
      <c r="Q210" s="33" t="str">
        <f>IFERROR(MasterData!$B210,"")</f>
        <v/>
      </c>
      <c r="R210" s="33" t="str">
        <f>IFERROR(MasterData!$C210,"")</f>
        <v/>
      </c>
      <c r="S210" s="33" t="str">
        <f>IFERROR(MasterData!$D210,"")</f>
        <v/>
      </c>
      <c r="T210" s="33" t="str">
        <f>IFERROR(MasterData!$E210,"")</f>
        <v/>
      </c>
      <c r="U210" s="33" t="str">
        <f>IFERROR(MasterData!$F210,"")</f>
        <v/>
      </c>
      <c r="V210" s="33" t="str">
        <f>IFERROR(MasterData!$I210,"")</f>
        <v/>
      </c>
      <c r="W210" s="33" t="str">
        <f>IFERROR(MasterData!$H210,"")</f>
        <v/>
      </c>
    </row>
    <row r="211" ht="14.25" customHeight="1">
      <c r="B211" s="59"/>
      <c r="C211" s="59"/>
      <c r="D211" s="59"/>
      <c r="E211" s="59"/>
      <c r="F211" s="59"/>
      <c r="I211" s="59"/>
      <c r="K211" s="59"/>
      <c r="Q211" s="33" t="str">
        <f>IFERROR(MasterData!$B211,"")</f>
        <v/>
      </c>
      <c r="R211" s="33" t="str">
        <f>IFERROR(MasterData!$C211,"")</f>
        <v/>
      </c>
      <c r="S211" s="33" t="str">
        <f>IFERROR(MasterData!$D211,"")</f>
        <v/>
      </c>
      <c r="T211" s="33" t="str">
        <f>IFERROR(MasterData!$E211,"")</f>
        <v/>
      </c>
      <c r="U211" s="33" t="str">
        <f>IFERROR(MasterData!$F211,"")</f>
        <v/>
      </c>
      <c r="V211" s="33" t="str">
        <f>IFERROR(MasterData!$I211,"")</f>
        <v/>
      </c>
      <c r="W211" s="33" t="str">
        <f>IFERROR(MasterData!$H211,"")</f>
        <v/>
      </c>
    </row>
    <row r="212" ht="14.25" customHeight="1">
      <c r="B212" s="59"/>
      <c r="C212" s="59"/>
      <c r="D212" s="59"/>
      <c r="E212" s="59"/>
      <c r="F212" s="59"/>
      <c r="I212" s="59"/>
      <c r="K212" s="59"/>
      <c r="Q212" s="33" t="str">
        <f>IFERROR(MasterData!$B212,"")</f>
        <v/>
      </c>
      <c r="R212" s="33" t="str">
        <f>IFERROR(MasterData!$C212,"")</f>
        <v/>
      </c>
      <c r="S212" s="33" t="str">
        <f>IFERROR(MasterData!$D212,"")</f>
        <v/>
      </c>
      <c r="T212" s="33" t="str">
        <f>IFERROR(MasterData!$E212,"")</f>
        <v/>
      </c>
      <c r="U212" s="33" t="str">
        <f>IFERROR(MasterData!$F212,"")</f>
        <v/>
      </c>
      <c r="V212" s="33" t="str">
        <f>IFERROR(MasterData!$I212,"")</f>
        <v/>
      </c>
      <c r="W212" s="33" t="str">
        <f>IFERROR(MasterData!$H212,"")</f>
        <v/>
      </c>
    </row>
    <row r="213" ht="14.25" customHeight="1">
      <c r="B213" s="59"/>
      <c r="C213" s="59"/>
      <c r="D213" s="59"/>
      <c r="E213" s="59"/>
      <c r="F213" s="59"/>
      <c r="I213" s="59"/>
      <c r="K213" s="59"/>
      <c r="Q213" s="33" t="str">
        <f>IFERROR(MasterData!$B213,"")</f>
        <v/>
      </c>
      <c r="R213" s="33" t="str">
        <f>IFERROR(MasterData!$C213,"")</f>
        <v/>
      </c>
      <c r="S213" s="33" t="str">
        <f>IFERROR(MasterData!$D213,"")</f>
        <v/>
      </c>
      <c r="T213" s="33" t="str">
        <f>IFERROR(MasterData!$E213,"")</f>
        <v/>
      </c>
      <c r="U213" s="33" t="str">
        <f>IFERROR(MasterData!$F213,"")</f>
        <v/>
      </c>
      <c r="V213" s="33" t="str">
        <f>IFERROR(MasterData!$I213,"")</f>
        <v/>
      </c>
      <c r="W213" s="33" t="str">
        <f>IFERROR(MasterData!$H213,"")</f>
        <v/>
      </c>
    </row>
    <row r="214" ht="14.25" customHeight="1">
      <c r="B214" s="59"/>
      <c r="C214" s="59"/>
      <c r="D214" s="59"/>
      <c r="E214" s="59"/>
      <c r="F214" s="59"/>
      <c r="I214" s="59"/>
      <c r="K214" s="59"/>
      <c r="Q214" s="33" t="str">
        <f>IFERROR(MasterData!$B214,"")</f>
        <v/>
      </c>
      <c r="R214" s="33" t="str">
        <f>IFERROR(MasterData!$C214,"")</f>
        <v/>
      </c>
      <c r="S214" s="33" t="str">
        <f>IFERROR(MasterData!$D214,"")</f>
        <v/>
      </c>
      <c r="T214" s="33" t="str">
        <f>IFERROR(MasterData!$E214,"")</f>
        <v/>
      </c>
      <c r="U214" s="33" t="str">
        <f>IFERROR(MasterData!$F214,"")</f>
        <v/>
      </c>
      <c r="V214" s="33" t="str">
        <f>IFERROR(MasterData!$I214,"")</f>
        <v/>
      </c>
      <c r="W214" s="33" t="str">
        <f>IFERROR(MasterData!$H214,"")</f>
        <v/>
      </c>
    </row>
    <row r="215" ht="14.25" customHeight="1">
      <c r="B215" s="59"/>
      <c r="C215" s="59"/>
      <c r="D215" s="59"/>
      <c r="E215" s="59"/>
      <c r="F215" s="59"/>
      <c r="I215" s="59"/>
      <c r="K215" s="59"/>
      <c r="Q215" s="33" t="str">
        <f>IFERROR(MasterData!$B215,"")</f>
        <v/>
      </c>
      <c r="R215" s="33" t="str">
        <f>IFERROR(MasterData!$C215,"")</f>
        <v/>
      </c>
      <c r="S215" s="33" t="str">
        <f>IFERROR(MasterData!$D215,"")</f>
        <v/>
      </c>
      <c r="T215" s="33" t="str">
        <f>IFERROR(MasterData!$E215,"")</f>
        <v/>
      </c>
      <c r="U215" s="33" t="str">
        <f>IFERROR(MasterData!$F215,"")</f>
        <v/>
      </c>
      <c r="V215" s="33" t="str">
        <f>IFERROR(MasterData!$I215,"")</f>
        <v/>
      </c>
      <c r="W215" s="33" t="str">
        <f>IFERROR(MasterData!$H215,"")</f>
        <v/>
      </c>
    </row>
    <row r="216" ht="14.25" customHeight="1">
      <c r="B216" s="59"/>
      <c r="C216" s="59"/>
      <c r="D216" s="59"/>
      <c r="E216" s="59"/>
      <c r="F216" s="59"/>
      <c r="I216" s="59"/>
      <c r="K216" s="59"/>
      <c r="Q216" s="33" t="str">
        <f>IFERROR(MasterData!$B216,"")</f>
        <v/>
      </c>
      <c r="R216" s="33" t="str">
        <f>IFERROR(MasterData!$C216,"")</f>
        <v/>
      </c>
      <c r="S216" s="33" t="str">
        <f>IFERROR(MasterData!$D216,"")</f>
        <v/>
      </c>
      <c r="T216" s="33" t="str">
        <f>IFERROR(MasterData!$E216,"")</f>
        <v/>
      </c>
      <c r="U216" s="33" t="str">
        <f>IFERROR(MasterData!$F216,"")</f>
        <v/>
      </c>
      <c r="V216" s="33" t="str">
        <f>IFERROR(MasterData!$I216,"")</f>
        <v/>
      </c>
      <c r="W216" s="33" t="str">
        <f>IFERROR(MasterData!$H216,"")</f>
        <v/>
      </c>
    </row>
    <row r="217" ht="14.25" customHeight="1">
      <c r="B217" s="59"/>
      <c r="C217" s="59"/>
      <c r="D217" s="59"/>
      <c r="E217" s="59"/>
      <c r="F217" s="59"/>
      <c r="I217" s="59"/>
      <c r="K217" s="59"/>
      <c r="Q217" s="33" t="str">
        <f>IFERROR(MasterData!$B217,"")</f>
        <v/>
      </c>
      <c r="R217" s="33" t="str">
        <f>IFERROR(MasterData!$C217,"")</f>
        <v/>
      </c>
      <c r="S217" s="33" t="str">
        <f>IFERROR(MasterData!$D217,"")</f>
        <v/>
      </c>
      <c r="T217" s="33" t="str">
        <f>IFERROR(MasterData!$E217,"")</f>
        <v/>
      </c>
      <c r="U217" s="33" t="str">
        <f>IFERROR(MasterData!$F217,"")</f>
        <v/>
      </c>
      <c r="V217" s="33" t="str">
        <f>IFERROR(MasterData!$I217,"")</f>
        <v/>
      </c>
      <c r="W217" s="33" t="str">
        <f>IFERROR(MasterData!$H217,"")</f>
        <v/>
      </c>
    </row>
    <row r="218" ht="14.25" customHeight="1">
      <c r="B218" s="59"/>
      <c r="C218" s="59"/>
      <c r="D218" s="59"/>
      <c r="E218" s="59"/>
      <c r="F218" s="59"/>
      <c r="I218" s="59"/>
      <c r="K218" s="59"/>
      <c r="Q218" s="33" t="str">
        <f>IFERROR(MasterData!$B218,"")</f>
        <v/>
      </c>
      <c r="R218" s="33" t="str">
        <f>IFERROR(MasterData!$C218,"")</f>
        <v/>
      </c>
      <c r="S218" s="33" t="str">
        <f>IFERROR(MasterData!$D218,"")</f>
        <v/>
      </c>
      <c r="T218" s="33" t="str">
        <f>IFERROR(MasterData!$E218,"")</f>
        <v/>
      </c>
      <c r="U218" s="33" t="str">
        <f>IFERROR(MasterData!$F218,"")</f>
        <v/>
      </c>
      <c r="V218" s="33" t="str">
        <f>IFERROR(MasterData!$I218,"")</f>
        <v/>
      </c>
      <c r="W218" s="33" t="str">
        <f>IFERROR(MasterData!$H218,"")</f>
        <v/>
      </c>
    </row>
    <row r="219" ht="14.25" customHeight="1">
      <c r="B219" s="59"/>
      <c r="C219" s="59"/>
      <c r="D219" s="59"/>
      <c r="E219" s="59"/>
      <c r="F219" s="59"/>
      <c r="I219" s="59"/>
      <c r="K219" s="59"/>
      <c r="Q219" s="33" t="str">
        <f>IFERROR(MasterData!$B219,"")</f>
        <v/>
      </c>
      <c r="R219" s="33" t="str">
        <f>IFERROR(MasterData!$C219,"")</f>
        <v/>
      </c>
      <c r="S219" s="33" t="str">
        <f>IFERROR(MasterData!$D219,"")</f>
        <v/>
      </c>
      <c r="T219" s="33" t="str">
        <f>IFERROR(MasterData!$E219,"")</f>
        <v/>
      </c>
      <c r="U219" s="33" t="str">
        <f>IFERROR(MasterData!$F219,"")</f>
        <v/>
      </c>
      <c r="V219" s="33" t="str">
        <f>IFERROR(MasterData!$I219,"")</f>
        <v/>
      </c>
      <c r="W219" s="33" t="str">
        <f>IFERROR(MasterData!$H219,"")</f>
        <v/>
      </c>
    </row>
    <row r="220" ht="14.25" customHeight="1">
      <c r="B220" s="59"/>
      <c r="C220" s="59"/>
      <c r="D220" s="59"/>
      <c r="E220" s="59"/>
      <c r="F220" s="59"/>
      <c r="I220" s="59"/>
      <c r="K220" s="59"/>
      <c r="Q220" s="33" t="str">
        <f>IFERROR(MasterData!$B220,"")</f>
        <v/>
      </c>
      <c r="R220" s="33" t="str">
        <f>IFERROR(MasterData!$C220,"")</f>
        <v/>
      </c>
      <c r="S220" s="33" t="str">
        <f>IFERROR(MasterData!$D220,"")</f>
        <v/>
      </c>
      <c r="T220" s="33" t="str">
        <f>IFERROR(MasterData!$E220,"")</f>
        <v/>
      </c>
      <c r="U220" s="33" t="str">
        <f>IFERROR(MasterData!$F220,"")</f>
        <v/>
      </c>
      <c r="V220" s="33" t="str">
        <f>IFERROR(MasterData!$I220,"")</f>
        <v/>
      </c>
      <c r="W220" s="33" t="str">
        <f>IFERROR(MasterData!$H220,"")</f>
        <v/>
      </c>
    </row>
    <row r="221" ht="14.25" customHeight="1">
      <c r="B221" s="59"/>
      <c r="C221" s="59"/>
      <c r="D221" s="59"/>
      <c r="E221" s="59"/>
      <c r="F221" s="59"/>
      <c r="I221" s="59"/>
      <c r="K221" s="59"/>
      <c r="Q221" s="33" t="str">
        <f>IFERROR(MasterData!$B221,"")</f>
        <v/>
      </c>
      <c r="R221" s="33" t="str">
        <f>IFERROR(MasterData!$C221,"")</f>
        <v/>
      </c>
      <c r="S221" s="33" t="str">
        <f>IFERROR(MasterData!$D221,"")</f>
        <v/>
      </c>
      <c r="T221" s="33" t="str">
        <f>IFERROR(MasterData!$E221,"")</f>
        <v/>
      </c>
      <c r="U221" s="33" t="str">
        <f>IFERROR(MasterData!$F221,"")</f>
        <v/>
      </c>
      <c r="V221" s="33" t="str">
        <f>IFERROR(MasterData!$I221,"")</f>
        <v/>
      </c>
      <c r="W221" s="33" t="str">
        <f>IFERROR(MasterData!$H221,"")</f>
        <v/>
      </c>
    </row>
    <row r="222" ht="14.25" customHeight="1">
      <c r="B222" s="59"/>
      <c r="C222" s="59"/>
      <c r="D222" s="59"/>
      <c r="E222" s="59"/>
      <c r="F222" s="59"/>
      <c r="I222" s="59"/>
      <c r="K222" s="59"/>
      <c r="Q222" s="33" t="str">
        <f>IFERROR(MasterData!$B222,"")</f>
        <v/>
      </c>
      <c r="R222" s="33" t="str">
        <f>IFERROR(MasterData!$C222,"")</f>
        <v/>
      </c>
      <c r="S222" s="33" t="str">
        <f>IFERROR(MasterData!$D222,"")</f>
        <v/>
      </c>
      <c r="T222" s="33" t="str">
        <f>IFERROR(MasterData!$E222,"")</f>
        <v/>
      </c>
      <c r="U222" s="33" t="str">
        <f>IFERROR(MasterData!$F222,"")</f>
        <v/>
      </c>
      <c r="V222" s="33" t="str">
        <f>IFERROR(MasterData!$I222,"")</f>
        <v/>
      </c>
      <c r="W222" s="33" t="str">
        <f>IFERROR(MasterData!$H222,"")</f>
        <v/>
      </c>
    </row>
    <row r="223" ht="14.25" customHeight="1">
      <c r="B223" s="59"/>
      <c r="C223" s="59"/>
      <c r="D223" s="59"/>
      <c r="E223" s="59"/>
      <c r="F223" s="59"/>
      <c r="I223" s="59"/>
      <c r="K223" s="59"/>
      <c r="Q223" s="33" t="str">
        <f>IFERROR(MasterData!$B223,"")</f>
        <v/>
      </c>
      <c r="R223" s="33" t="str">
        <f>IFERROR(MasterData!$C223,"")</f>
        <v/>
      </c>
      <c r="S223" s="33" t="str">
        <f>IFERROR(MasterData!$D223,"")</f>
        <v/>
      </c>
      <c r="T223" s="33" t="str">
        <f>IFERROR(MasterData!$E223,"")</f>
        <v/>
      </c>
      <c r="U223" s="33" t="str">
        <f>IFERROR(MasterData!$F223,"")</f>
        <v/>
      </c>
      <c r="V223" s="33" t="str">
        <f>IFERROR(MasterData!$I223,"")</f>
        <v/>
      </c>
      <c r="W223" s="33" t="str">
        <f>IFERROR(MasterData!$H223,"")</f>
        <v/>
      </c>
    </row>
    <row r="224" ht="14.25" customHeight="1">
      <c r="B224" s="59"/>
      <c r="C224" s="59"/>
      <c r="D224" s="59"/>
      <c r="E224" s="59"/>
      <c r="F224" s="59"/>
      <c r="I224" s="59"/>
      <c r="K224" s="59"/>
      <c r="Q224" s="33" t="str">
        <f>IFERROR(MasterData!$B224,"")</f>
        <v/>
      </c>
      <c r="R224" s="33" t="str">
        <f>IFERROR(MasterData!$C224,"")</f>
        <v/>
      </c>
      <c r="S224" s="33" t="str">
        <f>IFERROR(MasterData!$D224,"")</f>
        <v/>
      </c>
      <c r="T224" s="33" t="str">
        <f>IFERROR(MasterData!$E224,"")</f>
        <v/>
      </c>
      <c r="U224" s="33" t="str">
        <f>IFERROR(MasterData!$F224,"")</f>
        <v/>
      </c>
      <c r="V224" s="33" t="str">
        <f>IFERROR(MasterData!$I224,"")</f>
        <v/>
      </c>
      <c r="W224" s="33" t="str">
        <f>IFERROR(MasterData!$H224,"")</f>
        <v/>
      </c>
    </row>
    <row r="225" ht="14.25" customHeight="1">
      <c r="B225" s="59"/>
      <c r="C225" s="59"/>
      <c r="D225" s="59"/>
      <c r="E225" s="59"/>
      <c r="F225" s="59"/>
      <c r="I225" s="59"/>
      <c r="K225" s="59"/>
      <c r="Q225" s="33" t="str">
        <f>IFERROR(MasterData!$B225,"")</f>
        <v/>
      </c>
      <c r="R225" s="33" t="str">
        <f>IFERROR(MasterData!$C225,"")</f>
        <v/>
      </c>
      <c r="S225" s="33" t="str">
        <f>IFERROR(MasterData!$D225,"")</f>
        <v/>
      </c>
      <c r="T225" s="33" t="str">
        <f>IFERROR(MasterData!$E225,"")</f>
        <v/>
      </c>
      <c r="U225" s="33" t="str">
        <f>IFERROR(MasterData!$F225,"")</f>
        <v/>
      </c>
      <c r="V225" s="33" t="str">
        <f>IFERROR(MasterData!$I225,"")</f>
        <v/>
      </c>
      <c r="W225" s="33" t="str">
        <f>IFERROR(MasterData!$H225,"")</f>
        <v/>
      </c>
    </row>
    <row r="226" ht="14.25" customHeight="1">
      <c r="B226" s="59"/>
      <c r="C226" s="59"/>
      <c r="D226" s="59"/>
      <c r="E226" s="59"/>
      <c r="F226" s="59"/>
      <c r="I226" s="59"/>
      <c r="K226" s="59"/>
      <c r="Q226" s="33" t="str">
        <f>IFERROR(MasterData!$B226,"")</f>
        <v/>
      </c>
      <c r="R226" s="33" t="str">
        <f>IFERROR(MasterData!$C226,"")</f>
        <v/>
      </c>
      <c r="S226" s="33" t="str">
        <f>IFERROR(MasterData!$D226,"")</f>
        <v/>
      </c>
      <c r="T226" s="33" t="str">
        <f>IFERROR(MasterData!$E226,"")</f>
        <v/>
      </c>
      <c r="U226" s="33" t="str">
        <f>IFERROR(MasterData!$F226,"")</f>
        <v/>
      </c>
      <c r="V226" s="33" t="str">
        <f>IFERROR(MasterData!$I226,"")</f>
        <v/>
      </c>
      <c r="W226" s="33" t="str">
        <f>IFERROR(MasterData!$H226,"")</f>
        <v/>
      </c>
    </row>
    <row r="227" ht="14.25" customHeight="1">
      <c r="B227" s="59"/>
      <c r="C227" s="59"/>
      <c r="D227" s="59"/>
      <c r="E227" s="59"/>
      <c r="F227" s="59"/>
      <c r="I227" s="59"/>
      <c r="K227" s="59"/>
      <c r="Q227" s="33" t="str">
        <f>IFERROR(MasterData!$B227,"")</f>
        <v/>
      </c>
      <c r="R227" s="33" t="str">
        <f>IFERROR(MasterData!$C227,"")</f>
        <v/>
      </c>
      <c r="S227" s="33" t="str">
        <f>IFERROR(MasterData!$D227,"")</f>
        <v/>
      </c>
      <c r="T227" s="33" t="str">
        <f>IFERROR(MasterData!$E227,"")</f>
        <v/>
      </c>
      <c r="U227" s="33" t="str">
        <f>IFERROR(MasterData!$F227,"")</f>
        <v/>
      </c>
      <c r="V227" s="33" t="str">
        <f>IFERROR(MasterData!$I227,"")</f>
        <v/>
      </c>
      <c r="W227" s="33" t="str">
        <f>IFERROR(MasterData!$H227,"")</f>
        <v/>
      </c>
    </row>
    <row r="228" ht="14.25" customHeight="1">
      <c r="B228" s="59"/>
      <c r="C228" s="59"/>
      <c r="D228" s="59"/>
      <c r="E228" s="59"/>
      <c r="F228" s="59"/>
      <c r="I228" s="59"/>
      <c r="K228" s="59"/>
      <c r="Q228" s="33" t="str">
        <f>IFERROR(MasterData!$B228,"")</f>
        <v/>
      </c>
      <c r="R228" s="33" t="str">
        <f>IFERROR(MasterData!$C228,"")</f>
        <v/>
      </c>
      <c r="S228" s="33" t="str">
        <f>IFERROR(MasterData!$D228,"")</f>
        <v/>
      </c>
      <c r="T228" s="33" t="str">
        <f>IFERROR(MasterData!$E228,"")</f>
        <v/>
      </c>
      <c r="U228" s="33" t="str">
        <f>IFERROR(MasterData!$F228,"")</f>
        <v/>
      </c>
      <c r="V228" s="33" t="str">
        <f>IFERROR(MasterData!$I228,"")</f>
        <v/>
      </c>
      <c r="W228" s="33" t="str">
        <f>IFERROR(MasterData!$H228,"")</f>
        <v/>
      </c>
    </row>
    <row r="229" ht="14.25" customHeight="1">
      <c r="B229" s="59"/>
      <c r="C229" s="59"/>
      <c r="D229" s="59"/>
      <c r="E229" s="59"/>
      <c r="F229" s="59"/>
      <c r="I229" s="59"/>
      <c r="K229" s="59"/>
      <c r="Q229" s="33" t="str">
        <f>IFERROR(MasterData!$B229,"")</f>
        <v/>
      </c>
      <c r="R229" s="33" t="str">
        <f>IFERROR(MasterData!$C229,"")</f>
        <v/>
      </c>
      <c r="S229" s="33" t="str">
        <f>IFERROR(MasterData!$D229,"")</f>
        <v/>
      </c>
      <c r="T229" s="33" t="str">
        <f>IFERROR(MasterData!$E229,"")</f>
        <v/>
      </c>
      <c r="U229" s="33" t="str">
        <f>IFERROR(MasterData!$F229,"")</f>
        <v/>
      </c>
      <c r="V229" s="33" t="str">
        <f>IFERROR(MasterData!$I229,"")</f>
        <v/>
      </c>
      <c r="W229" s="33" t="str">
        <f>IFERROR(MasterData!$H229,"")</f>
        <v/>
      </c>
    </row>
    <row r="230" ht="14.25" customHeight="1">
      <c r="B230" s="59"/>
      <c r="C230" s="59"/>
      <c r="D230" s="59"/>
      <c r="E230" s="59"/>
      <c r="F230" s="59"/>
      <c r="I230" s="59"/>
      <c r="K230" s="59"/>
      <c r="Q230" s="33" t="str">
        <f>IFERROR(MasterData!$B230,"")</f>
        <v/>
      </c>
      <c r="R230" s="33" t="str">
        <f>IFERROR(MasterData!$C230,"")</f>
        <v/>
      </c>
      <c r="S230" s="33" t="str">
        <f>IFERROR(MasterData!$D230,"")</f>
        <v/>
      </c>
      <c r="T230" s="33" t="str">
        <f>IFERROR(MasterData!$E230,"")</f>
        <v/>
      </c>
      <c r="U230" s="33" t="str">
        <f>IFERROR(MasterData!$F230,"")</f>
        <v/>
      </c>
      <c r="V230" s="33" t="str">
        <f>IFERROR(MasterData!$I230,"")</f>
        <v/>
      </c>
      <c r="W230" s="33" t="str">
        <f>IFERROR(MasterData!$H230,"")</f>
        <v/>
      </c>
    </row>
    <row r="231" ht="14.25" customHeight="1">
      <c r="B231" s="59"/>
      <c r="C231" s="59"/>
      <c r="D231" s="59"/>
      <c r="E231" s="59"/>
      <c r="F231" s="59"/>
      <c r="I231" s="59"/>
      <c r="K231" s="59"/>
      <c r="Q231" s="33" t="str">
        <f>IFERROR(MasterData!$B231,"")</f>
        <v/>
      </c>
      <c r="R231" s="33" t="str">
        <f>IFERROR(MasterData!$C231,"")</f>
        <v/>
      </c>
      <c r="S231" s="33" t="str">
        <f>IFERROR(MasterData!$D231,"")</f>
        <v/>
      </c>
      <c r="T231" s="33" t="str">
        <f>IFERROR(MasterData!$E231,"")</f>
        <v/>
      </c>
      <c r="U231" s="33" t="str">
        <f>IFERROR(MasterData!$F231,"")</f>
        <v/>
      </c>
      <c r="V231" s="33" t="str">
        <f>IFERROR(MasterData!$I231,"")</f>
        <v/>
      </c>
      <c r="W231" s="33" t="str">
        <f>IFERROR(MasterData!$H231,"")</f>
        <v/>
      </c>
    </row>
    <row r="232" ht="14.25" customHeight="1">
      <c r="B232" s="59"/>
      <c r="C232" s="59"/>
      <c r="D232" s="59"/>
      <c r="E232" s="59"/>
      <c r="F232" s="59"/>
      <c r="I232" s="59"/>
      <c r="K232" s="59"/>
      <c r="Q232" s="33" t="str">
        <f>IFERROR(MasterData!$B232,"")</f>
        <v/>
      </c>
      <c r="R232" s="33" t="str">
        <f>IFERROR(MasterData!$C232,"")</f>
        <v/>
      </c>
      <c r="S232" s="33" t="str">
        <f>IFERROR(MasterData!$D232,"")</f>
        <v/>
      </c>
      <c r="T232" s="33" t="str">
        <f>IFERROR(MasterData!$E232,"")</f>
        <v/>
      </c>
      <c r="U232" s="33" t="str">
        <f>IFERROR(MasterData!$F232,"")</f>
        <v/>
      </c>
      <c r="V232" s="33" t="str">
        <f>IFERROR(MasterData!$I232,"")</f>
        <v/>
      </c>
      <c r="W232" s="33" t="str">
        <f>IFERROR(MasterData!$H232,"")</f>
        <v/>
      </c>
    </row>
    <row r="233" ht="14.25" customHeight="1">
      <c r="B233" s="59"/>
      <c r="C233" s="59"/>
      <c r="D233" s="59"/>
      <c r="E233" s="59"/>
      <c r="F233" s="59"/>
      <c r="I233" s="59"/>
      <c r="K233" s="59"/>
      <c r="Q233" s="33" t="str">
        <f>IFERROR(MasterData!$B233,"")</f>
        <v/>
      </c>
      <c r="R233" s="33" t="str">
        <f>IFERROR(MasterData!$C233,"")</f>
        <v/>
      </c>
      <c r="S233" s="33" t="str">
        <f>IFERROR(MasterData!$D233,"")</f>
        <v/>
      </c>
      <c r="T233" s="33" t="str">
        <f>IFERROR(MasterData!$E233,"")</f>
        <v/>
      </c>
      <c r="U233" s="33" t="str">
        <f>IFERROR(MasterData!$F233,"")</f>
        <v/>
      </c>
      <c r="V233" s="33" t="str">
        <f>IFERROR(MasterData!$I233,"")</f>
        <v/>
      </c>
      <c r="W233" s="33" t="str">
        <f>IFERROR(MasterData!$H233,"")</f>
        <v/>
      </c>
    </row>
    <row r="234" ht="14.25" customHeight="1">
      <c r="B234" s="59"/>
      <c r="C234" s="59"/>
      <c r="D234" s="59"/>
      <c r="E234" s="59"/>
      <c r="F234" s="59"/>
      <c r="I234" s="59"/>
      <c r="K234" s="59"/>
      <c r="Q234" s="33" t="str">
        <f>IFERROR(MasterData!$B234,"")</f>
        <v/>
      </c>
      <c r="R234" s="33" t="str">
        <f>IFERROR(MasterData!$C234,"")</f>
        <v/>
      </c>
      <c r="S234" s="33" t="str">
        <f>IFERROR(MasterData!$D234,"")</f>
        <v/>
      </c>
      <c r="T234" s="33" t="str">
        <f>IFERROR(MasterData!$E234,"")</f>
        <v/>
      </c>
      <c r="U234" s="33" t="str">
        <f>IFERROR(MasterData!$F234,"")</f>
        <v/>
      </c>
      <c r="V234" s="33" t="str">
        <f>IFERROR(MasterData!$I234,"")</f>
        <v/>
      </c>
      <c r="W234" s="33" t="str">
        <f>IFERROR(MasterData!$H234,"")</f>
        <v/>
      </c>
    </row>
    <row r="235" ht="14.25" customHeight="1">
      <c r="B235" s="59"/>
      <c r="C235" s="59"/>
      <c r="D235" s="59"/>
      <c r="E235" s="59"/>
      <c r="F235" s="59"/>
      <c r="I235" s="59"/>
      <c r="K235" s="59"/>
      <c r="Q235" s="33" t="str">
        <f>IFERROR(MasterData!$B235,"")</f>
        <v/>
      </c>
      <c r="R235" s="33" t="str">
        <f>IFERROR(MasterData!$C235,"")</f>
        <v/>
      </c>
      <c r="S235" s="33" t="str">
        <f>IFERROR(MasterData!$D235,"")</f>
        <v/>
      </c>
      <c r="T235" s="33" t="str">
        <f>IFERROR(MasterData!$E235,"")</f>
        <v/>
      </c>
      <c r="U235" s="33" t="str">
        <f>IFERROR(MasterData!$F235,"")</f>
        <v/>
      </c>
      <c r="V235" s="33" t="str">
        <f>IFERROR(MasterData!$I235,"")</f>
        <v/>
      </c>
      <c r="W235" s="33" t="str">
        <f>IFERROR(MasterData!$H235,"")</f>
        <v/>
      </c>
    </row>
    <row r="236" ht="14.25" customHeight="1">
      <c r="B236" s="59"/>
      <c r="C236" s="59"/>
      <c r="D236" s="59"/>
      <c r="E236" s="59"/>
      <c r="F236" s="59"/>
      <c r="I236" s="59"/>
      <c r="K236" s="59"/>
      <c r="Q236" s="33" t="str">
        <f>IFERROR(MasterData!$B236,"")</f>
        <v/>
      </c>
      <c r="R236" s="33" t="str">
        <f>IFERROR(MasterData!$C236,"")</f>
        <v/>
      </c>
      <c r="S236" s="33" t="str">
        <f>IFERROR(MasterData!$D236,"")</f>
        <v/>
      </c>
      <c r="T236" s="33" t="str">
        <f>IFERROR(MasterData!$E236,"")</f>
        <v/>
      </c>
      <c r="U236" s="33" t="str">
        <f>IFERROR(MasterData!$F236,"")</f>
        <v/>
      </c>
      <c r="V236" s="33" t="str">
        <f>IFERROR(MasterData!$I236,"")</f>
        <v/>
      </c>
      <c r="W236" s="33" t="str">
        <f>IFERROR(MasterData!$H236,"")</f>
        <v/>
      </c>
    </row>
    <row r="237" ht="14.25" customHeight="1">
      <c r="B237" s="59"/>
      <c r="C237" s="59"/>
      <c r="D237" s="59"/>
      <c r="E237" s="59"/>
      <c r="F237" s="59"/>
      <c r="I237" s="59"/>
      <c r="K237" s="59"/>
      <c r="Q237" s="33" t="str">
        <f>IFERROR(MasterData!$B237,"")</f>
        <v/>
      </c>
      <c r="R237" s="33" t="str">
        <f>IFERROR(MasterData!$C237,"")</f>
        <v/>
      </c>
      <c r="S237" s="33" t="str">
        <f>IFERROR(MasterData!$D237,"")</f>
        <v/>
      </c>
      <c r="T237" s="33" t="str">
        <f>IFERROR(MasterData!$E237,"")</f>
        <v/>
      </c>
      <c r="U237" s="33" t="str">
        <f>IFERROR(MasterData!$F237,"")</f>
        <v/>
      </c>
      <c r="V237" s="33" t="str">
        <f>IFERROR(MasterData!$I237,"")</f>
        <v/>
      </c>
      <c r="W237" s="33" t="str">
        <f>IFERROR(MasterData!$H237,"")</f>
        <v/>
      </c>
    </row>
    <row r="238" ht="14.25" customHeight="1">
      <c r="B238" s="59"/>
      <c r="C238" s="59"/>
      <c r="D238" s="59"/>
      <c r="E238" s="59"/>
      <c r="F238" s="59"/>
      <c r="I238" s="59"/>
      <c r="K238" s="59"/>
      <c r="Q238" s="33" t="str">
        <f>IFERROR(MasterData!$B238,"")</f>
        <v/>
      </c>
      <c r="R238" s="33" t="str">
        <f>IFERROR(MasterData!$C238,"")</f>
        <v/>
      </c>
      <c r="S238" s="33" t="str">
        <f>IFERROR(MasterData!$D238,"")</f>
        <v/>
      </c>
      <c r="T238" s="33" t="str">
        <f>IFERROR(MasterData!$E238,"")</f>
        <v/>
      </c>
      <c r="U238" s="33" t="str">
        <f>IFERROR(MasterData!$F238,"")</f>
        <v/>
      </c>
      <c r="V238" s="33" t="str">
        <f>IFERROR(MasterData!$I238,"")</f>
        <v/>
      </c>
      <c r="W238" s="33" t="str">
        <f>IFERROR(MasterData!$H238,"")</f>
        <v/>
      </c>
    </row>
    <row r="239" ht="14.25" customHeight="1">
      <c r="B239" s="59"/>
      <c r="C239" s="59"/>
      <c r="D239" s="59"/>
      <c r="E239" s="59"/>
      <c r="F239" s="59"/>
      <c r="I239" s="59"/>
      <c r="K239" s="59"/>
      <c r="Q239" s="33" t="str">
        <f>IFERROR(MasterData!$B239,"")</f>
        <v/>
      </c>
      <c r="R239" s="33" t="str">
        <f>IFERROR(MasterData!$C239,"")</f>
        <v/>
      </c>
      <c r="S239" s="33" t="str">
        <f>IFERROR(MasterData!$D239,"")</f>
        <v/>
      </c>
      <c r="T239" s="33" t="str">
        <f>IFERROR(MasterData!$E239,"")</f>
        <v/>
      </c>
      <c r="U239" s="33" t="str">
        <f>IFERROR(MasterData!$F239,"")</f>
        <v/>
      </c>
      <c r="V239" s="33" t="str">
        <f>IFERROR(MasterData!$I239,"")</f>
        <v/>
      </c>
      <c r="W239" s="33" t="str">
        <f>IFERROR(MasterData!$H239,"")</f>
        <v/>
      </c>
    </row>
    <row r="240" ht="14.25" customHeight="1">
      <c r="B240" s="59"/>
      <c r="C240" s="59"/>
      <c r="D240" s="59"/>
      <c r="E240" s="59"/>
      <c r="F240" s="59"/>
      <c r="I240" s="59"/>
      <c r="K240" s="59"/>
      <c r="Q240" s="33" t="str">
        <f>IFERROR(MasterData!$B240,"")</f>
        <v/>
      </c>
      <c r="R240" s="33" t="str">
        <f>IFERROR(MasterData!$C240,"")</f>
        <v/>
      </c>
      <c r="S240" s="33" t="str">
        <f>IFERROR(MasterData!$D240,"")</f>
        <v/>
      </c>
      <c r="T240" s="33" t="str">
        <f>IFERROR(MasterData!$E240,"")</f>
        <v/>
      </c>
      <c r="U240" s="33" t="str">
        <f>IFERROR(MasterData!$F240,"")</f>
        <v/>
      </c>
      <c r="V240" s="33" t="str">
        <f>IFERROR(MasterData!$I240,"")</f>
        <v/>
      </c>
      <c r="W240" s="33" t="str">
        <f>IFERROR(MasterData!$H240,"")</f>
        <v/>
      </c>
    </row>
    <row r="241" ht="14.25" customHeight="1">
      <c r="B241" s="59"/>
      <c r="C241" s="59"/>
      <c r="D241" s="59"/>
      <c r="E241" s="59"/>
      <c r="F241" s="59"/>
      <c r="I241" s="59"/>
      <c r="K241" s="59"/>
      <c r="Q241" s="33" t="str">
        <f>IFERROR(MasterData!$B241,"")</f>
        <v/>
      </c>
      <c r="R241" s="33" t="str">
        <f>IFERROR(MasterData!$C241,"")</f>
        <v/>
      </c>
      <c r="S241" s="33" t="str">
        <f>IFERROR(MasterData!$D241,"")</f>
        <v/>
      </c>
      <c r="T241" s="33" t="str">
        <f>IFERROR(MasterData!$E241,"")</f>
        <v/>
      </c>
      <c r="U241" s="33" t="str">
        <f>IFERROR(MasterData!$F241,"")</f>
        <v/>
      </c>
      <c r="V241" s="33" t="str">
        <f>IFERROR(MasterData!$I241,"")</f>
        <v/>
      </c>
      <c r="W241" s="33" t="str">
        <f>IFERROR(MasterData!$H241,"")</f>
        <v/>
      </c>
    </row>
    <row r="242" ht="14.25" customHeight="1">
      <c r="B242" s="59"/>
      <c r="C242" s="59"/>
      <c r="D242" s="59"/>
      <c r="E242" s="59"/>
      <c r="F242" s="59"/>
      <c r="I242" s="59"/>
      <c r="K242" s="59"/>
      <c r="Q242" s="33" t="str">
        <f>IFERROR(MasterData!$B242,"")</f>
        <v/>
      </c>
      <c r="R242" s="33" t="str">
        <f>IFERROR(MasterData!$C242,"")</f>
        <v/>
      </c>
      <c r="S242" s="33" t="str">
        <f>IFERROR(MasterData!$D242,"")</f>
        <v/>
      </c>
      <c r="T242" s="33" t="str">
        <f>IFERROR(MasterData!$E242,"")</f>
        <v/>
      </c>
      <c r="U242" s="33" t="str">
        <f>IFERROR(MasterData!$F242,"")</f>
        <v/>
      </c>
      <c r="V242" s="33" t="str">
        <f>IFERROR(MasterData!$I242,"")</f>
        <v/>
      </c>
      <c r="W242" s="33" t="str">
        <f>IFERROR(MasterData!$H242,"")</f>
        <v/>
      </c>
    </row>
    <row r="243" ht="14.25" customHeight="1">
      <c r="B243" s="59"/>
      <c r="C243" s="59"/>
      <c r="D243" s="59"/>
      <c r="E243" s="59"/>
      <c r="F243" s="59"/>
      <c r="I243" s="59"/>
      <c r="K243" s="59"/>
      <c r="Q243" s="33" t="str">
        <f>IFERROR(MasterData!$B243,"")</f>
        <v/>
      </c>
      <c r="R243" s="33" t="str">
        <f>IFERROR(MasterData!$C243,"")</f>
        <v/>
      </c>
      <c r="S243" s="33" t="str">
        <f>IFERROR(MasterData!$D243,"")</f>
        <v/>
      </c>
      <c r="T243" s="33" t="str">
        <f>IFERROR(MasterData!$E243,"")</f>
        <v/>
      </c>
      <c r="U243" s="33" t="str">
        <f>IFERROR(MasterData!$F243,"")</f>
        <v/>
      </c>
      <c r="V243" s="33" t="str">
        <f>IFERROR(MasterData!$I243,"")</f>
        <v/>
      </c>
      <c r="W243" s="33" t="str">
        <f>IFERROR(MasterData!$H243,"")</f>
        <v/>
      </c>
    </row>
    <row r="244" ht="14.25" customHeight="1">
      <c r="B244" s="59"/>
      <c r="C244" s="59"/>
      <c r="D244" s="59"/>
      <c r="E244" s="59"/>
      <c r="F244" s="59"/>
      <c r="I244" s="59"/>
      <c r="K244" s="59"/>
      <c r="Q244" s="33" t="str">
        <f>IFERROR(MasterData!$B244,"")</f>
        <v/>
      </c>
      <c r="R244" s="33" t="str">
        <f>IFERROR(MasterData!$C244,"")</f>
        <v/>
      </c>
      <c r="S244" s="33" t="str">
        <f>IFERROR(MasterData!$D244,"")</f>
        <v/>
      </c>
      <c r="T244" s="33" t="str">
        <f>IFERROR(MasterData!$E244,"")</f>
        <v/>
      </c>
      <c r="U244" s="33" t="str">
        <f>IFERROR(MasterData!$F244,"")</f>
        <v/>
      </c>
      <c r="V244" s="33" t="str">
        <f>IFERROR(MasterData!$I244,"")</f>
        <v/>
      </c>
      <c r="W244" s="33" t="str">
        <f>IFERROR(MasterData!$H244,"")</f>
        <v/>
      </c>
    </row>
    <row r="245" ht="14.25" customHeight="1">
      <c r="B245" s="59"/>
      <c r="C245" s="59"/>
      <c r="D245" s="59"/>
      <c r="E245" s="59"/>
      <c r="F245" s="59"/>
      <c r="I245" s="59"/>
      <c r="K245" s="59"/>
      <c r="Q245" s="33" t="str">
        <f>IFERROR(MasterData!$B245,"")</f>
        <v/>
      </c>
      <c r="R245" s="33" t="str">
        <f>IFERROR(MasterData!$C245,"")</f>
        <v/>
      </c>
      <c r="S245" s="33" t="str">
        <f>IFERROR(MasterData!$D245,"")</f>
        <v/>
      </c>
      <c r="T245" s="33" t="str">
        <f>IFERROR(MasterData!$E245,"")</f>
        <v/>
      </c>
      <c r="U245" s="33" t="str">
        <f>IFERROR(MasterData!$F245,"")</f>
        <v/>
      </c>
      <c r="V245" s="33" t="str">
        <f>IFERROR(MasterData!$I245,"")</f>
        <v/>
      </c>
      <c r="W245" s="33" t="str">
        <f>IFERROR(MasterData!$H245,"")</f>
        <v/>
      </c>
    </row>
    <row r="246" ht="14.25" customHeight="1">
      <c r="B246" s="59"/>
      <c r="C246" s="59"/>
      <c r="D246" s="59"/>
      <c r="E246" s="59"/>
      <c r="F246" s="59"/>
      <c r="I246" s="59"/>
      <c r="K246" s="59"/>
      <c r="Q246" s="33" t="str">
        <f>IFERROR(MasterData!$B246,"")</f>
        <v/>
      </c>
      <c r="R246" s="33" t="str">
        <f>IFERROR(MasterData!$C246,"")</f>
        <v/>
      </c>
      <c r="S246" s="33" t="str">
        <f>IFERROR(MasterData!$D246,"")</f>
        <v/>
      </c>
      <c r="T246" s="33" t="str">
        <f>IFERROR(MasterData!$E246,"")</f>
        <v/>
      </c>
      <c r="U246" s="33" t="str">
        <f>IFERROR(MasterData!$F246,"")</f>
        <v/>
      </c>
      <c r="V246" s="33" t="str">
        <f>IFERROR(MasterData!$I246,"")</f>
        <v/>
      </c>
      <c r="W246" s="33" t="str">
        <f>IFERROR(MasterData!$H246,"")</f>
        <v/>
      </c>
    </row>
    <row r="247" ht="14.25" customHeight="1">
      <c r="B247" s="59"/>
      <c r="C247" s="59"/>
      <c r="D247" s="59"/>
      <c r="E247" s="59"/>
      <c r="F247" s="59"/>
      <c r="I247" s="59"/>
      <c r="K247" s="59"/>
      <c r="Q247" s="33" t="str">
        <f>IFERROR(MasterData!$B247,"")</f>
        <v/>
      </c>
      <c r="R247" s="33" t="str">
        <f>IFERROR(MasterData!$C247,"")</f>
        <v/>
      </c>
      <c r="S247" s="33" t="str">
        <f>IFERROR(MasterData!$D247,"")</f>
        <v/>
      </c>
      <c r="T247" s="33" t="str">
        <f>IFERROR(MasterData!$E247,"")</f>
        <v/>
      </c>
      <c r="U247" s="33" t="str">
        <f>IFERROR(MasterData!$F247,"")</f>
        <v/>
      </c>
      <c r="V247" s="33" t="str">
        <f>IFERROR(MasterData!$I247,"")</f>
        <v/>
      </c>
      <c r="W247" s="33" t="str">
        <f>IFERROR(MasterData!$H247,"")</f>
        <v/>
      </c>
    </row>
    <row r="248" ht="14.25" customHeight="1">
      <c r="B248" s="59"/>
      <c r="C248" s="59"/>
      <c r="D248" s="59"/>
      <c r="E248" s="59"/>
      <c r="F248" s="59"/>
      <c r="I248" s="59"/>
      <c r="K248" s="59"/>
      <c r="Q248" s="33" t="str">
        <f>IFERROR(MasterData!$B248,"")</f>
        <v/>
      </c>
      <c r="R248" s="33" t="str">
        <f>IFERROR(MasterData!$C248,"")</f>
        <v/>
      </c>
      <c r="S248" s="33" t="str">
        <f>IFERROR(MasterData!$D248,"")</f>
        <v/>
      </c>
      <c r="T248" s="33" t="str">
        <f>IFERROR(MasterData!$E248,"")</f>
        <v/>
      </c>
      <c r="U248" s="33" t="str">
        <f>IFERROR(MasterData!$F248,"")</f>
        <v/>
      </c>
      <c r="V248" s="33" t="str">
        <f>IFERROR(MasterData!$I248,"")</f>
        <v/>
      </c>
      <c r="W248" s="33" t="str">
        <f>IFERROR(MasterData!$H248,"")</f>
        <v/>
      </c>
    </row>
    <row r="249" ht="14.25" customHeight="1">
      <c r="B249" s="59"/>
      <c r="C249" s="59"/>
      <c r="D249" s="59"/>
      <c r="E249" s="59"/>
      <c r="F249" s="59"/>
      <c r="I249" s="59"/>
      <c r="K249" s="59"/>
      <c r="Q249" s="33" t="str">
        <f>IFERROR(MasterData!$B249,"")</f>
        <v/>
      </c>
      <c r="R249" s="33" t="str">
        <f>IFERROR(MasterData!$C249,"")</f>
        <v/>
      </c>
      <c r="S249" s="33" t="str">
        <f>IFERROR(MasterData!$D249,"")</f>
        <v/>
      </c>
      <c r="T249" s="33" t="str">
        <f>IFERROR(MasterData!$E249,"")</f>
        <v/>
      </c>
      <c r="U249" s="33" t="str">
        <f>IFERROR(MasterData!$F249,"")</f>
        <v/>
      </c>
      <c r="V249" s="33" t="str">
        <f>IFERROR(MasterData!$I249,"")</f>
        <v/>
      </c>
      <c r="W249" s="33" t="str">
        <f>IFERROR(MasterData!$H249,"")</f>
        <v/>
      </c>
    </row>
    <row r="250" ht="14.25" customHeight="1">
      <c r="B250" s="59"/>
      <c r="C250" s="59"/>
      <c r="D250" s="59"/>
      <c r="E250" s="59"/>
      <c r="F250" s="59"/>
      <c r="I250" s="59"/>
      <c r="K250" s="59"/>
      <c r="Q250" s="33" t="str">
        <f>IFERROR(MasterData!$B250,"")</f>
        <v/>
      </c>
      <c r="R250" s="33" t="str">
        <f>IFERROR(MasterData!$C250,"")</f>
        <v/>
      </c>
      <c r="S250" s="33" t="str">
        <f>IFERROR(MasterData!$D250,"")</f>
        <v/>
      </c>
      <c r="T250" s="33" t="str">
        <f>IFERROR(MasterData!$E250,"")</f>
        <v/>
      </c>
      <c r="U250" s="33" t="str">
        <f>IFERROR(MasterData!$F250,"")</f>
        <v/>
      </c>
      <c r="V250" s="33" t="str">
        <f>IFERROR(MasterData!$I250,"")</f>
        <v/>
      </c>
      <c r="W250" s="33" t="str">
        <f>IFERROR(MasterData!$H250,"")</f>
        <v/>
      </c>
    </row>
    <row r="251" ht="14.25" customHeight="1">
      <c r="B251" s="59"/>
      <c r="C251" s="59"/>
      <c r="D251" s="59"/>
      <c r="E251" s="59"/>
      <c r="F251" s="59"/>
      <c r="I251" s="59"/>
      <c r="K251" s="59"/>
      <c r="Q251" s="33" t="str">
        <f>IFERROR(MasterData!$B251,"")</f>
        <v/>
      </c>
      <c r="R251" s="33" t="str">
        <f>IFERROR(MasterData!$C251,"")</f>
        <v/>
      </c>
      <c r="S251" s="33" t="str">
        <f>IFERROR(MasterData!$D251,"")</f>
        <v/>
      </c>
      <c r="T251" s="33" t="str">
        <f>IFERROR(MasterData!$E251,"")</f>
        <v/>
      </c>
      <c r="U251" s="33" t="str">
        <f>IFERROR(MasterData!$F251,"")</f>
        <v/>
      </c>
      <c r="V251" s="33" t="str">
        <f>IFERROR(MasterData!$I251,"")</f>
        <v/>
      </c>
      <c r="W251" s="33" t="str">
        <f>IFERROR(MasterData!$H251,"")</f>
        <v/>
      </c>
    </row>
    <row r="252" ht="14.25" customHeight="1">
      <c r="B252" s="59"/>
      <c r="C252" s="59"/>
      <c r="D252" s="59"/>
      <c r="E252" s="59"/>
      <c r="F252" s="59"/>
      <c r="I252" s="59"/>
      <c r="K252" s="59"/>
      <c r="Q252" s="33" t="str">
        <f>IFERROR(MasterData!$B252,"")</f>
        <v/>
      </c>
      <c r="R252" s="33" t="str">
        <f>IFERROR(MasterData!$C252,"")</f>
        <v/>
      </c>
      <c r="S252" s="33" t="str">
        <f>IFERROR(MasterData!$D252,"")</f>
        <v/>
      </c>
      <c r="T252" s="33" t="str">
        <f>IFERROR(MasterData!$E252,"")</f>
        <v/>
      </c>
      <c r="U252" s="33" t="str">
        <f>IFERROR(MasterData!$F252,"")</f>
        <v/>
      </c>
      <c r="V252" s="33" t="str">
        <f>IFERROR(MasterData!$I252,"")</f>
        <v/>
      </c>
      <c r="W252" s="33" t="str">
        <f>IFERROR(MasterData!$H252,"")</f>
        <v/>
      </c>
    </row>
    <row r="253" ht="14.25" customHeight="1">
      <c r="B253" s="59"/>
      <c r="C253" s="59"/>
      <c r="D253" s="59"/>
      <c r="E253" s="59"/>
      <c r="F253" s="59"/>
      <c r="I253" s="59"/>
      <c r="K253" s="59"/>
      <c r="Q253" s="33" t="str">
        <f>IFERROR(MasterData!$B253,"")</f>
        <v/>
      </c>
      <c r="R253" s="33" t="str">
        <f>IFERROR(MasterData!$C253,"")</f>
        <v/>
      </c>
      <c r="S253" s="33" t="str">
        <f>IFERROR(MasterData!$D253,"")</f>
        <v/>
      </c>
      <c r="T253" s="33" t="str">
        <f>IFERROR(MasterData!$E253,"")</f>
        <v/>
      </c>
      <c r="U253" s="33" t="str">
        <f>IFERROR(MasterData!$F253,"")</f>
        <v/>
      </c>
      <c r="V253" s="33" t="str">
        <f>IFERROR(MasterData!$I253,"")</f>
        <v/>
      </c>
      <c r="W253" s="33" t="str">
        <f>IFERROR(MasterData!$H253,"")</f>
        <v/>
      </c>
    </row>
    <row r="254" ht="14.25" customHeight="1">
      <c r="B254" s="59"/>
      <c r="C254" s="59"/>
      <c r="D254" s="59"/>
      <c r="E254" s="59"/>
      <c r="F254" s="59"/>
      <c r="I254" s="59"/>
      <c r="K254" s="59"/>
      <c r="Q254" s="33" t="str">
        <f>IFERROR(MasterData!$B254,"")</f>
        <v/>
      </c>
      <c r="R254" s="33" t="str">
        <f>IFERROR(MasterData!$C254,"")</f>
        <v/>
      </c>
      <c r="S254" s="33" t="str">
        <f>IFERROR(MasterData!$D254,"")</f>
        <v/>
      </c>
      <c r="T254" s="33" t="str">
        <f>IFERROR(MasterData!$E254,"")</f>
        <v/>
      </c>
      <c r="U254" s="33" t="str">
        <f>IFERROR(MasterData!$F254,"")</f>
        <v/>
      </c>
      <c r="V254" s="33" t="str">
        <f>IFERROR(MasterData!$I254,"")</f>
        <v/>
      </c>
      <c r="W254" s="33" t="str">
        <f>IFERROR(MasterData!$H254,"")</f>
        <v/>
      </c>
    </row>
    <row r="255" ht="14.25" customHeight="1">
      <c r="B255" s="59"/>
      <c r="C255" s="59"/>
      <c r="D255" s="59"/>
      <c r="E255" s="59"/>
      <c r="F255" s="59"/>
      <c r="I255" s="59"/>
      <c r="K255" s="59"/>
      <c r="Q255" s="33" t="str">
        <f>IFERROR(MasterData!$B255,"")</f>
        <v/>
      </c>
      <c r="R255" s="33" t="str">
        <f>IFERROR(MasterData!$C255,"")</f>
        <v/>
      </c>
      <c r="S255" s="33" t="str">
        <f>IFERROR(MasterData!$D255,"")</f>
        <v/>
      </c>
      <c r="T255" s="33" t="str">
        <f>IFERROR(MasterData!$E255,"")</f>
        <v/>
      </c>
      <c r="U255" s="33" t="str">
        <f>IFERROR(MasterData!$F255,"")</f>
        <v/>
      </c>
      <c r="V255" s="33" t="str">
        <f>IFERROR(MasterData!$I255,"")</f>
        <v/>
      </c>
      <c r="W255" s="33" t="str">
        <f>IFERROR(MasterData!$H255,"")</f>
        <v/>
      </c>
    </row>
    <row r="256" ht="14.25" customHeight="1">
      <c r="B256" s="59"/>
      <c r="C256" s="59"/>
      <c r="D256" s="59"/>
      <c r="E256" s="59"/>
      <c r="F256" s="59"/>
      <c r="I256" s="59"/>
      <c r="K256" s="59"/>
      <c r="Q256" s="33" t="str">
        <f>IFERROR(MasterData!$B256,"")</f>
        <v/>
      </c>
      <c r="R256" s="33" t="str">
        <f>IFERROR(MasterData!$C256,"")</f>
        <v/>
      </c>
      <c r="S256" s="33" t="str">
        <f>IFERROR(MasterData!$D256,"")</f>
        <v/>
      </c>
      <c r="T256" s="33" t="str">
        <f>IFERROR(MasterData!$E256,"")</f>
        <v/>
      </c>
      <c r="U256" s="33" t="str">
        <f>IFERROR(MasterData!$F256,"")</f>
        <v/>
      </c>
      <c r="V256" s="33" t="str">
        <f>IFERROR(MasterData!$I256,"")</f>
        <v/>
      </c>
      <c r="W256" s="33" t="str">
        <f>IFERROR(MasterData!$H256,"")</f>
        <v/>
      </c>
    </row>
    <row r="257" ht="14.25" customHeight="1">
      <c r="B257" s="59"/>
      <c r="C257" s="59"/>
      <c r="D257" s="59"/>
      <c r="E257" s="59"/>
      <c r="F257" s="59"/>
      <c r="I257" s="59"/>
      <c r="K257" s="59"/>
      <c r="Q257" s="33" t="str">
        <f>IFERROR(MasterData!$B257,"")</f>
        <v/>
      </c>
      <c r="R257" s="33" t="str">
        <f>IFERROR(MasterData!$C257,"")</f>
        <v/>
      </c>
      <c r="S257" s="33" t="str">
        <f>IFERROR(MasterData!$D257,"")</f>
        <v/>
      </c>
      <c r="T257" s="33" t="str">
        <f>IFERROR(MasterData!$E257,"")</f>
        <v/>
      </c>
      <c r="U257" s="33" t="str">
        <f>IFERROR(MasterData!$F257,"")</f>
        <v/>
      </c>
      <c r="V257" s="33" t="str">
        <f>IFERROR(MasterData!$I257,"")</f>
        <v/>
      </c>
      <c r="W257" s="33" t="str">
        <f>IFERROR(MasterData!$H257,"")</f>
        <v/>
      </c>
    </row>
    <row r="258" ht="14.25" customHeight="1">
      <c r="B258" s="59"/>
      <c r="C258" s="59"/>
      <c r="D258" s="59"/>
      <c r="E258" s="59"/>
      <c r="F258" s="59"/>
      <c r="I258" s="59"/>
      <c r="K258" s="59"/>
      <c r="Q258" s="33" t="str">
        <f>IFERROR(MasterData!$B258,"")</f>
        <v/>
      </c>
      <c r="R258" s="33" t="str">
        <f>IFERROR(MasterData!$C258,"")</f>
        <v/>
      </c>
      <c r="S258" s="33" t="str">
        <f>IFERROR(MasterData!$D258,"")</f>
        <v/>
      </c>
      <c r="T258" s="33" t="str">
        <f>IFERROR(MasterData!$E258,"")</f>
        <v/>
      </c>
      <c r="U258" s="33" t="str">
        <f>IFERROR(MasterData!$F258,"")</f>
        <v/>
      </c>
      <c r="V258" s="33" t="str">
        <f>IFERROR(MasterData!$I258,"")</f>
        <v/>
      </c>
      <c r="W258" s="33" t="str">
        <f>IFERROR(MasterData!$H258,"")</f>
        <v/>
      </c>
    </row>
    <row r="259" ht="14.25" customHeight="1">
      <c r="B259" s="59"/>
      <c r="C259" s="59"/>
      <c r="D259" s="59"/>
      <c r="E259" s="59"/>
      <c r="F259" s="59"/>
      <c r="I259" s="59"/>
      <c r="K259" s="59"/>
      <c r="Q259" s="33" t="str">
        <f>IFERROR(MasterData!$B259,"")</f>
        <v/>
      </c>
      <c r="R259" s="33" t="str">
        <f>IFERROR(MasterData!$C259,"")</f>
        <v/>
      </c>
      <c r="S259" s="33" t="str">
        <f>IFERROR(MasterData!$D259,"")</f>
        <v/>
      </c>
      <c r="T259" s="33" t="str">
        <f>IFERROR(MasterData!$E259,"")</f>
        <v/>
      </c>
      <c r="U259" s="33" t="str">
        <f>IFERROR(MasterData!$F259,"")</f>
        <v/>
      </c>
      <c r="V259" s="33" t="str">
        <f>IFERROR(MasterData!$I259,"")</f>
        <v/>
      </c>
      <c r="W259" s="33" t="str">
        <f>IFERROR(MasterData!$H259,"")</f>
        <v/>
      </c>
    </row>
    <row r="260" ht="14.25" customHeight="1">
      <c r="B260" s="59"/>
      <c r="C260" s="59"/>
      <c r="D260" s="59"/>
      <c r="E260" s="59"/>
      <c r="F260" s="59"/>
      <c r="I260" s="59"/>
      <c r="K260" s="59"/>
      <c r="Q260" s="33" t="str">
        <f>IFERROR(MasterData!$B260,"")</f>
        <v/>
      </c>
      <c r="R260" s="33" t="str">
        <f>IFERROR(MasterData!$C260,"")</f>
        <v/>
      </c>
      <c r="S260" s="33" t="str">
        <f>IFERROR(MasterData!$D260,"")</f>
        <v/>
      </c>
      <c r="T260" s="33" t="str">
        <f>IFERROR(MasterData!$E260,"")</f>
        <v/>
      </c>
      <c r="U260" s="33" t="str">
        <f>IFERROR(MasterData!$F260,"")</f>
        <v/>
      </c>
      <c r="V260" s="33" t="str">
        <f>IFERROR(MasterData!$I260,"")</f>
        <v/>
      </c>
      <c r="W260" s="33" t="str">
        <f>IFERROR(MasterData!$H260,"")</f>
        <v/>
      </c>
    </row>
    <row r="261" ht="14.25" customHeight="1">
      <c r="B261" s="59"/>
      <c r="C261" s="59"/>
      <c r="D261" s="59"/>
      <c r="E261" s="59"/>
      <c r="F261" s="59"/>
      <c r="I261" s="59"/>
      <c r="K261" s="59"/>
      <c r="Q261" s="33" t="str">
        <f>IFERROR(MasterData!$B261,"")</f>
        <v/>
      </c>
      <c r="R261" s="33" t="str">
        <f>IFERROR(MasterData!$C261,"")</f>
        <v/>
      </c>
      <c r="S261" s="33" t="str">
        <f>IFERROR(MasterData!$D261,"")</f>
        <v/>
      </c>
      <c r="T261" s="33" t="str">
        <f>IFERROR(MasterData!$E261,"")</f>
        <v/>
      </c>
      <c r="U261" s="33" t="str">
        <f>IFERROR(MasterData!$F261,"")</f>
        <v/>
      </c>
      <c r="V261" s="33" t="str">
        <f>IFERROR(MasterData!$I261,"")</f>
        <v/>
      </c>
      <c r="W261" s="33" t="str">
        <f>IFERROR(MasterData!$H261,"")</f>
        <v/>
      </c>
    </row>
    <row r="262" ht="14.25" customHeight="1">
      <c r="B262" s="59"/>
      <c r="C262" s="59"/>
      <c r="D262" s="59"/>
      <c r="E262" s="59"/>
      <c r="F262" s="59"/>
      <c r="I262" s="59"/>
      <c r="K262" s="59"/>
      <c r="Q262" s="33" t="str">
        <f>IFERROR(MasterData!$B262,"")</f>
        <v/>
      </c>
      <c r="R262" s="33" t="str">
        <f>IFERROR(MasterData!$C262,"")</f>
        <v/>
      </c>
      <c r="S262" s="33" t="str">
        <f>IFERROR(MasterData!$D262,"")</f>
        <v/>
      </c>
      <c r="T262" s="33" t="str">
        <f>IFERROR(MasterData!$E262,"")</f>
        <v/>
      </c>
      <c r="U262" s="33" t="str">
        <f>IFERROR(MasterData!$F262,"")</f>
        <v/>
      </c>
      <c r="V262" s="33" t="str">
        <f>IFERROR(MasterData!$I262,"")</f>
        <v/>
      </c>
      <c r="W262" s="33" t="str">
        <f>IFERROR(MasterData!$H262,"")</f>
        <v/>
      </c>
    </row>
    <row r="263" ht="14.25" customHeight="1">
      <c r="B263" s="59"/>
      <c r="C263" s="59"/>
      <c r="D263" s="59"/>
      <c r="E263" s="59"/>
      <c r="F263" s="59"/>
      <c r="I263" s="59"/>
      <c r="K263" s="59"/>
      <c r="Q263" s="33" t="str">
        <f>IFERROR(MasterData!$B263,"")</f>
        <v/>
      </c>
      <c r="R263" s="33" t="str">
        <f>IFERROR(MasterData!$C263,"")</f>
        <v/>
      </c>
      <c r="S263" s="33" t="str">
        <f>IFERROR(MasterData!$D263,"")</f>
        <v/>
      </c>
      <c r="T263" s="33" t="str">
        <f>IFERROR(MasterData!$E263,"")</f>
        <v/>
      </c>
      <c r="U263" s="33" t="str">
        <f>IFERROR(MasterData!$F263,"")</f>
        <v/>
      </c>
      <c r="V263" s="33" t="str">
        <f>IFERROR(MasterData!$I263,"")</f>
        <v/>
      </c>
      <c r="W263" s="33" t="str">
        <f>IFERROR(MasterData!$H263,"")</f>
        <v/>
      </c>
    </row>
    <row r="264" ht="14.25" customHeight="1">
      <c r="B264" s="59"/>
      <c r="C264" s="59"/>
      <c r="D264" s="59"/>
      <c r="E264" s="59"/>
      <c r="F264" s="59"/>
      <c r="I264" s="59"/>
      <c r="K264" s="59"/>
      <c r="Q264" s="33" t="str">
        <f>IFERROR(MasterData!$B264,"")</f>
        <v/>
      </c>
      <c r="R264" s="33" t="str">
        <f>IFERROR(MasterData!$C264,"")</f>
        <v/>
      </c>
      <c r="S264" s="33" t="str">
        <f>IFERROR(MasterData!$D264,"")</f>
        <v/>
      </c>
      <c r="T264" s="33" t="str">
        <f>IFERROR(MasterData!$E264,"")</f>
        <v/>
      </c>
      <c r="U264" s="33" t="str">
        <f>IFERROR(MasterData!$F264,"")</f>
        <v/>
      </c>
      <c r="V264" s="33" t="str">
        <f>IFERROR(MasterData!$I264,"")</f>
        <v/>
      </c>
      <c r="W264" s="33" t="str">
        <f>IFERROR(MasterData!$H264,"")</f>
        <v/>
      </c>
    </row>
    <row r="265" ht="14.25" customHeight="1">
      <c r="B265" s="59"/>
      <c r="C265" s="59"/>
      <c r="D265" s="59"/>
      <c r="E265" s="59"/>
      <c r="F265" s="59"/>
      <c r="I265" s="59"/>
      <c r="K265" s="59"/>
      <c r="Q265" s="33" t="str">
        <f>IFERROR(MasterData!$B265,"")</f>
        <v/>
      </c>
      <c r="R265" s="33" t="str">
        <f>IFERROR(MasterData!$C265,"")</f>
        <v/>
      </c>
      <c r="S265" s="33" t="str">
        <f>IFERROR(MasterData!$D265,"")</f>
        <v/>
      </c>
      <c r="T265" s="33" t="str">
        <f>IFERROR(MasterData!$E265,"")</f>
        <v/>
      </c>
      <c r="U265" s="33" t="str">
        <f>IFERROR(MasterData!$F265,"")</f>
        <v/>
      </c>
      <c r="V265" s="33" t="str">
        <f>IFERROR(MasterData!$I265,"")</f>
        <v/>
      </c>
      <c r="W265" s="33" t="str">
        <f>IFERROR(MasterData!$H265,"")</f>
        <v/>
      </c>
    </row>
    <row r="266" ht="14.25" customHeight="1">
      <c r="B266" s="59"/>
      <c r="C266" s="59"/>
      <c r="D266" s="59"/>
      <c r="E266" s="59"/>
      <c r="F266" s="59"/>
      <c r="I266" s="59"/>
      <c r="K266" s="59"/>
      <c r="Q266" s="33" t="str">
        <f>IFERROR(MasterData!$B266,"")</f>
        <v/>
      </c>
      <c r="R266" s="33" t="str">
        <f>IFERROR(MasterData!$C266,"")</f>
        <v/>
      </c>
      <c r="S266" s="33" t="str">
        <f>IFERROR(MasterData!$D266,"")</f>
        <v/>
      </c>
      <c r="T266" s="33" t="str">
        <f>IFERROR(MasterData!$E266,"")</f>
        <v/>
      </c>
      <c r="U266" s="33" t="str">
        <f>IFERROR(MasterData!$F266,"")</f>
        <v/>
      </c>
      <c r="V266" s="33" t="str">
        <f>IFERROR(MasterData!$I266,"")</f>
        <v/>
      </c>
      <c r="W266" s="33" t="str">
        <f>IFERROR(MasterData!$H266,"")</f>
        <v/>
      </c>
    </row>
    <row r="267" ht="14.25" customHeight="1">
      <c r="B267" s="59"/>
      <c r="C267" s="59"/>
      <c r="D267" s="59"/>
      <c r="E267" s="59"/>
      <c r="F267" s="59"/>
      <c r="I267" s="59"/>
      <c r="K267" s="59"/>
      <c r="Q267" s="33" t="str">
        <f>IFERROR(MasterData!$B267,"")</f>
        <v/>
      </c>
      <c r="R267" s="33" t="str">
        <f>IFERROR(MasterData!$C267,"")</f>
        <v/>
      </c>
      <c r="S267" s="33" t="str">
        <f>IFERROR(MasterData!$D267,"")</f>
        <v/>
      </c>
      <c r="T267" s="33" t="str">
        <f>IFERROR(MasterData!$E267,"")</f>
        <v/>
      </c>
      <c r="U267" s="33" t="str">
        <f>IFERROR(MasterData!$F267,"")</f>
        <v/>
      </c>
      <c r="V267" s="33" t="str">
        <f>IFERROR(MasterData!$I267,"")</f>
        <v/>
      </c>
      <c r="W267" s="33" t="str">
        <f>IFERROR(MasterData!$H267,"")</f>
        <v/>
      </c>
    </row>
    <row r="268" ht="14.25" customHeight="1">
      <c r="B268" s="59"/>
      <c r="C268" s="59"/>
      <c r="D268" s="59"/>
      <c r="E268" s="59"/>
      <c r="F268" s="59"/>
      <c r="I268" s="59"/>
      <c r="K268" s="59"/>
      <c r="Q268" s="33" t="str">
        <f>IFERROR(MasterData!$B268,"")</f>
        <v/>
      </c>
      <c r="R268" s="33" t="str">
        <f>IFERROR(MasterData!$C268,"")</f>
        <v/>
      </c>
      <c r="S268" s="33" t="str">
        <f>IFERROR(MasterData!$D268,"")</f>
        <v/>
      </c>
      <c r="T268" s="33" t="str">
        <f>IFERROR(MasterData!$E268,"")</f>
        <v/>
      </c>
      <c r="U268" s="33" t="str">
        <f>IFERROR(MasterData!$F268,"")</f>
        <v/>
      </c>
      <c r="V268" s="33" t="str">
        <f>IFERROR(MasterData!$I268,"")</f>
        <v/>
      </c>
      <c r="W268" s="33" t="str">
        <f>IFERROR(MasterData!$H268,"")</f>
        <v/>
      </c>
    </row>
    <row r="269" ht="14.25" customHeight="1">
      <c r="B269" s="59"/>
      <c r="C269" s="59"/>
      <c r="D269" s="59"/>
      <c r="E269" s="59"/>
      <c r="F269" s="59"/>
      <c r="I269" s="59"/>
      <c r="K269" s="59"/>
      <c r="Q269" s="33" t="str">
        <f>IFERROR(MasterData!$B269,"")</f>
        <v/>
      </c>
      <c r="R269" s="33" t="str">
        <f>IFERROR(MasterData!$C269,"")</f>
        <v/>
      </c>
      <c r="S269" s="33" t="str">
        <f>IFERROR(MasterData!$D269,"")</f>
        <v/>
      </c>
      <c r="T269" s="33" t="str">
        <f>IFERROR(MasterData!$E269,"")</f>
        <v/>
      </c>
      <c r="U269" s="33" t="str">
        <f>IFERROR(MasterData!$F269,"")</f>
        <v/>
      </c>
      <c r="V269" s="33" t="str">
        <f>IFERROR(MasterData!$I269,"")</f>
        <v/>
      </c>
      <c r="W269" s="33" t="str">
        <f>IFERROR(MasterData!$H269,"")</f>
        <v/>
      </c>
    </row>
    <row r="270" ht="14.25" customHeight="1">
      <c r="B270" s="59"/>
      <c r="C270" s="59"/>
      <c r="D270" s="59"/>
      <c r="E270" s="59"/>
      <c r="F270" s="59"/>
      <c r="I270" s="59"/>
      <c r="K270" s="59"/>
      <c r="Q270" s="33" t="str">
        <f>IFERROR(MasterData!$B270,"")</f>
        <v/>
      </c>
      <c r="R270" s="33" t="str">
        <f>IFERROR(MasterData!$C270,"")</f>
        <v/>
      </c>
      <c r="S270" s="33" t="str">
        <f>IFERROR(MasterData!$D270,"")</f>
        <v/>
      </c>
      <c r="T270" s="33" t="str">
        <f>IFERROR(MasterData!$E270,"")</f>
        <v/>
      </c>
      <c r="U270" s="33" t="str">
        <f>IFERROR(MasterData!$F270,"")</f>
        <v/>
      </c>
      <c r="V270" s="33" t="str">
        <f>IFERROR(MasterData!$I270,"")</f>
        <v/>
      </c>
      <c r="W270" s="33" t="str">
        <f>IFERROR(MasterData!$H270,"")</f>
        <v/>
      </c>
    </row>
    <row r="271" ht="14.25" customHeight="1">
      <c r="B271" s="59"/>
      <c r="C271" s="59"/>
      <c r="D271" s="59"/>
      <c r="E271" s="59"/>
      <c r="F271" s="59"/>
      <c r="I271" s="59"/>
      <c r="K271" s="59"/>
      <c r="Q271" s="33" t="str">
        <f>IFERROR(MasterData!$B271,"")</f>
        <v/>
      </c>
      <c r="R271" s="33" t="str">
        <f>IFERROR(MasterData!$C271,"")</f>
        <v/>
      </c>
      <c r="S271" s="33" t="str">
        <f>IFERROR(MasterData!$D271,"")</f>
        <v/>
      </c>
      <c r="T271" s="33" t="str">
        <f>IFERROR(MasterData!$E271,"")</f>
        <v/>
      </c>
      <c r="U271" s="33" t="str">
        <f>IFERROR(MasterData!$F271,"")</f>
        <v/>
      </c>
      <c r="V271" s="33" t="str">
        <f>IFERROR(MasterData!$I271,"")</f>
        <v/>
      </c>
      <c r="W271" s="33" t="str">
        <f>IFERROR(MasterData!$H271,"")</f>
        <v/>
      </c>
    </row>
    <row r="272" ht="14.25" customHeight="1">
      <c r="B272" s="59"/>
      <c r="C272" s="59"/>
      <c r="D272" s="59"/>
      <c r="E272" s="59"/>
      <c r="F272" s="59"/>
      <c r="I272" s="59"/>
      <c r="K272" s="59"/>
      <c r="Q272" s="33" t="str">
        <f>IFERROR(MasterData!$B272,"")</f>
        <v/>
      </c>
      <c r="R272" s="33" t="str">
        <f>IFERROR(MasterData!$C272,"")</f>
        <v/>
      </c>
      <c r="S272" s="33" t="str">
        <f>IFERROR(MasterData!$D272,"")</f>
        <v/>
      </c>
      <c r="T272" s="33" t="str">
        <f>IFERROR(MasterData!$E272,"")</f>
        <v/>
      </c>
      <c r="U272" s="33" t="str">
        <f>IFERROR(MasterData!$F272,"")</f>
        <v/>
      </c>
      <c r="V272" s="33" t="str">
        <f>IFERROR(MasterData!$I272,"")</f>
        <v/>
      </c>
      <c r="W272" s="33" t="str">
        <f>IFERROR(MasterData!$H272,"")</f>
        <v/>
      </c>
    </row>
    <row r="273" ht="14.25" customHeight="1">
      <c r="B273" s="59"/>
      <c r="C273" s="59"/>
      <c r="D273" s="59"/>
      <c r="E273" s="59"/>
      <c r="F273" s="59"/>
      <c r="I273" s="59"/>
      <c r="K273" s="59"/>
      <c r="Q273" s="33" t="str">
        <f>IFERROR(MasterData!$B273,"")</f>
        <v/>
      </c>
      <c r="R273" s="33" t="str">
        <f>IFERROR(MasterData!$C273,"")</f>
        <v/>
      </c>
      <c r="S273" s="33" t="str">
        <f>IFERROR(MasterData!$D273,"")</f>
        <v/>
      </c>
      <c r="T273" s="33" t="str">
        <f>IFERROR(MasterData!$E273,"")</f>
        <v/>
      </c>
      <c r="U273" s="33" t="str">
        <f>IFERROR(MasterData!$F273,"")</f>
        <v/>
      </c>
      <c r="V273" s="33" t="str">
        <f>IFERROR(MasterData!$I273,"")</f>
        <v/>
      </c>
      <c r="W273" s="33" t="str">
        <f>IFERROR(MasterData!$H273,"")</f>
        <v/>
      </c>
    </row>
    <row r="274" ht="14.25" customHeight="1">
      <c r="B274" s="59"/>
      <c r="C274" s="59"/>
      <c r="D274" s="59"/>
      <c r="E274" s="59"/>
      <c r="F274" s="59"/>
      <c r="I274" s="59"/>
      <c r="K274" s="59"/>
      <c r="Q274" s="33" t="str">
        <f>IFERROR(MasterData!$B274,"")</f>
        <v/>
      </c>
      <c r="R274" s="33" t="str">
        <f>IFERROR(MasterData!$C274,"")</f>
        <v/>
      </c>
      <c r="S274" s="33" t="str">
        <f>IFERROR(MasterData!$D274,"")</f>
        <v/>
      </c>
      <c r="T274" s="33" t="str">
        <f>IFERROR(MasterData!$E274,"")</f>
        <v/>
      </c>
      <c r="U274" s="33" t="str">
        <f>IFERROR(MasterData!$F274,"")</f>
        <v/>
      </c>
      <c r="V274" s="33" t="str">
        <f>IFERROR(MasterData!$I274,"")</f>
        <v/>
      </c>
      <c r="W274" s="33" t="str">
        <f>IFERROR(MasterData!$H274,"")</f>
        <v/>
      </c>
    </row>
    <row r="275" ht="14.25" customHeight="1">
      <c r="B275" s="59"/>
      <c r="C275" s="59"/>
      <c r="D275" s="59"/>
      <c r="E275" s="59"/>
      <c r="F275" s="59"/>
      <c r="I275" s="59"/>
      <c r="K275" s="59"/>
      <c r="Q275" s="33" t="str">
        <f>IFERROR(MasterData!$B275,"")</f>
        <v/>
      </c>
      <c r="R275" s="33" t="str">
        <f>IFERROR(MasterData!$C275,"")</f>
        <v/>
      </c>
      <c r="S275" s="33" t="str">
        <f>IFERROR(MasterData!$D275,"")</f>
        <v/>
      </c>
      <c r="T275" s="33" t="str">
        <f>IFERROR(MasterData!$E275,"")</f>
        <v/>
      </c>
      <c r="U275" s="33" t="str">
        <f>IFERROR(MasterData!$F275,"")</f>
        <v/>
      </c>
      <c r="V275" s="33" t="str">
        <f>IFERROR(MasterData!$I275,"")</f>
        <v/>
      </c>
      <c r="W275" s="33" t="str">
        <f>IFERROR(MasterData!$H275,"")</f>
        <v/>
      </c>
    </row>
    <row r="276" ht="14.25" customHeight="1">
      <c r="B276" s="59"/>
      <c r="C276" s="59"/>
      <c r="D276" s="59"/>
      <c r="E276" s="59"/>
      <c r="F276" s="59"/>
      <c r="I276" s="59"/>
      <c r="K276" s="59"/>
      <c r="Q276" s="33" t="str">
        <f>IFERROR(MasterData!$B276,"")</f>
        <v/>
      </c>
      <c r="R276" s="33" t="str">
        <f>IFERROR(MasterData!$C276,"")</f>
        <v/>
      </c>
      <c r="S276" s="33" t="str">
        <f>IFERROR(MasterData!$D276,"")</f>
        <v/>
      </c>
      <c r="T276" s="33" t="str">
        <f>IFERROR(MasterData!$E276,"")</f>
        <v/>
      </c>
      <c r="U276" s="33" t="str">
        <f>IFERROR(MasterData!$F276,"")</f>
        <v/>
      </c>
      <c r="V276" s="33" t="str">
        <f>IFERROR(MasterData!$I276,"")</f>
        <v/>
      </c>
      <c r="W276" s="33" t="str">
        <f>IFERROR(MasterData!$H276,"")</f>
        <v/>
      </c>
    </row>
    <row r="277" ht="14.25" customHeight="1">
      <c r="B277" s="59"/>
      <c r="C277" s="59"/>
      <c r="D277" s="59"/>
      <c r="E277" s="59"/>
      <c r="F277" s="59"/>
      <c r="I277" s="59"/>
      <c r="K277" s="59"/>
      <c r="Q277" s="33" t="str">
        <f>IFERROR(MasterData!$B277,"")</f>
        <v/>
      </c>
      <c r="R277" s="33" t="str">
        <f>IFERROR(MasterData!$C277,"")</f>
        <v/>
      </c>
      <c r="S277" s="33" t="str">
        <f>IFERROR(MasterData!$D277,"")</f>
        <v/>
      </c>
      <c r="T277" s="33" t="str">
        <f>IFERROR(MasterData!$E277,"")</f>
        <v/>
      </c>
      <c r="U277" s="33" t="str">
        <f>IFERROR(MasterData!$F277,"")</f>
        <v/>
      </c>
      <c r="V277" s="33" t="str">
        <f>IFERROR(MasterData!$I277,"")</f>
        <v/>
      </c>
      <c r="W277" s="33" t="str">
        <f>IFERROR(MasterData!$H277,"")</f>
        <v/>
      </c>
    </row>
    <row r="278" ht="14.25" customHeight="1">
      <c r="B278" s="59"/>
      <c r="C278" s="59"/>
      <c r="D278" s="59"/>
      <c r="E278" s="59"/>
      <c r="F278" s="59"/>
      <c r="I278" s="59"/>
      <c r="K278" s="59"/>
      <c r="Q278" s="33" t="str">
        <f>IFERROR(MasterData!$B278,"")</f>
        <v/>
      </c>
      <c r="R278" s="33" t="str">
        <f>IFERROR(MasterData!$C278,"")</f>
        <v/>
      </c>
      <c r="S278" s="33" t="str">
        <f>IFERROR(MasterData!$D278,"")</f>
        <v/>
      </c>
      <c r="T278" s="33" t="str">
        <f>IFERROR(MasterData!$E278,"")</f>
        <v/>
      </c>
      <c r="U278" s="33" t="str">
        <f>IFERROR(MasterData!$F278,"")</f>
        <v/>
      </c>
      <c r="V278" s="33" t="str">
        <f>IFERROR(MasterData!$I278,"")</f>
        <v/>
      </c>
      <c r="W278" s="33" t="str">
        <f>IFERROR(MasterData!$H278,"")</f>
        <v/>
      </c>
    </row>
    <row r="279" ht="14.25" customHeight="1">
      <c r="B279" s="59"/>
      <c r="C279" s="59"/>
      <c r="D279" s="59"/>
      <c r="E279" s="59"/>
      <c r="F279" s="59"/>
      <c r="I279" s="59"/>
      <c r="K279" s="59"/>
      <c r="Q279" s="33" t="str">
        <f>IFERROR(MasterData!$B279,"")</f>
        <v/>
      </c>
      <c r="R279" s="33" t="str">
        <f>IFERROR(MasterData!$C279,"")</f>
        <v/>
      </c>
      <c r="S279" s="33" t="str">
        <f>IFERROR(MasterData!$D279,"")</f>
        <v/>
      </c>
      <c r="T279" s="33" t="str">
        <f>IFERROR(MasterData!$E279,"")</f>
        <v/>
      </c>
      <c r="U279" s="33" t="str">
        <f>IFERROR(MasterData!$F279,"")</f>
        <v/>
      </c>
      <c r="V279" s="33" t="str">
        <f>IFERROR(MasterData!$I279,"")</f>
        <v/>
      </c>
      <c r="W279" s="33" t="str">
        <f>IFERROR(MasterData!$H279,"")</f>
        <v/>
      </c>
    </row>
    <row r="280" ht="14.25" customHeight="1">
      <c r="B280" s="59"/>
      <c r="C280" s="59"/>
      <c r="D280" s="59"/>
      <c r="E280" s="59"/>
      <c r="F280" s="59"/>
      <c r="I280" s="59"/>
      <c r="K280" s="59"/>
      <c r="Q280" s="33" t="str">
        <f>IFERROR(MasterData!$B280,"")</f>
        <v/>
      </c>
      <c r="R280" s="33" t="str">
        <f>IFERROR(MasterData!$C280,"")</f>
        <v/>
      </c>
      <c r="S280" s="33" t="str">
        <f>IFERROR(MasterData!$D280,"")</f>
        <v/>
      </c>
      <c r="T280" s="33" t="str">
        <f>IFERROR(MasterData!$E280,"")</f>
        <v/>
      </c>
      <c r="U280" s="33" t="str">
        <f>IFERROR(MasterData!$F280,"")</f>
        <v/>
      </c>
      <c r="V280" s="33" t="str">
        <f>IFERROR(MasterData!$I280,"")</f>
        <v/>
      </c>
      <c r="W280" s="33" t="str">
        <f>IFERROR(MasterData!$H280,"")</f>
        <v/>
      </c>
    </row>
    <row r="281" ht="14.25" customHeight="1">
      <c r="B281" s="59"/>
      <c r="C281" s="59"/>
      <c r="D281" s="59"/>
      <c r="E281" s="59"/>
      <c r="F281" s="59"/>
      <c r="I281" s="59"/>
      <c r="K281" s="59"/>
      <c r="Q281" s="33" t="str">
        <f>IFERROR(MasterData!$B281,"")</f>
        <v/>
      </c>
      <c r="R281" s="33" t="str">
        <f>IFERROR(MasterData!$C281,"")</f>
        <v/>
      </c>
      <c r="S281" s="33" t="str">
        <f>IFERROR(MasterData!$D281,"")</f>
        <v/>
      </c>
      <c r="T281" s="33" t="str">
        <f>IFERROR(MasterData!$E281,"")</f>
        <v/>
      </c>
      <c r="U281" s="33" t="str">
        <f>IFERROR(MasterData!$F281,"")</f>
        <v/>
      </c>
      <c r="V281" s="33" t="str">
        <f>IFERROR(MasterData!$I281,"")</f>
        <v/>
      </c>
      <c r="W281" s="33" t="str">
        <f>IFERROR(MasterData!$H281,"")</f>
        <v/>
      </c>
    </row>
    <row r="282" ht="14.25" customHeight="1">
      <c r="B282" s="59"/>
      <c r="C282" s="59"/>
      <c r="D282" s="59"/>
      <c r="E282" s="59"/>
      <c r="F282" s="59"/>
      <c r="I282" s="59"/>
      <c r="K282" s="59"/>
      <c r="Q282" s="33" t="str">
        <f>IFERROR(MasterData!$B282,"")</f>
        <v/>
      </c>
      <c r="R282" s="33" t="str">
        <f>IFERROR(MasterData!$C282,"")</f>
        <v/>
      </c>
      <c r="S282" s="33" t="str">
        <f>IFERROR(MasterData!$D282,"")</f>
        <v/>
      </c>
      <c r="T282" s="33" t="str">
        <f>IFERROR(MasterData!$E282,"")</f>
        <v/>
      </c>
      <c r="U282" s="33" t="str">
        <f>IFERROR(MasterData!$F282,"")</f>
        <v/>
      </c>
      <c r="V282" s="33" t="str">
        <f>IFERROR(MasterData!$I282,"")</f>
        <v/>
      </c>
      <c r="W282" s="33" t="str">
        <f>IFERROR(MasterData!$H282,"")</f>
        <v/>
      </c>
    </row>
    <row r="283" ht="14.25" customHeight="1">
      <c r="B283" s="59"/>
      <c r="C283" s="59"/>
      <c r="D283" s="59"/>
      <c r="E283" s="59"/>
      <c r="F283" s="59"/>
      <c r="I283" s="59"/>
      <c r="K283" s="59"/>
      <c r="Q283" s="33" t="str">
        <f>IFERROR(MasterData!$B283,"")</f>
        <v/>
      </c>
      <c r="R283" s="33" t="str">
        <f>IFERROR(MasterData!$C283,"")</f>
        <v/>
      </c>
      <c r="S283" s="33" t="str">
        <f>IFERROR(MasterData!$D283,"")</f>
        <v/>
      </c>
      <c r="T283" s="33" t="str">
        <f>IFERROR(MasterData!$E283,"")</f>
        <v/>
      </c>
      <c r="U283" s="33" t="str">
        <f>IFERROR(MasterData!$F283,"")</f>
        <v/>
      </c>
      <c r="V283" s="33" t="str">
        <f>IFERROR(MasterData!$I283,"")</f>
        <v/>
      </c>
      <c r="W283" s="33" t="str">
        <f>IFERROR(MasterData!$H283,"")</f>
        <v/>
      </c>
    </row>
    <row r="284" ht="14.25" customHeight="1">
      <c r="B284" s="59"/>
      <c r="C284" s="59"/>
      <c r="D284" s="59"/>
      <c r="E284" s="59"/>
      <c r="F284" s="59"/>
      <c r="I284" s="59"/>
      <c r="K284" s="59"/>
      <c r="Q284" s="33" t="str">
        <f>IFERROR(MasterData!$B284,"")</f>
        <v/>
      </c>
      <c r="R284" s="33" t="str">
        <f>IFERROR(MasterData!$C284,"")</f>
        <v/>
      </c>
      <c r="S284" s="33" t="str">
        <f>IFERROR(MasterData!$D284,"")</f>
        <v/>
      </c>
      <c r="T284" s="33" t="str">
        <f>IFERROR(MasterData!$E284,"")</f>
        <v/>
      </c>
      <c r="U284" s="33" t="str">
        <f>IFERROR(MasterData!$F284,"")</f>
        <v/>
      </c>
      <c r="V284" s="33" t="str">
        <f>IFERROR(MasterData!$I284,"")</f>
        <v/>
      </c>
      <c r="W284" s="33" t="str">
        <f>IFERROR(MasterData!$H284,"")</f>
        <v/>
      </c>
    </row>
    <row r="285" ht="14.25" customHeight="1">
      <c r="B285" s="59"/>
      <c r="C285" s="59"/>
      <c r="D285" s="59"/>
      <c r="E285" s="59"/>
      <c r="F285" s="59"/>
      <c r="I285" s="59"/>
      <c r="K285" s="59"/>
      <c r="Q285" s="33" t="str">
        <f>IFERROR(MasterData!$B285,"")</f>
        <v/>
      </c>
      <c r="R285" s="33" t="str">
        <f>IFERROR(MasterData!$C285,"")</f>
        <v/>
      </c>
      <c r="S285" s="33" t="str">
        <f>IFERROR(MasterData!$D285,"")</f>
        <v/>
      </c>
      <c r="T285" s="33" t="str">
        <f>IFERROR(MasterData!$E285,"")</f>
        <v/>
      </c>
      <c r="U285" s="33" t="str">
        <f>IFERROR(MasterData!$F285,"")</f>
        <v/>
      </c>
      <c r="V285" s="33" t="str">
        <f>IFERROR(MasterData!$I285,"")</f>
        <v/>
      </c>
      <c r="W285" s="33" t="str">
        <f>IFERROR(MasterData!$H285,"")</f>
        <v/>
      </c>
    </row>
    <row r="286" ht="14.25" customHeight="1">
      <c r="B286" s="59"/>
      <c r="C286" s="59"/>
      <c r="D286" s="59"/>
      <c r="E286" s="59"/>
      <c r="F286" s="59"/>
      <c r="I286" s="59"/>
      <c r="K286" s="59"/>
      <c r="Q286" s="33" t="str">
        <f>IFERROR(MasterData!$B286,"")</f>
        <v/>
      </c>
      <c r="R286" s="33" t="str">
        <f>IFERROR(MasterData!$C286,"")</f>
        <v/>
      </c>
      <c r="S286" s="33" t="str">
        <f>IFERROR(MasterData!$D286,"")</f>
        <v/>
      </c>
      <c r="T286" s="33" t="str">
        <f>IFERROR(MasterData!$E286,"")</f>
        <v/>
      </c>
      <c r="U286" s="33" t="str">
        <f>IFERROR(MasterData!$F286,"")</f>
        <v/>
      </c>
      <c r="V286" s="33" t="str">
        <f>IFERROR(MasterData!$I286,"")</f>
        <v/>
      </c>
      <c r="W286" s="33" t="str">
        <f>IFERROR(MasterData!$H286,"")</f>
        <v/>
      </c>
    </row>
    <row r="287" ht="14.25" customHeight="1">
      <c r="B287" s="59"/>
      <c r="C287" s="59"/>
      <c r="D287" s="59"/>
      <c r="E287" s="59"/>
      <c r="F287" s="59"/>
      <c r="I287" s="59"/>
      <c r="K287" s="59"/>
      <c r="Q287" s="33" t="str">
        <f>IFERROR(MasterData!$B287,"")</f>
        <v/>
      </c>
      <c r="R287" s="33" t="str">
        <f>IFERROR(MasterData!$C287,"")</f>
        <v/>
      </c>
      <c r="S287" s="33" t="str">
        <f>IFERROR(MasterData!$D287,"")</f>
        <v/>
      </c>
      <c r="T287" s="33" t="str">
        <f>IFERROR(MasterData!$E287,"")</f>
        <v/>
      </c>
      <c r="U287" s="33" t="str">
        <f>IFERROR(MasterData!$F287,"")</f>
        <v/>
      </c>
      <c r="V287" s="33" t="str">
        <f>IFERROR(MasterData!$I287,"")</f>
        <v/>
      </c>
      <c r="W287" s="33" t="str">
        <f>IFERROR(MasterData!$H287,"")</f>
        <v/>
      </c>
    </row>
    <row r="288" ht="14.25" customHeight="1">
      <c r="B288" s="59"/>
      <c r="C288" s="59"/>
      <c r="D288" s="59"/>
      <c r="E288" s="59"/>
      <c r="F288" s="59"/>
      <c r="I288" s="59"/>
      <c r="K288" s="59"/>
      <c r="Q288" s="33" t="str">
        <f>IFERROR(MasterData!$B288,"")</f>
        <v/>
      </c>
      <c r="R288" s="33" t="str">
        <f>IFERROR(MasterData!$C288,"")</f>
        <v/>
      </c>
      <c r="S288" s="33" t="str">
        <f>IFERROR(MasterData!$D288,"")</f>
        <v/>
      </c>
      <c r="T288" s="33" t="str">
        <f>IFERROR(MasterData!$E288,"")</f>
        <v/>
      </c>
      <c r="U288" s="33" t="str">
        <f>IFERROR(MasterData!$F288,"")</f>
        <v/>
      </c>
      <c r="V288" s="33" t="str">
        <f>IFERROR(MasterData!$I288,"")</f>
        <v/>
      </c>
      <c r="W288" s="33" t="str">
        <f>IFERROR(MasterData!$H288,"")</f>
        <v/>
      </c>
    </row>
    <row r="289" ht="14.25" customHeight="1">
      <c r="B289" s="59"/>
      <c r="C289" s="59"/>
      <c r="D289" s="59"/>
      <c r="E289" s="59"/>
      <c r="F289" s="59"/>
      <c r="I289" s="59"/>
      <c r="K289" s="59"/>
      <c r="Q289" s="33" t="str">
        <f>IFERROR(MasterData!$B289,"")</f>
        <v/>
      </c>
      <c r="R289" s="33" t="str">
        <f>IFERROR(MasterData!$C289,"")</f>
        <v/>
      </c>
      <c r="S289" s="33" t="str">
        <f>IFERROR(MasterData!$D289,"")</f>
        <v/>
      </c>
      <c r="T289" s="33" t="str">
        <f>IFERROR(MasterData!$E289,"")</f>
        <v/>
      </c>
      <c r="U289" s="33" t="str">
        <f>IFERROR(MasterData!$F289,"")</f>
        <v/>
      </c>
      <c r="V289" s="33" t="str">
        <f>IFERROR(MasterData!$I289,"")</f>
        <v/>
      </c>
      <c r="W289" s="33" t="str">
        <f>IFERROR(MasterData!$H289,"")</f>
        <v/>
      </c>
    </row>
    <row r="290" ht="14.25" customHeight="1">
      <c r="B290" s="59"/>
      <c r="C290" s="59"/>
      <c r="D290" s="59"/>
      <c r="E290" s="59"/>
      <c r="F290" s="59"/>
      <c r="I290" s="59"/>
      <c r="K290" s="59"/>
      <c r="Q290" s="33" t="str">
        <f>IFERROR(MasterData!$B290,"")</f>
        <v/>
      </c>
      <c r="R290" s="33" t="str">
        <f>IFERROR(MasterData!$C290,"")</f>
        <v/>
      </c>
      <c r="S290" s="33" t="str">
        <f>IFERROR(MasterData!$D290,"")</f>
        <v/>
      </c>
      <c r="T290" s="33" t="str">
        <f>IFERROR(MasterData!$E290,"")</f>
        <v/>
      </c>
      <c r="U290" s="33" t="str">
        <f>IFERROR(MasterData!$F290,"")</f>
        <v/>
      </c>
      <c r="V290" s="33" t="str">
        <f>IFERROR(MasterData!$I290,"")</f>
        <v/>
      </c>
      <c r="W290" s="33" t="str">
        <f>IFERROR(MasterData!$H290,"")</f>
        <v/>
      </c>
    </row>
    <row r="291" ht="14.25" customHeight="1">
      <c r="B291" s="59"/>
      <c r="C291" s="59"/>
      <c r="D291" s="59"/>
      <c r="E291" s="59"/>
      <c r="F291" s="59"/>
      <c r="I291" s="59"/>
      <c r="K291" s="59"/>
      <c r="Q291" s="33" t="str">
        <f>IFERROR(MasterData!$B291,"")</f>
        <v/>
      </c>
      <c r="R291" s="33" t="str">
        <f>IFERROR(MasterData!$C291,"")</f>
        <v/>
      </c>
      <c r="S291" s="33" t="str">
        <f>IFERROR(MasterData!$D291,"")</f>
        <v/>
      </c>
      <c r="T291" s="33" t="str">
        <f>IFERROR(MasterData!$E291,"")</f>
        <v/>
      </c>
      <c r="U291" s="33" t="str">
        <f>IFERROR(MasterData!$F291,"")</f>
        <v/>
      </c>
      <c r="V291" s="33" t="str">
        <f>IFERROR(MasterData!$I291,"")</f>
        <v/>
      </c>
      <c r="W291" s="33" t="str">
        <f>IFERROR(MasterData!$H291,"")</f>
        <v/>
      </c>
    </row>
    <row r="292" ht="14.25" customHeight="1">
      <c r="B292" s="59"/>
      <c r="C292" s="59"/>
      <c r="D292" s="59"/>
      <c r="E292" s="59"/>
      <c r="F292" s="59"/>
      <c r="I292" s="59"/>
      <c r="K292" s="59"/>
      <c r="Q292" s="33" t="str">
        <f>IFERROR(MasterData!$B292,"")</f>
        <v/>
      </c>
      <c r="R292" s="33" t="str">
        <f>IFERROR(MasterData!$C292,"")</f>
        <v/>
      </c>
      <c r="S292" s="33" t="str">
        <f>IFERROR(MasterData!$D292,"")</f>
        <v/>
      </c>
      <c r="T292" s="33" t="str">
        <f>IFERROR(MasterData!$E292,"")</f>
        <v/>
      </c>
      <c r="U292" s="33" t="str">
        <f>IFERROR(MasterData!$F292,"")</f>
        <v/>
      </c>
      <c r="V292" s="33" t="str">
        <f>IFERROR(MasterData!$I292,"")</f>
        <v/>
      </c>
      <c r="W292" s="33" t="str">
        <f>IFERROR(MasterData!$H292,"")</f>
        <v/>
      </c>
    </row>
    <row r="293" ht="14.25" customHeight="1">
      <c r="B293" s="59"/>
      <c r="C293" s="59"/>
      <c r="D293" s="59"/>
      <c r="E293" s="59"/>
      <c r="F293" s="59"/>
      <c r="I293" s="59"/>
      <c r="K293" s="59"/>
      <c r="Q293" s="33" t="str">
        <f>IFERROR(MasterData!$B293,"")</f>
        <v/>
      </c>
      <c r="R293" s="33" t="str">
        <f>IFERROR(MasterData!$C293,"")</f>
        <v/>
      </c>
      <c r="S293" s="33" t="str">
        <f>IFERROR(MasterData!$D293,"")</f>
        <v/>
      </c>
      <c r="T293" s="33" t="str">
        <f>IFERROR(MasterData!$E293,"")</f>
        <v/>
      </c>
      <c r="U293" s="33" t="str">
        <f>IFERROR(MasterData!$F293,"")</f>
        <v/>
      </c>
      <c r="V293" s="33" t="str">
        <f>IFERROR(MasterData!$I293,"")</f>
        <v/>
      </c>
      <c r="W293" s="33" t="str">
        <f>IFERROR(MasterData!$H293,"")</f>
        <v/>
      </c>
    </row>
    <row r="294" ht="14.25" customHeight="1">
      <c r="B294" s="59"/>
      <c r="C294" s="59"/>
      <c r="D294" s="59"/>
      <c r="E294" s="59"/>
      <c r="F294" s="59"/>
      <c r="I294" s="59"/>
      <c r="K294" s="59"/>
      <c r="Q294" s="33" t="str">
        <f>IFERROR(MasterData!$B294,"")</f>
        <v/>
      </c>
      <c r="R294" s="33" t="str">
        <f>IFERROR(MasterData!$C294,"")</f>
        <v/>
      </c>
      <c r="S294" s="33" t="str">
        <f>IFERROR(MasterData!$D294,"")</f>
        <v/>
      </c>
      <c r="T294" s="33" t="str">
        <f>IFERROR(MasterData!$E294,"")</f>
        <v/>
      </c>
      <c r="U294" s="33" t="str">
        <f>IFERROR(MasterData!$F294,"")</f>
        <v/>
      </c>
      <c r="V294" s="33" t="str">
        <f>IFERROR(MasterData!$I294,"")</f>
        <v/>
      </c>
      <c r="W294" s="33" t="str">
        <f>IFERROR(MasterData!$H294,"")</f>
        <v/>
      </c>
    </row>
    <row r="295" ht="14.25" customHeight="1">
      <c r="B295" s="59"/>
      <c r="C295" s="59"/>
      <c r="D295" s="59"/>
      <c r="E295" s="59"/>
      <c r="F295" s="59"/>
      <c r="I295" s="59"/>
      <c r="K295" s="59"/>
      <c r="Q295" s="33" t="str">
        <f>IFERROR(MasterData!$B295,"")</f>
        <v/>
      </c>
      <c r="R295" s="33" t="str">
        <f>IFERROR(MasterData!$C295,"")</f>
        <v/>
      </c>
      <c r="S295" s="33" t="str">
        <f>IFERROR(MasterData!$D295,"")</f>
        <v/>
      </c>
      <c r="T295" s="33" t="str">
        <f>IFERROR(MasterData!$E295,"")</f>
        <v/>
      </c>
      <c r="U295" s="33" t="str">
        <f>IFERROR(MasterData!$F295,"")</f>
        <v/>
      </c>
      <c r="V295" s="33" t="str">
        <f>IFERROR(MasterData!$I295,"")</f>
        <v/>
      </c>
      <c r="W295" s="33" t="str">
        <f>IFERROR(MasterData!$H295,"")</f>
        <v/>
      </c>
    </row>
    <row r="296" ht="14.25" customHeight="1">
      <c r="B296" s="59"/>
      <c r="C296" s="59"/>
      <c r="D296" s="59"/>
      <c r="E296" s="59"/>
      <c r="F296" s="59"/>
      <c r="I296" s="59"/>
      <c r="K296" s="59"/>
      <c r="Q296" s="33" t="str">
        <f>IFERROR(MasterData!$B296,"")</f>
        <v/>
      </c>
      <c r="R296" s="33" t="str">
        <f>IFERROR(MasterData!$C296,"")</f>
        <v/>
      </c>
      <c r="S296" s="33" t="str">
        <f>IFERROR(MasterData!$D296,"")</f>
        <v/>
      </c>
      <c r="T296" s="33" t="str">
        <f>IFERROR(MasterData!$E296,"")</f>
        <v/>
      </c>
      <c r="U296" s="33" t="str">
        <f>IFERROR(MasterData!$F296,"")</f>
        <v/>
      </c>
      <c r="V296" s="33" t="str">
        <f>IFERROR(MasterData!$I296,"")</f>
        <v/>
      </c>
      <c r="W296" s="33" t="str">
        <f>IFERROR(MasterData!$H296,"")</f>
        <v/>
      </c>
    </row>
    <row r="297" ht="14.25" customHeight="1">
      <c r="B297" s="59"/>
      <c r="C297" s="59"/>
      <c r="D297" s="59"/>
      <c r="E297" s="59"/>
      <c r="F297" s="59"/>
      <c r="I297" s="59"/>
      <c r="K297" s="59"/>
      <c r="Q297" s="33" t="str">
        <f>IFERROR(MasterData!$B297,"")</f>
        <v/>
      </c>
      <c r="R297" s="33" t="str">
        <f>IFERROR(MasterData!$C297,"")</f>
        <v/>
      </c>
      <c r="S297" s="33" t="str">
        <f>IFERROR(MasterData!$D297,"")</f>
        <v/>
      </c>
      <c r="T297" s="33" t="str">
        <f>IFERROR(MasterData!$E297,"")</f>
        <v/>
      </c>
      <c r="U297" s="33" t="str">
        <f>IFERROR(MasterData!$F297,"")</f>
        <v/>
      </c>
      <c r="V297" s="33" t="str">
        <f>IFERROR(MasterData!$I297,"")</f>
        <v/>
      </c>
      <c r="W297" s="33" t="str">
        <f>IFERROR(MasterData!$H297,"")</f>
        <v/>
      </c>
    </row>
    <row r="298" ht="14.25" customHeight="1">
      <c r="B298" s="59"/>
      <c r="C298" s="59"/>
      <c r="D298" s="59"/>
      <c r="E298" s="59"/>
      <c r="F298" s="59"/>
      <c r="I298" s="59"/>
      <c r="K298" s="59"/>
      <c r="Q298" s="33" t="str">
        <f>IFERROR(MasterData!$B298,"")</f>
        <v/>
      </c>
      <c r="R298" s="33" t="str">
        <f>IFERROR(MasterData!$C298,"")</f>
        <v/>
      </c>
      <c r="S298" s="33" t="str">
        <f>IFERROR(MasterData!$D298,"")</f>
        <v/>
      </c>
      <c r="T298" s="33" t="str">
        <f>IFERROR(MasterData!$E298,"")</f>
        <v/>
      </c>
      <c r="U298" s="33" t="str">
        <f>IFERROR(MasterData!$F298,"")</f>
        <v/>
      </c>
      <c r="V298" s="33" t="str">
        <f>IFERROR(MasterData!$I298,"")</f>
        <v/>
      </c>
      <c r="W298" s="33" t="str">
        <f>IFERROR(MasterData!$H298,"")</f>
        <v/>
      </c>
    </row>
    <row r="299" ht="14.25" customHeight="1">
      <c r="B299" s="59"/>
      <c r="C299" s="59"/>
      <c r="D299" s="59"/>
      <c r="E299" s="59"/>
      <c r="F299" s="59"/>
      <c r="I299" s="59"/>
      <c r="K299" s="59"/>
      <c r="Q299" s="33" t="str">
        <f>IFERROR(MasterData!$B299,"")</f>
        <v/>
      </c>
      <c r="R299" s="33" t="str">
        <f>IFERROR(MasterData!$C299,"")</f>
        <v/>
      </c>
      <c r="S299" s="33" t="str">
        <f>IFERROR(MasterData!$D299,"")</f>
        <v/>
      </c>
      <c r="T299" s="33" t="str">
        <f>IFERROR(MasterData!$E299,"")</f>
        <v/>
      </c>
      <c r="U299" s="33" t="str">
        <f>IFERROR(MasterData!$F299,"")</f>
        <v/>
      </c>
      <c r="V299" s="33" t="str">
        <f>IFERROR(MasterData!$I299,"")</f>
        <v/>
      </c>
      <c r="W299" s="33" t="str">
        <f>IFERROR(MasterData!$H299,"")</f>
        <v/>
      </c>
    </row>
    <row r="300" ht="14.25" customHeight="1">
      <c r="B300" s="59"/>
      <c r="C300" s="59"/>
      <c r="D300" s="59"/>
      <c r="E300" s="59"/>
      <c r="F300" s="59"/>
      <c r="I300" s="59"/>
      <c r="K300" s="59"/>
      <c r="Q300" s="33" t="str">
        <f>IFERROR(MasterData!$B300,"")</f>
        <v/>
      </c>
      <c r="R300" s="33" t="str">
        <f>IFERROR(MasterData!$C300,"")</f>
        <v/>
      </c>
      <c r="S300" s="33" t="str">
        <f>IFERROR(MasterData!$D300,"")</f>
        <v/>
      </c>
      <c r="T300" s="33" t="str">
        <f>IFERROR(MasterData!$E300,"")</f>
        <v/>
      </c>
      <c r="U300" s="33" t="str">
        <f>IFERROR(MasterData!$F300,"")</f>
        <v/>
      </c>
      <c r="V300" s="33" t="str">
        <f>IFERROR(MasterData!$I300,"")</f>
        <v/>
      </c>
      <c r="W300" s="33" t="str">
        <f>IFERROR(MasterData!$H300,"")</f>
        <v/>
      </c>
    </row>
    <row r="301" ht="14.25" customHeight="1">
      <c r="Q301" s="33" t="str">
        <f>IFERROR(MasterData!$B301,"")</f>
        <v/>
      </c>
      <c r="R301" s="33" t="str">
        <f>IFERROR(MasterData!$C301,"")</f>
        <v/>
      </c>
      <c r="S301" s="33" t="str">
        <f>IFERROR(MasterData!$D301,"")</f>
        <v/>
      </c>
      <c r="T301" s="33" t="str">
        <f>IFERROR(MasterData!$E301,"")</f>
        <v/>
      </c>
      <c r="U301" s="33" t="str">
        <f>IFERROR(MasterData!$F301,"")</f>
        <v/>
      </c>
      <c r="V301" s="33" t="str">
        <f>IFERROR(MasterData!$I301,"")</f>
        <v/>
      </c>
      <c r="W301" s="33" t="str">
        <f>IFERROR(MasterData!$H301,"")</f>
        <v/>
      </c>
    </row>
    <row r="302" ht="14.25" customHeight="1">
      <c r="Q302" s="33" t="str">
        <f>IFERROR(MasterData!$B302,"")</f>
        <v/>
      </c>
      <c r="R302" s="33" t="str">
        <f>IFERROR(MasterData!$C302,"")</f>
        <v/>
      </c>
      <c r="S302" s="33" t="str">
        <f>IFERROR(MasterData!$D302,"")</f>
        <v/>
      </c>
      <c r="T302" s="33" t="str">
        <f>IFERROR(MasterData!$E302,"")</f>
        <v/>
      </c>
      <c r="U302" s="33" t="str">
        <f>IFERROR(MasterData!$F302,"")</f>
        <v/>
      </c>
      <c r="V302" s="33" t="str">
        <f>IFERROR(MasterData!$I302,"")</f>
        <v/>
      </c>
      <c r="W302" s="33" t="str">
        <f>IFERROR(MasterData!$H302,"")</f>
        <v/>
      </c>
    </row>
    <row r="303" ht="14.25" customHeight="1">
      <c r="Q303" s="33" t="str">
        <f>IFERROR(MasterData!$B303,"")</f>
        <v/>
      </c>
      <c r="R303" s="33" t="str">
        <f>IFERROR(MasterData!$C303,"")</f>
        <v/>
      </c>
      <c r="S303" s="33" t="str">
        <f>IFERROR(MasterData!$D303,"")</f>
        <v/>
      </c>
      <c r="T303" s="33" t="str">
        <f>IFERROR(MasterData!$E303,"")</f>
        <v/>
      </c>
      <c r="U303" s="33" t="str">
        <f>IFERROR(MasterData!$F303,"")</f>
        <v/>
      </c>
      <c r="V303" s="33" t="str">
        <f>IFERROR(MasterData!$I303,"")</f>
        <v/>
      </c>
      <c r="W303" s="33" t="str">
        <f>IFERROR(MasterData!$H303,"")</f>
        <v/>
      </c>
    </row>
    <row r="304" ht="14.25" customHeight="1">
      <c r="Q304" s="33" t="str">
        <f>IFERROR(MasterData!$B304,"")</f>
        <v/>
      </c>
      <c r="R304" s="33" t="str">
        <f>IFERROR(MasterData!$C304,"")</f>
        <v/>
      </c>
      <c r="S304" s="33" t="str">
        <f>IFERROR(MasterData!$D304,"")</f>
        <v/>
      </c>
      <c r="T304" s="33" t="str">
        <f>IFERROR(MasterData!$E304,"")</f>
        <v/>
      </c>
      <c r="U304" s="33" t="str">
        <f>IFERROR(MasterData!$F304,"")</f>
        <v/>
      </c>
      <c r="V304" s="33" t="str">
        <f>IFERROR(MasterData!$I304,"")</f>
        <v/>
      </c>
      <c r="W304" s="33" t="str">
        <f>IFERROR(MasterData!$H304,"")</f>
        <v/>
      </c>
    </row>
    <row r="305" ht="14.25" customHeight="1">
      <c r="Q305" s="33" t="str">
        <f>IFERROR(MasterData!$B305,"")</f>
        <v/>
      </c>
      <c r="R305" s="33" t="str">
        <f>IFERROR(MasterData!$C305,"")</f>
        <v/>
      </c>
      <c r="S305" s="33" t="str">
        <f>IFERROR(MasterData!$D305,"")</f>
        <v/>
      </c>
      <c r="T305" s="33" t="str">
        <f>IFERROR(MasterData!$E305,"")</f>
        <v/>
      </c>
      <c r="U305" s="33" t="str">
        <f>IFERROR(MasterData!$F305,"")</f>
        <v/>
      </c>
      <c r="V305" s="33" t="str">
        <f>IFERROR(MasterData!$I305,"")</f>
        <v/>
      </c>
      <c r="W305" s="33" t="str">
        <f>IFERROR(MasterData!$H305,"")</f>
        <v/>
      </c>
    </row>
    <row r="306" ht="14.25" customHeight="1">
      <c r="Q306" s="33" t="str">
        <f>IFERROR(MasterData!$B306,"")</f>
        <v/>
      </c>
      <c r="R306" s="33" t="str">
        <f>IFERROR(MasterData!$C306,"")</f>
        <v/>
      </c>
      <c r="S306" s="33" t="str">
        <f>IFERROR(MasterData!$D306,"")</f>
        <v/>
      </c>
      <c r="T306" s="33" t="str">
        <f>IFERROR(MasterData!$E306,"")</f>
        <v/>
      </c>
      <c r="U306" s="33" t="str">
        <f>IFERROR(MasterData!$F306,"")</f>
        <v/>
      </c>
      <c r="V306" s="33" t="str">
        <f>IFERROR(MasterData!$I306,"")</f>
        <v/>
      </c>
      <c r="W306" s="33" t="str">
        <f>IFERROR(MasterData!$H306,"")</f>
        <v/>
      </c>
    </row>
    <row r="307" ht="14.25" customHeight="1">
      <c r="Q307" s="33" t="str">
        <f>IFERROR(MasterData!$B307,"")</f>
        <v/>
      </c>
      <c r="R307" s="33" t="str">
        <f>IFERROR(MasterData!$C307,"")</f>
        <v/>
      </c>
      <c r="S307" s="33" t="str">
        <f>IFERROR(MasterData!$D307,"")</f>
        <v/>
      </c>
      <c r="T307" s="33" t="str">
        <f>IFERROR(MasterData!$E307,"")</f>
        <v/>
      </c>
      <c r="U307" s="33" t="str">
        <f>IFERROR(MasterData!$F307,"")</f>
        <v/>
      </c>
      <c r="V307" s="33" t="str">
        <f>IFERROR(MasterData!$I307,"")</f>
        <v/>
      </c>
      <c r="W307" s="33" t="str">
        <f>IFERROR(MasterData!$H307,"")</f>
        <v/>
      </c>
    </row>
    <row r="308" ht="14.25" customHeight="1">
      <c r="Q308" s="33" t="str">
        <f>IFERROR(MasterData!$B308,"")</f>
        <v/>
      </c>
      <c r="R308" s="33" t="str">
        <f>IFERROR(MasterData!$C308,"")</f>
        <v/>
      </c>
      <c r="S308" s="33" t="str">
        <f>IFERROR(MasterData!$D308,"")</f>
        <v/>
      </c>
      <c r="T308" s="33" t="str">
        <f>IFERROR(MasterData!$E308,"")</f>
        <v/>
      </c>
      <c r="U308" s="33" t="str">
        <f>IFERROR(MasterData!$F308,"")</f>
        <v/>
      </c>
      <c r="V308" s="33" t="str">
        <f>IFERROR(MasterData!$I308,"")</f>
        <v/>
      </c>
      <c r="W308" s="33" t="str">
        <f>IFERROR(MasterData!$H308,"")</f>
        <v/>
      </c>
    </row>
    <row r="309" ht="14.25" customHeight="1">
      <c r="Q309" s="33" t="str">
        <f>IFERROR(MasterData!$B309,"")</f>
        <v/>
      </c>
      <c r="R309" s="33" t="str">
        <f>IFERROR(MasterData!$C309,"")</f>
        <v/>
      </c>
      <c r="S309" s="33" t="str">
        <f>IFERROR(MasterData!$D309,"")</f>
        <v/>
      </c>
      <c r="T309" s="33" t="str">
        <f>IFERROR(MasterData!$E309,"")</f>
        <v/>
      </c>
      <c r="U309" s="33" t="str">
        <f>IFERROR(MasterData!$F309,"")</f>
        <v/>
      </c>
      <c r="V309" s="33" t="str">
        <f>IFERROR(MasterData!$I309,"")</f>
        <v/>
      </c>
      <c r="W309" s="33" t="str">
        <f>IFERROR(MasterData!$H309,"")</f>
        <v/>
      </c>
    </row>
    <row r="310" ht="14.25" customHeight="1">
      <c r="Q310" s="33" t="str">
        <f>IFERROR(MasterData!$B310,"")</f>
        <v/>
      </c>
      <c r="R310" s="33" t="str">
        <f>IFERROR(MasterData!$C310,"")</f>
        <v/>
      </c>
      <c r="S310" s="33" t="str">
        <f>IFERROR(MasterData!$D310,"")</f>
        <v/>
      </c>
      <c r="T310" s="33" t="str">
        <f>IFERROR(MasterData!$E310,"")</f>
        <v/>
      </c>
      <c r="U310" s="33" t="str">
        <f>IFERROR(MasterData!$F310,"")</f>
        <v/>
      </c>
      <c r="V310" s="33" t="str">
        <f>IFERROR(MasterData!$I310,"")</f>
        <v/>
      </c>
      <c r="W310" s="33" t="str">
        <f>IFERROR(MasterData!$H310,"")</f>
        <v/>
      </c>
    </row>
    <row r="311" ht="14.25" customHeight="1">
      <c r="Q311" s="33" t="str">
        <f>IFERROR(MasterData!$B311,"")</f>
        <v/>
      </c>
      <c r="R311" s="33" t="str">
        <f>IFERROR(MasterData!$C311,"")</f>
        <v/>
      </c>
      <c r="S311" s="33" t="str">
        <f>IFERROR(MasterData!$D311,"")</f>
        <v/>
      </c>
      <c r="T311" s="33" t="str">
        <f>IFERROR(MasterData!$E311,"")</f>
        <v/>
      </c>
      <c r="U311" s="33" t="str">
        <f>IFERROR(MasterData!$F311,"")</f>
        <v/>
      </c>
      <c r="V311" s="33" t="str">
        <f>IFERROR(MasterData!$I311,"")</f>
        <v/>
      </c>
      <c r="W311" s="33" t="str">
        <f>IFERROR(MasterData!$H311,"")</f>
        <v/>
      </c>
    </row>
    <row r="312" ht="14.25" customHeight="1">
      <c r="Q312" s="33" t="str">
        <f>IFERROR(MasterData!$B312,"")</f>
        <v/>
      </c>
      <c r="R312" s="33" t="str">
        <f>IFERROR(MasterData!$C312,"")</f>
        <v/>
      </c>
      <c r="S312" s="33" t="str">
        <f>IFERROR(MasterData!$D312,"")</f>
        <v/>
      </c>
      <c r="T312" s="33" t="str">
        <f>IFERROR(MasterData!$E312,"")</f>
        <v/>
      </c>
      <c r="U312" s="33" t="str">
        <f>IFERROR(MasterData!$F312,"")</f>
        <v/>
      </c>
      <c r="V312" s="33" t="str">
        <f>IFERROR(MasterData!$I312,"")</f>
        <v/>
      </c>
      <c r="W312" s="33" t="str">
        <f>IFERROR(MasterData!$H312,"")</f>
        <v/>
      </c>
    </row>
    <row r="313" ht="14.25" customHeight="1">
      <c r="Q313" s="33" t="str">
        <f>IFERROR(MasterData!$B313,"")</f>
        <v/>
      </c>
      <c r="R313" s="33" t="str">
        <f>IFERROR(MasterData!$C313,"")</f>
        <v/>
      </c>
      <c r="S313" s="33" t="str">
        <f>IFERROR(MasterData!$D313,"")</f>
        <v/>
      </c>
      <c r="T313" s="33" t="str">
        <f>IFERROR(MasterData!$E313,"")</f>
        <v/>
      </c>
      <c r="U313" s="33" t="str">
        <f>IFERROR(MasterData!$F313,"")</f>
        <v/>
      </c>
      <c r="V313" s="33" t="str">
        <f>IFERROR(MasterData!$I313,"")</f>
        <v/>
      </c>
      <c r="W313" s="33" t="str">
        <f>IFERROR(MasterData!$H313,"")</f>
        <v/>
      </c>
    </row>
    <row r="314" ht="14.25" customHeight="1">
      <c r="Q314" s="33" t="str">
        <f>IFERROR(MasterData!$B314,"")</f>
        <v/>
      </c>
      <c r="R314" s="33" t="str">
        <f>IFERROR(MasterData!$C314,"")</f>
        <v/>
      </c>
      <c r="S314" s="33" t="str">
        <f>IFERROR(MasterData!$D314,"")</f>
        <v/>
      </c>
      <c r="T314" s="33" t="str">
        <f>IFERROR(MasterData!$E314,"")</f>
        <v/>
      </c>
      <c r="U314" s="33" t="str">
        <f>IFERROR(MasterData!$F314,"")</f>
        <v/>
      </c>
      <c r="V314" s="33" t="str">
        <f>IFERROR(MasterData!$I314,"")</f>
        <v/>
      </c>
      <c r="W314" s="33" t="str">
        <f>IFERROR(MasterData!$H314,"")</f>
        <v/>
      </c>
    </row>
    <row r="315" ht="14.25" customHeight="1">
      <c r="Q315" s="33" t="str">
        <f>IFERROR(MasterData!$B315,"")</f>
        <v/>
      </c>
      <c r="R315" s="33" t="str">
        <f>IFERROR(MasterData!$C315,"")</f>
        <v/>
      </c>
      <c r="S315" s="33" t="str">
        <f>IFERROR(MasterData!$D315,"")</f>
        <v/>
      </c>
      <c r="T315" s="33" t="str">
        <f>IFERROR(MasterData!$E315,"")</f>
        <v/>
      </c>
      <c r="U315" s="33" t="str">
        <f>IFERROR(MasterData!$F315,"")</f>
        <v/>
      </c>
      <c r="V315" s="33" t="str">
        <f>IFERROR(MasterData!$I315,"")</f>
        <v/>
      </c>
      <c r="W315" s="33" t="str">
        <f>IFERROR(MasterData!$H315,"")</f>
        <v/>
      </c>
    </row>
    <row r="316" ht="14.25" customHeight="1">
      <c r="Q316" s="33" t="str">
        <f>IFERROR(MasterData!$B316,"")</f>
        <v/>
      </c>
      <c r="R316" s="33" t="str">
        <f>IFERROR(MasterData!$C316,"")</f>
        <v/>
      </c>
      <c r="S316" s="33" t="str">
        <f>IFERROR(MasterData!$D316,"")</f>
        <v/>
      </c>
      <c r="T316" s="33" t="str">
        <f>IFERROR(MasterData!$E316,"")</f>
        <v/>
      </c>
      <c r="U316" s="33" t="str">
        <f>IFERROR(MasterData!$F316,"")</f>
        <v/>
      </c>
      <c r="V316" s="33" t="str">
        <f>IFERROR(MasterData!$I316,"")</f>
        <v/>
      </c>
      <c r="W316" s="33" t="str">
        <f>IFERROR(MasterData!$H316,"")</f>
        <v/>
      </c>
    </row>
    <row r="317" ht="14.25" customHeight="1">
      <c r="Q317" s="33" t="str">
        <f>IFERROR(MasterData!$B317,"")</f>
        <v/>
      </c>
      <c r="R317" s="33" t="str">
        <f>IFERROR(MasterData!$C317,"")</f>
        <v/>
      </c>
      <c r="S317" s="33" t="str">
        <f>IFERROR(MasterData!$D317,"")</f>
        <v/>
      </c>
      <c r="T317" s="33" t="str">
        <f>IFERROR(MasterData!$E317,"")</f>
        <v/>
      </c>
      <c r="U317" s="33" t="str">
        <f>IFERROR(MasterData!$F317,"")</f>
        <v/>
      </c>
      <c r="V317" s="33" t="str">
        <f>IFERROR(MasterData!$I317,"")</f>
        <v/>
      </c>
      <c r="W317" s="33" t="str">
        <f>IFERROR(MasterData!$H317,"")</f>
        <v/>
      </c>
    </row>
    <row r="318" ht="14.25" customHeight="1">
      <c r="Q318" s="33" t="str">
        <f>IFERROR(MasterData!$B318,"")</f>
        <v/>
      </c>
      <c r="R318" s="33" t="str">
        <f>IFERROR(MasterData!$C318,"")</f>
        <v/>
      </c>
      <c r="S318" s="33" t="str">
        <f>IFERROR(MasterData!$D318,"")</f>
        <v/>
      </c>
      <c r="T318" s="33" t="str">
        <f>IFERROR(MasterData!$E318,"")</f>
        <v/>
      </c>
      <c r="U318" s="33" t="str">
        <f>IFERROR(MasterData!$F318,"")</f>
        <v/>
      </c>
      <c r="V318" s="33" t="str">
        <f>IFERROR(MasterData!$I318,"")</f>
        <v/>
      </c>
      <c r="W318" s="33" t="str">
        <f>IFERROR(MasterData!$H318,"")</f>
        <v/>
      </c>
    </row>
    <row r="319" ht="14.25" customHeight="1">
      <c r="Q319" s="33" t="str">
        <f>IFERROR(MasterData!$B319,"")</f>
        <v/>
      </c>
      <c r="R319" s="33" t="str">
        <f>IFERROR(MasterData!$C319,"")</f>
        <v/>
      </c>
      <c r="S319" s="33" t="str">
        <f>IFERROR(MasterData!$D319,"")</f>
        <v/>
      </c>
      <c r="T319" s="33" t="str">
        <f>IFERROR(MasterData!$E319,"")</f>
        <v/>
      </c>
      <c r="U319" s="33" t="str">
        <f>IFERROR(MasterData!$F319,"")</f>
        <v/>
      </c>
      <c r="V319" s="33" t="str">
        <f>IFERROR(MasterData!$I319,"")</f>
        <v/>
      </c>
      <c r="W319" s="33" t="str">
        <f>IFERROR(MasterData!$H319,"")</f>
        <v/>
      </c>
    </row>
    <row r="320" ht="14.25" customHeight="1">
      <c r="Q320" s="33" t="str">
        <f>IFERROR(MasterData!$B320,"")</f>
        <v/>
      </c>
      <c r="R320" s="33" t="str">
        <f>IFERROR(MasterData!$C320,"")</f>
        <v/>
      </c>
      <c r="S320" s="33" t="str">
        <f>IFERROR(MasterData!$D320,"")</f>
        <v/>
      </c>
      <c r="T320" s="33" t="str">
        <f>IFERROR(MasterData!$E320,"")</f>
        <v/>
      </c>
      <c r="U320" s="33" t="str">
        <f>IFERROR(MasterData!$F320,"")</f>
        <v/>
      </c>
      <c r="V320" s="33" t="str">
        <f>IFERROR(MasterData!$I320,"")</f>
        <v/>
      </c>
      <c r="W320" s="33" t="str">
        <f>IFERROR(MasterData!$H320,"")</f>
        <v/>
      </c>
    </row>
    <row r="321" ht="14.25" customHeight="1">
      <c r="Q321" s="33" t="str">
        <f>IFERROR(MasterData!$B321,"")</f>
        <v/>
      </c>
      <c r="R321" s="33" t="str">
        <f>IFERROR(MasterData!$C321,"")</f>
        <v/>
      </c>
      <c r="S321" s="33" t="str">
        <f>IFERROR(MasterData!$D321,"")</f>
        <v/>
      </c>
      <c r="T321" s="33" t="str">
        <f>IFERROR(MasterData!$E321,"")</f>
        <v/>
      </c>
      <c r="U321" s="33" t="str">
        <f>IFERROR(MasterData!$F321,"")</f>
        <v/>
      </c>
      <c r="V321" s="33" t="str">
        <f>IFERROR(MasterData!$I321,"")</f>
        <v/>
      </c>
      <c r="W321" s="33" t="str">
        <f>IFERROR(MasterData!$H321,"")</f>
        <v/>
      </c>
    </row>
    <row r="322" ht="14.25" customHeight="1">
      <c r="Q322" s="33" t="str">
        <f>IFERROR(MasterData!$B322,"")</f>
        <v/>
      </c>
      <c r="R322" s="33" t="str">
        <f>IFERROR(MasterData!$C322,"")</f>
        <v/>
      </c>
      <c r="S322" s="33" t="str">
        <f>IFERROR(MasterData!$D322,"")</f>
        <v/>
      </c>
      <c r="T322" s="33" t="str">
        <f>IFERROR(MasterData!$E322,"")</f>
        <v/>
      </c>
      <c r="U322" s="33" t="str">
        <f>IFERROR(MasterData!$F322,"")</f>
        <v/>
      </c>
      <c r="V322" s="33" t="str">
        <f>IFERROR(MasterData!$I322,"")</f>
        <v/>
      </c>
      <c r="W322" s="33" t="str">
        <f>IFERROR(MasterData!$H322,"")</f>
        <v/>
      </c>
    </row>
    <row r="323" ht="14.25" customHeight="1">
      <c r="Q323" s="33" t="str">
        <f>IFERROR(MasterData!$B323,"")</f>
        <v/>
      </c>
      <c r="R323" s="33" t="str">
        <f>IFERROR(MasterData!$C323,"")</f>
        <v/>
      </c>
      <c r="S323" s="33" t="str">
        <f>IFERROR(MasterData!$D323,"")</f>
        <v/>
      </c>
      <c r="T323" s="33" t="str">
        <f>IFERROR(MasterData!$E323,"")</f>
        <v/>
      </c>
      <c r="U323" s="33" t="str">
        <f>IFERROR(MasterData!$F323,"")</f>
        <v/>
      </c>
      <c r="V323" s="33" t="str">
        <f>IFERROR(MasterData!$I323,"")</f>
        <v/>
      </c>
      <c r="W323" s="33" t="str">
        <f>IFERROR(MasterData!$H323,"")</f>
        <v/>
      </c>
    </row>
    <row r="324" ht="14.25" customHeight="1">
      <c r="Q324" s="33" t="str">
        <f>IFERROR(MasterData!$B324,"")</f>
        <v/>
      </c>
      <c r="R324" s="33" t="str">
        <f>IFERROR(MasterData!$C324,"")</f>
        <v/>
      </c>
      <c r="S324" s="33" t="str">
        <f>IFERROR(MasterData!$D324,"")</f>
        <v/>
      </c>
      <c r="T324" s="33" t="str">
        <f>IFERROR(MasterData!$E324,"")</f>
        <v/>
      </c>
      <c r="U324" s="33" t="str">
        <f>IFERROR(MasterData!$F324,"")</f>
        <v/>
      </c>
      <c r="V324" s="33" t="str">
        <f>IFERROR(MasterData!$I324,"")</f>
        <v/>
      </c>
      <c r="W324" s="33" t="str">
        <f>IFERROR(MasterData!$H324,"")</f>
        <v/>
      </c>
    </row>
    <row r="325" ht="14.25" customHeight="1">
      <c r="Q325" s="33" t="str">
        <f>IFERROR(MasterData!$B325,"")</f>
        <v/>
      </c>
      <c r="R325" s="33" t="str">
        <f>IFERROR(MasterData!$C325,"")</f>
        <v/>
      </c>
      <c r="S325" s="33" t="str">
        <f>IFERROR(MasterData!$D325,"")</f>
        <v/>
      </c>
      <c r="T325" s="33" t="str">
        <f>IFERROR(MasterData!$E325,"")</f>
        <v/>
      </c>
      <c r="U325" s="33" t="str">
        <f>IFERROR(MasterData!$F325,"")</f>
        <v/>
      </c>
      <c r="V325" s="33" t="str">
        <f>IFERROR(MasterData!$I325,"")</f>
        <v/>
      </c>
      <c r="W325" s="33" t="str">
        <f>IFERROR(MasterData!$H325,"")</f>
        <v/>
      </c>
    </row>
    <row r="326" ht="14.25" customHeight="1">
      <c r="Q326" s="33" t="str">
        <f>IFERROR(MasterData!$B326,"")</f>
        <v/>
      </c>
      <c r="R326" s="33" t="str">
        <f>IFERROR(MasterData!$C326,"")</f>
        <v/>
      </c>
      <c r="S326" s="33" t="str">
        <f>IFERROR(MasterData!$D326,"")</f>
        <v/>
      </c>
      <c r="T326" s="33" t="str">
        <f>IFERROR(MasterData!$E326,"")</f>
        <v/>
      </c>
      <c r="U326" s="33" t="str">
        <f>IFERROR(MasterData!$F326,"")</f>
        <v/>
      </c>
      <c r="V326" s="33" t="str">
        <f>IFERROR(MasterData!$I326,"")</f>
        <v/>
      </c>
      <c r="W326" s="33" t="str">
        <f>IFERROR(MasterData!$H326,"")</f>
        <v/>
      </c>
    </row>
    <row r="327" ht="14.25" customHeight="1">
      <c r="Q327" s="33" t="str">
        <f>IFERROR(MasterData!$B327,"")</f>
        <v/>
      </c>
      <c r="R327" s="33" t="str">
        <f>IFERROR(MasterData!$C327,"")</f>
        <v/>
      </c>
      <c r="S327" s="33" t="str">
        <f>IFERROR(MasterData!$D327,"")</f>
        <v/>
      </c>
      <c r="T327" s="33" t="str">
        <f>IFERROR(MasterData!$E327,"")</f>
        <v/>
      </c>
      <c r="U327" s="33" t="str">
        <f>IFERROR(MasterData!$F327,"")</f>
        <v/>
      </c>
      <c r="V327" s="33" t="str">
        <f>IFERROR(MasterData!$I327,"")</f>
        <v/>
      </c>
      <c r="W327" s="33" t="str">
        <f>IFERROR(MasterData!$H327,"")</f>
        <v/>
      </c>
    </row>
    <row r="328" ht="14.25" customHeight="1">
      <c r="Q328" s="33" t="str">
        <f>IFERROR(MasterData!$B328,"")</f>
        <v/>
      </c>
      <c r="R328" s="33" t="str">
        <f>IFERROR(MasterData!$C328,"")</f>
        <v/>
      </c>
      <c r="S328" s="33" t="str">
        <f>IFERROR(MasterData!$D328,"")</f>
        <v/>
      </c>
      <c r="T328" s="33" t="str">
        <f>IFERROR(MasterData!$E328,"")</f>
        <v/>
      </c>
      <c r="U328" s="33" t="str">
        <f>IFERROR(MasterData!$F328,"")</f>
        <v/>
      </c>
      <c r="V328" s="33" t="str">
        <f>IFERROR(MasterData!$I328,"")</f>
        <v/>
      </c>
      <c r="W328" s="33" t="str">
        <f>IFERROR(MasterData!$H328,"")</f>
        <v/>
      </c>
    </row>
    <row r="329" ht="14.25" customHeight="1">
      <c r="Q329" s="33" t="str">
        <f>IFERROR(MasterData!$B329,"")</f>
        <v/>
      </c>
      <c r="R329" s="33" t="str">
        <f>IFERROR(MasterData!$C329,"")</f>
        <v/>
      </c>
      <c r="S329" s="33" t="str">
        <f>IFERROR(MasterData!$D329,"")</f>
        <v/>
      </c>
      <c r="T329" s="33" t="str">
        <f>IFERROR(MasterData!$E329,"")</f>
        <v/>
      </c>
      <c r="U329" s="33" t="str">
        <f>IFERROR(MasterData!$F329,"")</f>
        <v/>
      </c>
      <c r="V329" s="33" t="str">
        <f>IFERROR(MasterData!$I329,"")</f>
        <v/>
      </c>
      <c r="W329" s="33" t="str">
        <f>IFERROR(MasterData!$H329,"")</f>
        <v/>
      </c>
    </row>
    <row r="330" ht="14.25" customHeight="1">
      <c r="Q330" s="33" t="str">
        <f>IFERROR(MasterData!$B330,"")</f>
        <v/>
      </c>
      <c r="R330" s="33" t="str">
        <f>IFERROR(MasterData!$C330,"")</f>
        <v/>
      </c>
      <c r="S330" s="33" t="str">
        <f>IFERROR(MasterData!$D330,"")</f>
        <v/>
      </c>
      <c r="T330" s="33" t="str">
        <f>IFERROR(MasterData!$E330,"")</f>
        <v/>
      </c>
      <c r="U330" s="33" t="str">
        <f>IFERROR(MasterData!$F330,"")</f>
        <v/>
      </c>
      <c r="V330" s="33" t="str">
        <f>IFERROR(MasterData!$I330,"")</f>
        <v/>
      </c>
      <c r="W330" s="33" t="str">
        <f>IFERROR(MasterData!$H330,"")</f>
        <v/>
      </c>
    </row>
    <row r="331" ht="14.25" customHeight="1">
      <c r="Q331" s="33" t="str">
        <f>IFERROR(MasterData!$B331,"")</f>
        <v/>
      </c>
      <c r="R331" s="33" t="str">
        <f>IFERROR(MasterData!$C331,"")</f>
        <v/>
      </c>
      <c r="S331" s="33" t="str">
        <f>IFERROR(MasterData!$D331,"")</f>
        <v/>
      </c>
      <c r="T331" s="33" t="str">
        <f>IFERROR(MasterData!$E331,"")</f>
        <v/>
      </c>
      <c r="U331" s="33" t="str">
        <f>IFERROR(MasterData!$F331,"")</f>
        <v/>
      </c>
      <c r="V331" s="33" t="str">
        <f>IFERROR(MasterData!$I331,"")</f>
        <v/>
      </c>
      <c r="W331" s="33" t="str">
        <f>IFERROR(MasterData!$H331,"")</f>
        <v/>
      </c>
    </row>
    <row r="332" ht="14.25" customHeight="1">
      <c r="Q332" s="33" t="str">
        <f>IFERROR(MasterData!$B332,"")</f>
        <v/>
      </c>
      <c r="R332" s="33" t="str">
        <f>IFERROR(MasterData!$C332,"")</f>
        <v/>
      </c>
      <c r="S332" s="33" t="str">
        <f>IFERROR(MasterData!$D332,"")</f>
        <v/>
      </c>
      <c r="T332" s="33" t="str">
        <f>IFERROR(MasterData!$E332,"")</f>
        <v/>
      </c>
      <c r="U332" s="33" t="str">
        <f>IFERROR(MasterData!$F332,"")</f>
        <v/>
      </c>
      <c r="V332" s="33" t="str">
        <f>IFERROR(MasterData!$I332,"")</f>
        <v/>
      </c>
      <c r="W332" s="33" t="str">
        <f>IFERROR(MasterData!$H332,"")</f>
        <v/>
      </c>
    </row>
    <row r="333" ht="14.25" customHeight="1">
      <c r="Q333" s="33" t="str">
        <f>IFERROR(MasterData!$B333,"")</f>
        <v/>
      </c>
      <c r="R333" s="33" t="str">
        <f>IFERROR(MasterData!$C333,"")</f>
        <v/>
      </c>
      <c r="S333" s="33" t="str">
        <f>IFERROR(MasterData!$D333,"")</f>
        <v/>
      </c>
      <c r="T333" s="33" t="str">
        <f>IFERROR(MasterData!$E333,"")</f>
        <v/>
      </c>
      <c r="U333" s="33" t="str">
        <f>IFERROR(MasterData!$F333,"")</f>
        <v/>
      </c>
      <c r="V333" s="33" t="str">
        <f>IFERROR(MasterData!$I333,"")</f>
        <v/>
      </c>
      <c r="W333" s="33" t="str">
        <f>IFERROR(MasterData!$H333,"")</f>
        <v/>
      </c>
    </row>
    <row r="334" ht="14.25" customHeight="1">
      <c r="Q334" s="33" t="str">
        <f>IFERROR(MasterData!$B334,"")</f>
        <v/>
      </c>
      <c r="R334" s="33" t="str">
        <f>IFERROR(MasterData!$C334,"")</f>
        <v/>
      </c>
      <c r="S334" s="33" t="str">
        <f>IFERROR(MasterData!$D334,"")</f>
        <v/>
      </c>
      <c r="T334" s="33" t="str">
        <f>IFERROR(MasterData!$E334,"")</f>
        <v/>
      </c>
      <c r="U334" s="33" t="str">
        <f>IFERROR(MasterData!$F334,"")</f>
        <v/>
      </c>
      <c r="V334" s="33" t="str">
        <f>IFERROR(MasterData!$I334,"")</f>
        <v/>
      </c>
      <c r="W334" s="33" t="str">
        <f>IFERROR(MasterData!$H334,"")</f>
        <v/>
      </c>
    </row>
    <row r="335" ht="14.25" customHeight="1">
      <c r="Q335" s="33" t="str">
        <f>IFERROR(MasterData!$B335,"")</f>
        <v/>
      </c>
      <c r="R335" s="33" t="str">
        <f>IFERROR(MasterData!$C335,"")</f>
        <v/>
      </c>
      <c r="S335" s="33" t="str">
        <f>IFERROR(MasterData!$D335,"")</f>
        <v/>
      </c>
      <c r="T335" s="33" t="str">
        <f>IFERROR(MasterData!$E335,"")</f>
        <v/>
      </c>
      <c r="U335" s="33" t="str">
        <f>IFERROR(MasterData!$F335,"")</f>
        <v/>
      </c>
      <c r="V335" s="33" t="str">
        <f>IFERROR(MasterData!$I335,"")</f>
        <v/>
      </c>
      <c r="W335" s="33" t="str">
        <f>IFERROR(MasterData!$H335,"")</f>
        <v/>
      </c>
    </row>
    <row r="336" ht="14.25" customHeight="1">
      <c r="Q336" s="33" t="str">
        <f>IFERROR(MasterData!$B336,"")</f>
        <v/>
      </c>
      <c r="R336" s="33" t="str">
        <f>IFERROR(MasterData!$C336,"")</f>
        <v/>
      </c>
      <c r="S336" s="33" t="str">
        <f>IFERROR(MasterData!$D336,"")</f>
        <v/>
      </c>
      <c r="T336" s="33" t="str">
        <f>IFERROR(MasterData!$E336,"")</f>
        <v/>
      </c>
      <c r="U336" s="33" t="str">
        <f>IFERROR(MasterData!$F336,"")</f>
        <v/>
      </c>
      <c r="V336" s="33" t="str">
        <f>IFERROR(MasterData!$I336,"")</f>
        <v/>
      </c>
      <c r="W336" s="33" t="str">
        <f>IFERROR(MasterData!$H336,"")</f>
        <v/>
      </c>
    </row>
    <row r="337" ht="14.25" customHeight="1">
      <c r="Q337" s="33" t="str">
        <f>IFERROR(MasterData!$B337,"")</f>
        <v/>
      </c>
      <c r="R337" s="33" t="str">
        <f>IFERROR(MasterData!$C337,"")</f>
        <v/>
      </c>
      <c r="S337" s="33" t="str">
        <f>IFERROR(MasterData!$D337,"")</f>
        <v/>
      </c>
      <c r="T337" s="33" t="str">
        <f>IFERROR(MasterData!$E337,"")</f>
        <v/>
      </c>
      <c r="U337" s="33" t="str">
        <f>IFERROR(MasterData!$F337,"")</f>
        <v/>
      </c>
      <c r="V337" s="33" t="str">
        <f>IFERROR(MasterData!$I337,"")</f>
        <v/>
      </c>
      <c r="W337" s="33" t="str">
        <f>IFERROR(MasterData!$H337,"")</f>
        <v/>
      </c>
    </row>
    <row r="338" ht="14.25" customHeight="1">
      <c r="Q338" s="33" t="str">
        <f>IFERROR(MasterData!$B338,"")</f>
        <v/>
      </c>
      <c r="R338" s="33" t="str">
        <f>IFERROR(MasterData!$C338,"")</f>
        <v/>
      </c>
      <c r="S338" s="33" t="str">
        <f>IFERROR(MasterData!$D338,"")</f>
        <v/>
      </c>
      <c r="T338" s="33" t="str">
        <f>IFERROR(MasterData!$E338,"")</f>
        <v/>
      </c>
      <c r="U338" s="33" t="str">
        <f>IFERROR(MasterData!$F338,"")</f>
        <v/>
      </c>
      <c r="V338" s="33" t="str">
        <f>IFERROR(MasterData!$I338,"")</f>
        <v/>
      </c>
      <c r="W338" s="33" t="str">
        <f>IFERROR(MasterData!$H338,"")</f>
        <v/>
      </c>
    </row>
    <row r="339" ht="14.25" customHeight="1">
      <c r="Q339" s="33" t="str">
        <f>IFERROR(MasterData!$B339,"")</f>
        <v/>
      </c>
      <c r="R339" s="33" t="str">
        <f>IFERROR(MasterData!$C339,"")</f>
        <v/>
      </c>
      <c r="S339" s="33" t="str">
        <f>IFERROR(MasterData!$D339,"")</f>
        <v/>
      </c>
      <c r="T339" s="33" t="str">
        <f>IFERROR(MasterData!$E339,"")</f>
        <v/>
      </c>
      <c r="U339" s="33" t="str">
        <f>IFERROR(MasterData!$F339,"")</f>
        <v/>
      </c>
      <c r="V339" s="33" t="str">
        <f>IFERROR(MasterData!$I339,"")</f>
        <v/>
      </c>
      <c r="W339" s="33" t="str">
        <f>IFERROR(MasterData!$H339,"")</f>
        <v/>
      </c>
    </row>
    <row r="340" ht="14.25" customHeight="1">
      <c r="Q340" s="33" t="str">
        <f>IFERROR(MasterData!$B340,"")</f>
        <v/>
      </c>
      <c r="R340" s="33" t="str">
        <f>IFERROR(MasterData!$C340,"")</f>
        <v/>
      </c>
      <c r="S340" s="33" t="str">
        <f>IFERROR(MasterData!$D340,"")</f>
        <v/>
      </c>
      <c r="T340" s="33" t="str">
        <f>IFERROR(MasterData!$E340,"")</f>
        <v/>
      </c>
      <c r="U340" s="33" t="str">
        <f>IFERROR(MasterData!$F340,"")</f>
        <v/>
      </c>
      <c r="V340" s="33" t="str">
        <f>IFERROR(MasterData!$I340,"")</f>
        <v/>
      </c>
      <c r="W340" s="33" t="str">
        <f>IFERROR(MasterData!$H340,"")</f>
        <v/>
      </c>
    </row>
    <row r="341" ht="14.25" customHeight="1">
      <c r="Q341" s="33" t="str">
        <f>IFERROR(MasterData!$B341,"")</f>
        <v/>
      </c>
      <c r="R341" s="33" t="str">
        <f>IFERROR(MasterData!$C341,"")</f>
        <v/>
      </c>
      <c r="S341" s="33" t="str">
        <f>IFERROR(MasterData!$D341,"")</f>
        <v/>
      </c>
      <c r="T341" s="33" t="str">
        <f>IFERROR(MasterData!$E341,"")</f>
        <v/>
      </c>
      <c r="U341" s="33" t="str">
        <f>IFERROR(MasterData!$F341,"")</f>
        <v/>
      </c>
      <c r="V341" s="33" t="str">
        <f>IFERROR(MasterData!$I341,"")</f>
        <v/>
      </c>
      <c r="W341" s="33" t="str">
        <f>IFERROR(MasterData!$H341,"")</f>
        <v/>
      </c>
    </row>
    <row r="342" ht="14.25" customHeight="1">
      <c r="Q342" s="33" t="str">
        <f>IFERROR(MasterData!$B342,"")</f>
        <v/>
      </c>
      <c r="R342" s="33" t="str">
        <f>IFERROR(MasterData!$C342,"")</f>
        <v/>
      </c>
      <c r="S342" s="33" t="str">
        <f>IFERROR(MasterData!$D342,"")</f>
        <v/>
      </c>
      <c r="T342" s="33" t="str">
        <f>IFERROR(MasterData!$E342,"")</f>
        <v/>
      </c>
      <c r="U342" s="33" t="str">
        <f>IFERROR(MasterData!$F342,"")</f>
        <v/>
      </c>
      <c r="V342" s="33" t="str">
        <f>IFERROR(MasterData!$I342,"")</f>
        <v/>
      </c>
      <c r="W342" s="33" t="str">
        <f>IFERROR(MasterData!$H342,"")</f>
        <v/>
      </c>
    </row>
    <row r="343" ht="14.25" customHeight="1">
      <c r="Q343" s="33" t="str">
        <f>IFERROR(MasterData!$B343,"")</f>
        <v/>
      </c>
      <c r="R343" s="33" t="str">
        <f>IFERROR(MasterData!$C343,"")</f>
        <v/>
      </c>
      <c r="S343" s="33" t="str">
        <f>IFERROR(MasterData!$D343,"")</f>
        <v/>
      </c>
      <c r="T343" s="33" t="str">
        <f>IFERROR(MasterData!$E343,"")</f>
        <v/>
      </c>
      <c r="U343" s="33" t="str">
        <f>IFERROR(MasterData!$F343,"")</f>
        <v/>
      </c>
      <c r="V343" s="33" t="str">
        <f>IFERROR(MasterData!$I343,"")</f>
        <v/>
      </c>
      <c r="W343" s="33" t="str">
        <f>IFERROR(MasterData!$H343,"")</f>
        <v/>
      </c>
    </row>
    <row r="344" ht="14.25" customHeight="1">
      <c r="Q344" s="33" t="str">
        <f>IFERROR(MasterData!$B344,"")</f>
        <v/>
      </c>
      <c r="R344" s="33" t="str">
        <f>IFERROR(MasterData!$C344,"")</f>
        <v/>
      </c>
      <c r="S344" s="33" t="str">
        <f>IFERROR(MasterData!$D344,"")</f>
        <v/>
      </c>
      <c r="T344" s="33" t="str">
        <f>IFERROR(MasterData!$E344,"")</f>
        <v/>
      </c>
      <c r="U344" s="33" t="str">
        <f>IFERROR(MasterData!$F344,"")</f>
        <v/>
      </c>
      <c r="V344" s="33" t="str">
        <f>IFERROR(MasterData!$I344,"")</f>
        <v/>
      </c>
      <c r="W344" s="33" t="str">
        <f>IFERROR(MasterData!$H344,"")</f>
        <v/>
      </c>
    </row>
    <row r="345" ht="14.25" customHeight="1">
      <c r="Q345" s="33" t="str">
        <f>IFERROR(MasterData!$B345,"")</f>
        <v/>
      </c>
      <c r="R345" s="33" t="str">
        <f>IFERROR(MasterData!$C345,"")</f>
        <v/>
      </c>
      <c r="S345" s="33" t="str">
        <f>IFERROR(MasterData!$D345,"")</f>
        <v/>
      </c>
      <c r="T345" s="33" t="str">
        <f>IFERROR(MasterData!$E345,"")</f>
        <v/>
      </c>
      <c r="U345" s="33" t="str">
        <f>IFERROR(MasterData!$F345,"")</f>
        <v/>
      </c>
      <c r="V345" s="33" t="str">
        <f>IFERROR(MasterData!$I345,"")</f>
        <v/>
      </c>
      <c r="W345" s="33" t="str">
        <f>IFERROR(MasterData!$H345,"")</f>
        <v/>
      </c>
    </row>
    <row r="346" ht="14.25" customHeight="1">
      <c r="Q346" s="33" t="str">
        <f>IFERROR(MasterData!$B346,"")</f>
        <v/>
      </c>
      <c r="R346" s="33" t="str">
        <f>IFERROR(MasterData!$C346,"")</f>
        <v/>
      </c>
      <c r="S346" s="33" t="str">
        <f>IFERROR(MasterData!$D346,"")</f>
        <v/>
      </c>
      <c r="T346" s="33" t="str">
        <f>IFERROR(MasterData!$E346,"")</f>
        <v/>
      </c>
      <c r="U346" s="33" t="str">
        <f>IFERROR(MasterData!$F346,"")</f>
        <v/>
      </c>
      <c r="V346" s="33" t="str">
        <f>IFERROR(MasterData!$I346,"")</f>
        <v/>
      </c>
      <c r="W346" s="33" t="str">
        <f>IFERROR(MasterData!$H346,"")</f>
        <v/>
      </c>
    </row>
    <row r="347" ht="14.25" customHeight="1">
      <c r="Q347" s="33" t="str">
        <f>IFERROR(MasterData!$B347,"")</f>
        <v/>
      </c>
      <c r="R347" s="33" t="str">
        <f>IFERROR(MasterData!$C347,"")</f>
        <v/>
      </c>
      <c r="S347" s="33" t="str">
        <f>IFERROR(MasterData!$D347,"")</f>
        <v/>
      </c>
      <c r="T347" s="33" t="str">
        <f>IFERROR(MasterData!$E347,"")</f>
        <v/>
      </c>
      <c r="U347" s="33" t="str">
        <f>IFERROR(MasterData!$F347,"")</f>
        <v/>
      </c>
      <c r="V347" s="33" t="str">
        <f>IFERROR(MasterData!$I347,"")</f>
        <v/>
      </c>
      <c r="W347" s="33" t="str">
        <f>IFERROR(MasterData!$H347,"")</f>
        <v/>
      </c>
    </row>
    <row r="348" ht="14.25" customHeight="1">
      <c r="Q348" s="33" t="str">
        <f>IFERROR(MasterData!$B348,"")</f>
        <v/>
      </c>
      <c r="R348" s="33" t="str">
        <f>IFERROR(MasterData!$C348,"")</f>
        <v/>
      </c>
      <c r="S348" s="33" t="str">
        <f>IFERROR(MasterData!$D348,"")</f>
        <v/>
      </c>
      <c r="T348" s="33" t="str">
        <f>IFERROR(MasterData!$E348,"")</f>
        <v/>
      </c>
      <c r="U348" s="33" t="str">
        <f>IFERROR(MasterData!$F348,"")</f>
        <v/>
      </c>
      <c r="V348" s="33" t="str">
        <f>IFERROR(MasterData!$I348,"")</f>
        <v/>
      </c>
      <c r="W348" s="33" t="str">
        <f>IFERROR(MasterData!$H348,"")</f>
        <v/>
      </c>
    </row>
    <row r="349" ht="14.25" customHeight="1">
      <c r="Q349" s="33" t="str">
        <f>IFERROR(MasterData!$B349,"")</f>
        <v/>
      </c>
      <c r="R349" s="33" t="str">
        <f>IFERROR(MasterData!$C349,"")</f>
        <v/>
      </c>
      <c r="S349" s="33" t="str">
        <f>IFERROR(MasterData!$D349,"")</f>
        <v/>
      </c>
      <c r="T349" s="33" t="str">
        <f>IFERROR(MasterData!$E349,"")</f>
        <v/>
      </c>
      <c r="U349" s="33" t="str">
        <f>IFERROR(MasterData!$F349,"")</f>
        <v/>
      </c>
      <c r="V349" s="33" t="str">
        <f>IFERROR(MasterData!$I349,"")</f>
        <v/>
      </c>
      <c r="W349" s="33" t="str">
        <f>IFERROR(MasterData!$H349,"")</f>
        <v/>
      </c>
    </row>
    <row r="350" ht="14.25" customHeight="1">
      <c r="Q350" s="33" t="str">
        <f>IFERROR(MasterData!$B350,"")</f>
        <v/>
      </c>
      <c r="R350" s="33" t="str">
        <f>IFERROR(MasterData!$C350,"")</f>
        <v/>
      </c>
      <c r="S350" s="33" t="str">
        <f>IFERROR(MasterData!$D350,"")</f>
        <v/>
      </c>
      <c r="T350" s="33" t="str">
        <f>IFERROR(MasterData!$E350,"")</f>
        <v/>
      </c>
      <c r="U350" s="33" t="str">
        <f>IFERROR(MasterData!$F350,"")</f>
        <v/>
      </c>
      <c r="V350" s="33" t="str">
        <f>IFERROR(MasterData!$I350,"")</f>
        <v/>
      </c>
      <c r="W350" s="33" t="str">
        <f>IFERROR(MasterData!$H350,"")</f>
        <v/>
      </c>
    </row>
    <row r="351" ht="14.25" customHeight="1">
      <c r="Q351" s="33" t="str">
        <f>IFERROR(MasterData!$B351,"")</f>
        <v/>
      </c>
      <c r="R351" s="33" t="str">
        <f>IFERROR(MasterData!$C351,"")</f>
        <v/>
      </c>
      <c r="S351" s="33" t="str">
        <f>IFERROR(MasterData!$D351,"")</f>
        <v/>
      </c>
      <c r="T351" s="33" t="str">
        <f>IFERROR(MasterData!$E351,"")</f>
        <v/>
      </c>
      <c r="U351" s="33" t="str">
        <f>IFERROR(MasterData!$F351,"")</f>
        <v/>
      </c>
      <c r="V351" s="33" t="str">
        <f>IFERROR(MasterData!$I351,"")</f>
        <v/>
      </c>
      <c r="W351" s="33" t="str">
        <f>IFERROR(MasterData!$H351,"")</f>
        <v/>
      </c>
    </row>
    <row r="352" ht="14.25" customHeight="1">
      <c r="Q352" s="33" t="str">
        <f>IFERROR(MasterData!$B352,"")</f>
        <v/>
      </c>
      <c r="R352" s="33" t="str">
        <f>IFERROR(MasterData!$C352,"")</f>
        <v/>
      </c>
      <c r="S352" s="33" t="str">
        <f>IFERROR(MasterData!$D352,"")</f>
        <v/>
      </c>
      <c r="T352" s="33" t="str">
        <f>IFERROR(MasterData!$E352,"")</f>
        <v/>
      </c>
      <c r="U352" s="33" t="str">
        <f>IFERROR(MasterData!$F352,"")</f>
        <v/>
      </c>
      <c r="V352" s="33" t="str">
        <f>IFERROR(MasterData!$I352,"")</f>
        <v/>
      </c>
      <c r="W352" s="33" t="str">
        <f>IFERROR(MasterData!$H352,"")</f>
        <v/>
      </c>
    </row>
    <row r="353" ht="14.25" customHeight="1">
      <c r="Q353" s="33" t="str">
        <f>IFERROR(MasterData!$B353,"")</f>
        <v/>
      </c>
      <c r="R353" s="33" t="str">
        <f>IFERROR(MasterData!$C353,"")</f>
        <v/>
      </c>
      <c r="S353" s="33" t="str">
        <f>IFERROR(MasterData!$D353,"")</f>
        <v/>
      </c>
      <c r="T353" s="33" t="str">
        <f>IFERROR(MasterData!$E353,"")</f>
        <v/>
      </c>
      <c r="U353" s="33" t="str">
        <f>IFERROR(MasterData!$F353,"")</f>
        <v/>
      </c>
      <c r="V353" s="33" t="str">
        <f>IFERROR(MasterData!$I353,"")</f>
        <v/>
      </c>
      <c r="W353" s="33" t="str">
        <f>IFERROR(MasterData!$H353,"")</f>
        <v/>
      </c>
    </row>
    <row r="354" ht="14.25" customHeight="1">
      <c r="Q354" s="33" t="str">
        <f>IFERROR(MasterData!$B354,"")</f>
        <v/>
      </c>
      <c r="R354" s="33" t="str">
        <f>IFERROR(MasterData!$C354,"")</f>
        <v/>
      </c>
      <c r="S354" s="33" t="str">
        <f>IFERROR(MasterData!$D354,"")</f>
        <v/>
      </c>
      <c r="T354" s="33" t="str">
        <f>IFERROR(MasterData!$E354,"")</f>
        <v/>
      </c>
      <c r="U354" s="33" t="str">
        <f>IFERROR(MasterData!$F354,"")</f>
        <v/>
      </c>
      <c r="V354" s="33" t="str">
        <f>IFERROR(MasterData!$I354,"")</f>
        <v/>
      </c>
      <c r="W354" s="33" t="str">
        <f>IFERROR(MasterData!$H354,"")</f>
        <v/>
      </c>
    </row>
    <row r="355" ht="14.25" customHeight="1">
      <c r="Q355" s="33" t="str">
        <f>IFERROR(MasterData!$B355,"")</f>
        <v/>
      </c>
      <c r="R355" s="33" t="str">
        <f>IFERROR(MasterData!$C355,"")</f>
        <v/>
      </c>
      <c r="S355" s="33" t="str">
        <f>IFERROR(MasterData!$D355,"")</f>
        <v/>
      </c>
      <c r="T355" s="33" t="str">
        <f>IFERROR(MasterData!$E355,"")</f>
        <v/>
      </c>
      <c r="U355" s="33" t="str">
        <f>IFERROR(MasterData!$F355,"")</f>
        <v/>
      </c>
      <c r="V355" s="33" t="str">
        <f>IFERROR(MasterData!$I355,"")</f>
        <v/>
      </c>
      <c r="W355" s="33" t="str">
        <f>IFERROR(MasterData!$H355,"")</f>
        <v/>
      </c>
    </row>
    <row r="356" ht="14.25" customHeight="1">
      <c r="Q356" s="33" t="str">
        <f>IFERROR(MasterData!$B356,"")</f>
        <v/>
      </c>
      <c r="R356" s="33" t="str">
        <f>IFERROR(MasterData!$C356,"")</f>
        <v/>
      </c>
      <c r="S356" s="33" t="str">
        <f>IFERROR(MasterData!$D356,"")</f>
        <v/>
      </c>
      <c r="T356" s="33" t="str">
        <f>IFERROR(MasterData!$E356,"")</f>
        <v/>
      </c>
      <c r="U356" s="33" t="str">
        <f>IFERROR(MasterData!$F356,"")</f>
        <v/>
      </c>
      <c r="V356" s="33" t="str">
        <f>IFERROR(MasterData!$I356,"")</f>
        <v/>
      </c>
      <c r="W356" s="33" t="str">
        <f>IFERROR(MasterData!$H356,"")</f>
        <v/>
      </c>
    </row>
    <row r="357" ht="14.25" customHeight="1">
      <c r="Q357" s="33" t="str">
        <f>IFERROR(MasterData!$B357,"")</f>
        <v/>
      </c>
      <c r="R357" s="33" t="str">
        <f>IFERROR(MasterData!$C357,"")</f>
        <v/>
      </c>
      <c r="S357" s="33" t="str">
        <f>IFERROR(MasterData!$D357,"")</f>
        <v/>
      </c>
      <c r="T357" s="33" t="str">
        <f>IFERROR(MasterData!$E357,"")</f>
        <v/>
      </c>
      <c r="U357" s="33" t="str">
        <f>IFERROR(MasterData!$F357,"")</f>
        <v/>
      </c>
      <c r="V357" s="33" t="str">
        <f>IFERROR(MasterData!$I357,"")</f>
        <v/>
      </c>
      <c r="W357" s="33" t="str">
        <f>IFERROR(MasterData!$H357,"")</f>
        <v/>
      </c>
    </row>
    <row r="358" ht="14.25" customHeight="1">
      <c r="Q358" s="33" t="str">
        <f>IFERROR(MasterData!$B358,"")</f>
        <v/>
      </c>
      <c r="R358" s="33" t="str">
        <f>IFERROR(MasterData!$C358,"")</f>
        <v/>
      </c>
      <c r="S358" s="33" t="str">
        <f>IFERROR(MasterData!$D358,"")</f>
        <v/>
      </c>
      <c r="T358" s="33" t="str">
        <f>IFERROR(MasterData!$E358,"")</f>
        <v/>
      </c>
      <c r="U358" s="33" t="str">
        <f>IFERROR(MasterData!$F358,"")</f>
        <v/>
      </c>
      <c r="V358" s="33" t="str">
        <f>IFERROR(MasterData!$I358,"")</f>
        <v/>
      </c>
      <c r="W358" s="33" t="str">
        <f>IFERROR(MasterData!$H358,"")</f>
        <v/>
      </c>
    </row>
    <row r="359" ht="14.25" customHeight="1">
      <c r="Q359" s="33" t="str">
        <f>IFERROR(MasterData!$B359,"")</f>
        <v/>
      </c>
      <c r="R359" s="33" t="str">
        <f>IFERROR(MasterData!$C359,"")</f>
        <v/>
      </c>
      <c r="S359" s="33" t="str">
        <f>IFERROR(MasterData!$D359,"")</f>
        <v/>
      </c>
      <c r="T359" s="33" t="str">
        <f>IFERROR(MasterData!$E359,"")</f>
        <v/>
      </c>
      <c r="U359" s="33" t="str">
        <f>IFERROR(MasterData!$F359,"")</f>
        <v/>
      </c>
      <c r="V359" s="33" t="str">
        <f>IFERROR(MasterData!$I359,"")</f>
        <v/>
      </c>
      <c r="W359" s="33" t="str">
        <f>IFERROR(MasterData!$H359,"")</f>
        <v/>
      </c>
    </row>
    <row r="360" ht="14.25" customHeight="1">
      <c r="Q360" s="33" t="str">
        <f>IFERROR(MasterData!$B360,"")</f>
        <v/>
      </c>
      <c r="R360" s="33" t="str">
        <f>IFERROR(MasterData!$C360,"")</f>
        <v/>
      </c>
      <c r="S360" s="33" t="str">
        <f>IFERROR(MasterData!$D360,"")</f>
        <v/>
      </c>
      <c r="T360" s="33" t="str">
        <f>IFERROR(MasterData!$E360,"")</f>
        <v/>
      </c>
      <c r="U360" s="33" t="str">
        <f>IFERROR(MasterData!$F360,"")</f>
        <v/>
      </c>
      <c r="V360" s="33" t="str">
        <f>IFERROR(MasterData!$I360,"")</f>
        <v/>
      </c>
      <c r="W360" s="33" t="str">
        <f>IFERROR(MasterData!$H360,"")</f>
        <v/>
      </c>
    </row>
    <row r="361" ht="14.25" customHeight="1">
      <c r="Q361" s="33" t="str">
        <f>IFERROR(MasterData!$B361,"")</f>
        <v/>
      </c>
      <c r="R361" s="33" t="str">
        <f>IFERROR(MasterData!$C361,"")</f>
        <v/>
      </c>
      <c r="S361" s="33" t="str">
        <f>IFERROR(MasterData!$D361,"")</f>
        <v/>
      </c>
      <c r="T361" s="33" t="str">
        <f>IFERROR(MasterData!$E361,"")</f>
        <v/>
      </c>
      <c r="U361" s="33" t="str">
        <f>IFERROR(MasterData!$F361,"")</f>
        <v/>
      </c>
      <c r="V361" s="33" t="str">
        <f>IFERROR(MasterData!$I361,"")</f>
        <v/>
      </c>
      <c r="W361" s="33" t="str">
        <f>IFERROR(MasterData!$H361,"")</f>
        <v/>
      </c>
    </row>
    <row r="362" ht="14.25" customHeight="1">
      <c r="Q362" s="33" t="str">
        <f>IFERROR(MasterData!$B362,"")</f>
        <v/>
      </c>
      <c r="R362" s="33" t="str">
        <f>IFERROR(MasterData!$C362,"")</f>
        <v/>
      </c>
      <c r="S362" s="33" t="str">
        <f>IFERROR(MasterData!$D362,"")</f>
        <v/>
      </c>
      <c r="T362" s="33" t="str">
        <f>IFERROR(MasterData!$E362,"")</f>
        <v/>
      </c>
      <c r="U362" s="33" t="str">
        <f>IFERROR(MasterData!$F362,"")</f>
        <v/>
      </c>
      <c r="V362" s="33" t="str">
        <f>IFERROR(MasterData!$I362,"")</f>
        <v/>
      </c>
      <c r="W362" s="33" t="str">
        <f>IFERROR(MasterData!$H362,"")</f>
        <v/>
      </c>
    </row>
    <row r="363" ht="14.25" customHeight="1">
      <c r="Q363" s="33" t="str">
        <f>IFERROR(MasterData!$B363,"")</f>
        <v/>
      </c>
      <c r="R363" s="33" t="str">
        <f>IFERROR(MasterData!$C363,"")</f>
        <v/>
      </c>
      <c r="S363" s="33" t="str">
        <f>IFERROR(MasterData!$D363,"")</f>
        <v/>
      </c>
      <c r="T363" s="33" t="str">
        <f>IFERROR(MasterData!$E363,"")</f>
        <v/>
      </c>
      <c r="U363" s="33" t="str">
        <f>IFERROR(MasterData!$F363,"")</f>
        <v/>
      </c>
      <c r="V363" s="33" t="str">
        <f>IFERROR(MasterData!$I363,"")</f>
        <v/>
      </c>
      <c r="W363" s="33" t="str">
        <f>IFERROR(MasterData!$H363,"")</f>
        <v/>
      </c>
    </row>
    <row r="364" ht="14.25" customHeight="1">
      <c r="Q364" s="33" t="str">
        <f>IFERROR(MasterData!$B364,"")</f>
        <v/>
      </c>
      <c r="R364" s="33" t="str">
        <f>IFERROR(MasterData!$C364,"")</f>
        <v/>
      </c>
      <c r="S364" s="33" t="str">
        <f>IFERROR(MasterData!$D364,"")</f>
        <v/>
      </c>
      <c r="T364" s="33" t="str">
        <f>IFERROR(MasterData!$E364,"")</f>
        <v/>
      </c>
      <c r="U364" s="33" t="str">
        <f>IFERROR(MasterData!$F364,"")</f>
        <v/>
      </c>
      <c r="V364" s="33" t="str">
        <f>IFERROR(MasterData!$I364,"")</f>
        <v/>
      </c>
      <c r="W364" s="33" t="str">
        <f>IFERROR(MasterData!$H364,"")</f>
        <v/>
      </c>
    </row>
    <row r="365" ht="14.25" customHeight="1">
      <c r="Q365" s="33" t="str">
        <f>IFERROR(MasterData!$B365,"")</f>
        <v/>
      </c>
      <c r="R365" s="33" t="str">
        <f>IFERROR(MasterData!$C365,"")</f>
        <v/>
      </c>
      <c r="S365" s="33" t="str">
        <f>IFERROR(MasterData!$D365,"")</f>
        <v/>
      </c>
      <c r="T365" s="33" t="str">
        <f>IFERROR(MasterData!$E365,"")</f>
        <v/>
      </c>
      <c r="U365" s="33" t="str">
        <f>IFERROR(MasterData!$F365,"")</f>
        <v/>
      </c>
      <c r="V365" s="33" t="str">
        <f>IFERROR(MasterData!$I365,"")</f>
        <v/>
      </c>
      <c r="W365" s="33" t="str">
        <f>IFERROR(MasterData!$H365,"")</f>
        <v/>
      </c>
    </row>
    <row r="366" ht="14.25" customHeight="1">
      <c r="Q366" s="33" t="str">
        <f>IFERROR(MasterData!$B366,"")</f>
        <v/>
      </c>
      <c r="R366" s="33" t="str">
        <f>IFERROR(MasterData!$C366,"")</f>
        <v/>
      </c>
      <c r="S366" s="33" t="str">
        <f>IFERROR(MasterData!$D366,"")</f>
        <v/>
      </c>
      <c r="T366" s="33" t="str">
        <f>IFERROR(MasterData!$E366,"")</f>
        <v/>
      </c>
      <c r="U366" s="33" t="str">
        <f>IFERROR(MasterData!$F366,"")</f>
        <v/>
      </c>
      <c r="V366" s="33" t="str">
        <f>IFERROR(MasterData!$I366,"")</f>
        <v/>
      </c>
      <c r="W366" s="33" t="str">
        <f>IFERROR(MasterData!$H366,"")</f>
        <v/>
      </c>
    </row>
    <row r="367" ht="14.25" customHeight="1">
      <c r="Q367" s="33" t="str">
        <f>IFERROR(MasterData!$B367,"")</f>
        <v/>
      </c>
      <c r="R367" s="33" t="str">
        <f>IFERROR(MasterData!$C367,"")</f>
        <v/>
      </c>
      <c r="S367" s="33" t="str">
        <f>IFERROR(MasterData!$D367,"")</f>
        <v/>
      </c>
      <c r="T367" s="33" t="str">
        <f>IFERROR(MasterData!$E367,"")</f>
        <v/>
      </c>
      <c r="U367" s="33" t="str">
        <f>IFERROR(MasterData!$F367,"")</f>
        <v/>
      </c>
      <c r="V367" s="33" t="str">
        <f>IFERROR(MasterData!$I367,"")</f>
        <v/>
      </c>
      <c r="W367" s="33" t="str">
        <f>IFERROR(MasterData!$H367,"")</f>
        <v/>
      </c>
    </row>
    <row r="368" ht="14.25" customHeight="1">
      <c r="Q368" s="33" t="str">
        <f>IFERROR(MasterData!$B368,"")</f>
        <v/>
      </c>
      <c r="R368" s="33" t="str">
        <f>IFERROR(MasterData!$C368,"")</f>
        <v/>
      </c>
      <c r="S368" s="33" t="str">
        <f>IFERROR(MasterData!$D368,"")</f>
        <v/>
      </c>
      <c r="T368" s="33" t="str">
        <f>IFERROR(MasterData!$E368,"")</f>
        <v/>
      </c>
      <c r="U368" s="33" t="str">
        <f>IFERROR(MasterData!$F368,"")</f>
        <v/>
      </c>
      <c r="V368" s="33" t="str">
        <f>IFERROR(MasterData!$I368,"")</f>
        <v/>
      </c>
      <c r="W368" s="33" t="str">
        <f>IFERROR(MasterData!$H368,"")</f>
        <v/>
      </c>
    </row>
    <row r="369" ht="14.25" customHeight="1">
      <c r="Q369" s="33" t="str">
        <f>IFERROR(MasterData!$B369,"")</f>
        <v/>
      </c>
      <c r="R369" s="33" t="str">
        <f>IFERROR(MasterData!$C369,"")</f>
        <v/>
      </c>
      <c r="S369" s="33" t="str">
        <f>IFERROR(MasterData!$D369,"")</f>
        <v/>
      </c>
      <c r="T369" s="33" t="str">
        <f>IFERROR(MasterData!$E369,"")</f>
        <v/>
      </c>
      <c r="U369" s="33" t="str">
        <f>IFERROR(MasterData!$F369,"")</f>
        <v/>
      </c>
      <c r="V369" s="33" t="str">
        <f>IFERROR(MasterData!$I369,"")</f>
        <v/>
      </c>
      <c r="W369" s="33" t="str">
        <f>IFERROR(MasterData!$H369,"")</f>
        <v/>
      </c>
    </row>
    <row r="370" ht="14.25" customHeight="1">
      <c r="Q370" s="33" t="str">
        <f>IFERROR(MasterData!$B370,"")</f>
        <v/>
      </c>
      <c r="R370" s="33" t="str">
        <f>IFERROR(MasterData!$C370,"")</f>
        <v/>
      </c>
      <c r="S370" s="33" t="str">
        <f>IFERROR(MasterData!$D370,"")</f>
        <v/>
      </c>
      <c r="T370" s="33" t="str">
        <f>IFERROR(MasterData!$E370,"")</f>
        <v/>
      </c>
      <c r="U370" s="33" t="str">
        <f>IFERROR(MasterData!$F370,"")</f>
        <v/>
      </c>
      <c r="V370" s="33" t="str">
        <f>IFERROR(MasterData!$I370,"")</f>
        <v/>
      </c>
      <c r="W370" s="33" t="str">
        <f>IFERROR(MasterData!$H370,"")</f>
        <v/>
      </c>
    </row>
    <row r="371" ht="14.25" customHeight="1">
      <c r="Q371" s="33" t="str">
        <f>IFERROR(MasterData!$B371,"")</f>
        <v/>
      </c>
      <c r="R371" s="33" t="str">
        <f>IFERROR(MasterData!$C371,"")</f>
        <v/>
      </c>
      <c r="S371" s="33" t="str">
        <f>IFERROR(MasterData!$D371,"")</f>
        <v/>
      </c>
      <c r="T371" s="33" t="str">
        <f>IFERROR(MasterData!$E371,"")</f>
        <v/>
      </c>
      <c r="U371" s="33" t="str">
        <f>IFERROR(MasterData!$F371,"")</f>
        <v/>
      </c>
      <c r="V371" s="33" t="str">
        <f>IFERROR(MasterData!$I371,"")</f>
        <v/>
      </c>
      <c r="W371" s="33" t="str">
        <f>IFERROR(MasterData!$H371,"")</f>
        <v/>
      </c>
    </row>
    <row r="372" ht="14.25" customHeight="1">
      <c r="Q372" s="33" t="str">
        <f>IFERROR(MasterData!$B372,"")</f>
        <v/>
      </c>
      <c r="R372" s="33" t="str">
        <f>IFERROR(MasterData!$C372,"")</f>
        <v/>
      </c>
      <c r="S372" s="33" t="str">
        <f>IFERROR(MasterData!$D372,"")</f>
        <v/>
      </c>
      <c r="T372" s="33" t="str">
        <f>IFERROR(MasterData!$E372,"")</f>
        <v/>
      </c>
      <c r="U372" s="33" t="str">
        <f>IFERROR(MasterData!$F372,"")</f>
        <v/>
      </c>
      <c r="V372" s="33" t="str">
        <f>IFERROR(MasterData!$I372,"")</f>
        <v/>
      </c>
      <c r="W372" s="33" t="str">
        <f>IFERROR(MasterData!$H372,"")</f>
        <v/>
      </c>
    </row>
    <row r="373" ht="14.25" customHeight="1">
      <c r="Q373" s="33" t="str">
        <f>IFERROR(MasterData!$B373,"")</f>
        <v/>
      </c>
      <c r="R373" s="33" t="str">
        <f>IFERROR(MasterData!$C373,"")</f>
        <v/>
      </c>
      <c r="S373" s="33" t="str">
        <f>IFERROR(MasterData!$D373,"")</f>
        <v/>
      </c>
      <c r="T373" s="33" t="str">
        <f>IFERROR(MasterData!$E373,"")</f>
        <v/>
      </c>
      <c r="U373" s="33" t="str">
        <f>IFERROR(MasterData!$F373,"")</f>
        <v/>
      </c>
      <c r="V373" s="33" t="str">
        <f>IFERROR(MasterData!$I373,"")</f>
        <v/>
      </c>
      <c r="W373" s="33" t="str">
        <f>IFERROR(MasterData!$H373,"")</f>
        <v/>
      </c>
    </row>
    <row r="374" ht="14.25" customHeight="1">
      <c r="Q374" s="33" t="str">
        <f>IFERROR(MasterData!$B374,"")</f>
        <v/>
      </c>
      <c r="R374" s="33" t="str">
        <f>IFERROR(MasterData!$C374,"")</f>
        <v/>
      </c>
      <c r="S374" s="33" t="str">
        <f>IFERROR(MasterData!$D374,"")</f>
        <v/>
      </c>
      <c r="T374" s="33" t="str">
        <f>IFERROR(MasterData!$E374,"")</f>
        <v/>
      </c>
      <c r="U374" s="33" t="str">
        <f>IFERROR(MasterData!$F374,"")</f>
        <v/>
      </c>
      <c r="V374" s="33" t="str">
        <f>IFERROR(MasterData!$I374,"")</f>
        <v/>
      </c>
      <c r="W374" s="33" t="str">
        <f>IFERROR(MasterData!$H374,"")</f>
        <v/>
      </c>
    </row>
    <row r="375" ht="14.25" customHeight="1">
      <c r="Q375" s="33" t="str">
        <f>IFERROR(MasterData!$B375,"")</f>
        <v/>
      </c>
      <c r="R375" s="33" t="str">
        <f>IFERROR(MasterData!$C375,"")</f>
        <v/>
      </c>
      <c r="S375" s="33" t="str">
        <f>IFERROR(MasterData!$D375,"")</f>
        <v/>
      </c>
      <c r="T375" s="33" t="str">
        <f>IFERROR(MasterData!$E375,"")</f>
        <v/>
      </c>
      <c r="U375" s="33" t="str">
        <f>IFERROR(MasterData!$F375,"")</f>
        <v/>
      </c>
      <c r="V375" s="33" t="str">
        <f>IFERROR(MasterData!$I375,"")</f>
        <v/>
      </c>
      <c r="W375" s="33" t="str">
        <f>IFERROR(MasterData!$H375,"")</f>
        <v/>
      </c>
    </row>
    <row r="376" ht="14.25" customHeight="1">
      <c r="Q376" s="33" t="str">
        <f>IFERROR(MasterData!$B376,"")</f>
        <v/>
      </c>
      <c r="R376" s="33" t="str">
        <f>IFERROR(MasterData!$C376,"")</f>
        <v/>
      </c>
      <c r="S376" s="33" t="str">
        <f>IFERROR(MasterData!$D376,"")</f>
        <v/>
      </c>
      <c r="T376" s="33" t="str">
        <f>IFERROR(MasterData!$E376,"")</f>
        <v/>
      </c>
      <c r="U376" s="33" t="str">
        <f>IFERROR(MasterData!$F376,"")</f>
        <v/>
      </c>
      <c r="V376" s="33" t="str">
        <f>IFERROR(MasterData!$I376,"")</f>
        <v/>
      </c>
      <c r="W376" s="33" t="str">
        <f>IFERROR(MasterData!$H376,"")</f>
        <v/>
      </c>
    </row>
    <row r="377" ht="14.25" customHeight="1">
      <c r="Q377" s="33" t="str">
        <f>IFERROR(MasterData!$B377,"")</f>
        <v/>
      </c>
      <c r="R377" s="33" t="str">
        <f>IFERROR(MasterData!$C377,"")</f>
        <v/>
      </c>
      <c r="S377" s="33" t="str">
        <f>IFERROR(MasterData!$D377,"")</f>
        <v/>
      </c>
      <c r="T377" s="33" t="str">
        <f>IFERROR(MasterData!$E377,"")</f>
        <v/>
      </c>
      <c r="U377" s="33" t="str">
        <f>IFERROR(MasterData!$F377,"")</f>
        <v/>
      </c>
      <c r="V377" s="33" t="str">
        <f>IFERROR(MasterData!$I377,"")</f>
        <v/>
      </c>
      <c r="W377" s="33" t="str">
        <f>IFERROR(MasterData!$H377,"")</f>
        <v/>
      </c>
    </row>
    <row r="378" ht="14.25" customHeight="1">
      <c r="Q378" s="33" t="str">
        <f>IFERROR(MasterData!$B378,"")</f>
        <v/>
      </c>
      <c r="R378" s="33" t="str">
        <f>IFERROR(MasterData!$C378,"")</f>
        <v/>
      </c>
      <c r="S378" s="33" t="str">
        <f>IFERROR(MasterData!$D378,"")</f>
        <v/>
      </c>
      <c r="T378" s="33" t="str">
        <f>IFERROR(MasterData!$E378,"")</f>
        <v/>
      </c>
      <c r="U378" s="33" t="str">
        <f>IFERROR(MasterData!$F378,"")</f>
        <v/>
      </c>
      <c r="V378" s="33" t="str">
        <f>IFERROR(MasterData!$I378,"")</f>
        <v/>
      </c>
      <c r="W378" s="33" t="str">
        <f>IFERROR(MasterData!$H378,"")</f>
        <v/>
      </c>
    </row>
    <row r="379" ht="14.25" customHeight="1">
      <c r="Q379" s="33" t="str">
        <f>IFERROR(MasterData!$B379,"")</f>
        <v/>
      </c>
      <c r="R379" s="33" t="str">
        <f>IFERROR(MasterData!$C379,"")</f>
        <v/>
      </c>
      <c r="S379" s="33" t="str">
        <f>IFERROR(MasterData!$D379,"")</f>
        <v/>
      </c>
      <c r="T379" s="33" t="str">
        <f>IFERROR(MasterData!$E379,"")</f>
        <v/>
      </c>
      <c r="U379" s="33" t="str">
        <f>IFERROR(MasterData!$F379,"")</f>
        <v/>
      </c>
      <c r="V379" s="33" t="str">
        <f>IFERROR(MasterData!$I379,"")</f>
        <v/>
      </c>
      <c r="W379" s="33" t="str">
        <f>IFERROR(MasterData!$H379,"")</f>
        <v/>
      </c>
    </row>
    <row r="380" ht="14.25" customHeight="1">
      <c r="Q380" s="33" t="str">
        <f>IFERROR(MasterData!$B380,"")</f>
        <v/>
      </c>
      <c r="R380" s="33" t="str">
        <f>IFERROR(MasterData!$C380,"")</f>
        <v/>
      </c>
      <c r="S380" s="33" t="str">
        <f>IFERROR(MasterData!$D380,"")</f>
        <v/>
      </c>
      <c r="T380" s="33" t="str">
        <f>IFERROR(MasterData!$E380,"")</f>
        <v/>
      </c>
      <c r="U380" s="33" t="str">
        <f>IFERROR(MasterData!$F380,"")</f>
        <v/>
      </c>
      <c r="V380" s="33" t="str">
        <f>IFERROR(MasterData!$I380,"")</f>
        <v/>
      </c>
      <c r="W380" s="33" t="str">
        <f>IFERROR(MasterData!$H380,"")</f>
        <v/>
      </c>
    </row>
    <row r="381" ht="14.25" customHeight="1">
      <c r="Q381" s="33" t="str">
        <f>IFERROR(MasterData!$B381,"")</f>
        <v/>
      </c>
      <c r="R381" s="33" t="str">
        <f>IFERROR(MasterData!$C381,"")</f>
        <v/>
      </c>
      <c r="S381" s="33" t="str">
        <f>IFERROR(MasterData!$D381,"")</f>
        <v/>
      </c>
      <c r="T381" s="33" t="str">
        <f>IFERROR(MasterData!$E381,"")</f>
        <v/>
      </c>
      <c r="U381" s="33" t="str">
        <f>IFERROR(MasterData!$F381,"")</f>
        <v/>
      </c>
      <c r="V381" s="33" t="str">
        <f>IFERROR(MasterData!$I381,"")</f>
        <v/>
      </c>
      <c r="W381" s="33" t="str">
        <f>IFERROR(MasterData!$H381,"")</f>
        <v/>
      </c>
    </row>
    <row r="382" ht="14.25" customHeight="1">
      <c r="Q382" s="33" t="str">
        <f>IFERROR(MasterData!$B382,"")</f>
        <v/>
      </c>
      <c r="R382" s="33" t="str">
        <f>IFERROR(MasterData!$C382,"")</f>
        <v/>
      </c>
      <c r="S382" s="33" t="str">
        <f>IFERROR(MasterData!$D382,"")</f>
        <v/>
      </c>
      <c r="T382" s="33" t="str">
        <f>IFERROR(MasterData!$E382,"")</f>
        <v/>
      </c>
      <c r="U382" s="33" t="str">
        <f>IFERROR(MasterData!$F382,"")</f>
        <v/>
      </c>
      <c r="V382" s="33" t="str">
        <f>IFERROR(MasterData!$I382,"")</f>
        <v/>
      </c>
      <c r="W382" s="33" t="str">
        <f>IFERROR(MasterData!$H382,"")</f>
        <v/>
      </c>
    </row>
    <row r="383" ht="14.25" customHeight="1">
      <c r="Q383" s="33" t="str">
        <f>IFERROR(MasterData!$B383,"")</f>
        <v/>
      </c>
      <c r="R383" s="33" t="str">
        <f>IFERROR(MasterData!$C383,"")</f>
        <v/>
      </c>
      <c r="S383" s="33" t="str">
        <f>IFERROR(MasterData!$D383,"")</f>
        <v/>
      </c>
      <c r="T383" s="33" t="str">
        <f>IFERROR(MasterData!$E383,"")</f>
        <v/>
      </c>
      <c r="U383" s="33" t="str">
        <f>IFERROR(MasterData!$F383,"")</f>
        <v/>
      </c>
      <c r="V383" s="33" t="str">
        <f>IFERROR(MasterData!$I383,"")</f>
        <v/>
      </c>
      <c r="W383" s="33" t="str">
        <f>IFERROR(MasterData!$H383,"")</f>
        <v/>
      </c>
    </row>
    <row r="384" ht="14.25" customHeight="1">
      <c r="Q384" s="33" t="str">
        <f>IFERROR(MasterData!$B384,"")</f>
        <v/>
      </c>
      <c r="R384" s="33" t="str">
        <f>IFERROR(MasterData!$C384,"")</f>
        <v/>
      </c>
      <c r="S384" s="33" t="str">
        <f>IFERROR(MasterData!$D384,"")</f>
        <v/>
      </c>
      <c r="T384" s="33" t="str">
        <f>IFERROR(MasterData!$E384,"")</f>
        <v/>
      </c>
      <c r="U384" s="33" t="str">
        <f>IFERROR(MasterData!$F384,"")</f>
        <v/>
      </c>
      <c r="V384" s="33" t="str">
        <f>IFERROR(MasterData!$I384,"")</f>
        <v/>
      </c>
      <c r="W384" s="33" t="str">
        <f>IFERROR(MasterData!$H384,"")</f>
        <v/>
      </c>
    </row>
    <row r="385" ht="14.25" customHeight="1">
      <c r="Q385" s="33" t="str">
        <f>IFERROR(MasterData!$B385,"")</f>
        <v/>
      </c>
      <c r="R385" s="33" t="str">
        <f>IFERROR(MasterData!$C385,"")</f>
        <v/>
      </c>
      <c r="S385" s="33" t="str">
        <f>IFERROR(MasterData!$D385,"")</f>
        <v/>
      </c>
      <c r="T385" s="33" t="str">
        <f>IFERROR(MasterData!$E385,"")</f>
        <v/>
      </c>
      <c r="U385" s="33" t="str">
        <f>IFERROR(MasterData!$F385,"")</f>
        <v/>
      </c>
      <c r="V385" s="33" t="str">
        <f>IFERROR(MasterData!$I385,"")</f>
        <v/>
      </c>
      <c r="W385" s="33" t="str">
        <f>IFERROR(MasterData!$H385,"")</f>
        <v/>
      </c>
    </row>
    <row r="386" ht="14.25" customHeight="1">
      <c r="Q386" s="33" t="str">
        <f>IFERROR(MasterData!$B386,"")</f>
        <v/>
      </c>
      <c r="R386" s="33" t="str">
        <f>IFERROR(MasterData!$C386,"")</f>
        <v/>
      </c>
      <c r="S386" s="33" t="str">
        <f>IFERROR(MasterData!$D386,"")</f>
        <v/>
      </c>
      <c r="T386" s="33" t="str">
        <f>IFERROR(MasterData!$E386,"")</f>
        <v/>
      </c>
      <c r="U386" s="33" t="str">
        <f>IFERROR(MasterData!$F386,"")</f>
        <v/>
      </c>
      <c r="V386" s="33" t="str">
        <f>IFERROR(MasterData!$I386,"")</f>
        <v/>
      </c>
      <c r="W386" s="33" t="str">
        <f>IFERROR(MasterData!$H386,"")</f>
        <v/>
      </c>
    </row>
    <row r="387" ht="14.25" customHeight="1">
      <c r="Q387" s="33" t="str">
        <f>IFERROR(MasterData!$B387,"")</f>
        <v/>
      </c>
      <c r="R387" s="33" t="str">
        <f>IFERROR(MasterData!$C387,"")</f>
        <v/>
      </c>
      <c r="S387" s="33" t="str">
        <f>IFERROR(MasterData!$D387,"")</f>
        <v/>
      </c>
      <c r="T387" s="33" t="str">
        <f>IFERROR(MasterData!$E387,"")</f>
        <v/>
      </c>
      <c r="U387" s="33" t="str">
        <f>IFERROR(MasterData!$F387,"")</f>
        <v/>
      </c>
      <c r="V387" s="33" t="str">
        <f>IFERROR(MasterData!$I387,"")</f>
        <v/>
      </c>
      <c r="W387" s="33" t="str">
        <f>IFERROR(MasterData!$H387,"")</f>
        <v/>
      </c>
    </row>
    <row r="388" ht="14.25" customHeight="1">
      <c r="Q388" s="33" t="str">
        <f>IFERROR(MasterData!$B388,"")</f>
        <v/>
      </c>
      <c r="R388" s="33" t="str">
        <f>IFERROR(MasterData!$C388,"")</f>
        <v/>
      </c>
      <c r="S388" s="33" t="str">
        <f>IFERROR(MasterData!$D388,"")</f>
        <v/>
      </c>
      <c r="T388" s="33" t="str">
        <f>IFERROR(MasterData!$E388,"")</f>
        <v/>
      </c>
      <c r="U388" s="33" t="str">
        <f>IFERROR(MasterData!$F388,"")</f>
        <v/>
      </c>
      <c r="V388" s="33" t="str">
        <f>IFERROR(MasterData!$I388,"")</f>
        <v/>
      </c>
      <c r="W388" s="33" t="str">
        <f>IFERROR(MasterData!$H388,"")</f>
        <v/>
      </c>
    </row>
    <row r="389" ht="14.25" customHeight="1">
      <c r="Q389" s="33" t="str">
        <f>IFERROR(MasterData!$B389,"")</f>
        <v/>
      </c>
      <c r="R389" s="33" t="str">
        <f>IFERROR(MasterData!$C389,"")</f>
        <v/>
      </c>
      <c r="S389" s="33" t="str">
        <f>IFERROR(MasterData!$D389,"")</f>
        <v/>
      </c>
      <c r="T389" s="33" t="str">
        <f>IFERROR(MasterData!$E389,"")</f>
        <v/>
      </c>
      <c r="U389" s="33" t="str">
        <f>IFERROR(MasterData!$F389,"")</f>
        <v/>
      </c>
      <c r="V389" s="33" t="str">
        <f>IFERROR(MasterData!$I389,"")</f>
        <v/>
      </c>
      <c r="W389" s="33" t="str">
        <f>IFERROR(MasterData!$H389,"")</f>
        <v/>
      </c>
    </row>
    <row r="390" ht="14.25" customHeight="1">
      <c r="Q390" s="33" t="str">
        <f>IFERROR(MasterData!$B390,"")</f>
        <v/>
      </c>
      <c r="R390" s="33" t="str">
        <f>IFERROR(MasterData!$C390,"")</f>
        <v/>
      </c>
      <c r="S390" s="33" t="str">
        <f>IFERROR(MasterData!$D390,"")</f>
        <v/>
      </c>
      <c r="T390" s="33" t="str">
        <f>IFERROR(MasterData!$E390,"")</f>
        <v/>
      </c>
      <c r="U390" s="33" t="str">
        <f>IFERROR(MasterData!$F390,"")</f>
        <v/>
      </c>
      <c r="V390" s="33" t="str">
        <f>IFERROR(MasterData!$I390,"")</f>
        <v/>
      </c>
      <c r="W390" s="33" t="str">
        <f>IFERROR(MasterData!$H390,"")</f>
        <v/>
      </c>
    </row>
    <row r="391" ht="14.25" customHeight="1">
      <c r="Q391" s="33" t="str">
        <f>IFERROR(MasterData!$B391,"")</f>
        <v/>
      </c>
      <c r="R391" s="33" t="str">
        <f>IFERROR(MasterData!$C391,"")</f>
        <v/>
      </c>
      <c r="S391" s="33" t="str">
        <f>IFERROR(MasterData!$D391,"")</f>
        <v/>
      </c>
      <c r="T391" s="33" t="str">
        <f>IFERROR(MasterData!$E391,"")</f>
        <v/>
      </c>
      <c r="U391" s="33" t="str">
        <f>IFERROR(MasterData!$F391,"")</f>
        <v/>
      </c>
      <c r="V391" s="33" t="str">
        <f>IFERROR(MasterData!$I391,"")</f>
        <v/>
      </c>
      <c r="W391" s="33" t="str">
        <f>IFERROR(MasterData!$H391,"")</f>
        <v/>
      </c>
    </row>
    <row r="392" ht="14.25" customHeight="1">
      <c r="Q392" s="33" t="str">
        <f>IFERROR(MasterData!$B392,"")</f>
        <v/>
      </c>
      <c r="R392" s="33" t="str">
        <f>IFERROR(MasterData!$C392,"")</f>
        <v/>
      </c>
      <c r="S392" s="33" t="str">
        <f>IFERROR(MasterData!$D392,"")</f>
        <v/>
      </c>
      <c r="T392" s="33" t="str">
        <f>IFERROR(MasterData!$E392,"")</f>
        <v/>
      </c>
      <c r="U392" s="33" t="str">
        <f>IFERROR(MasterData!$F392,"")</f>
        <v/>
      </c>
      <c r="V392" s="33" t="str">
        <f>IFERROR(MasterData!$I392,"")</f>
        <v/>
      </c>
      <c r="W392" s="33" t="str">
        <f>IFERROR(MasterData!$H392,"")</f>
        <v/>
      </c>
    </row>
    <row r="393" ht="14.25" customHeight="1">
      <c r="Q393" s="33" t="str">
        <f>IFERROR(MasterData!$B393,"")</f>
        <v/>
      </c>
      <c r="R393" s="33" t="str">
        <f>IFERROR(MasterData!$C393,"")</f>
        <v/>
      </c>
      <c r="S393" s="33" t="str">
        <f>IFERROR(MasterData!$D393,"")</f>
        <v/>
      </c>
      <c r="T393" s="33" t="str">
        <f>IFERROR(MasterData!$E393,"")</f>
        <v/>
      </c>
      <c r="U393" s="33" t="str">
        <f>IFERROR(MasterData!$F393,"")</f>
        <v/>
      </c>
      <c r="V393" s="33" t="str">
        <f>IFERROR(MasterData!$I393,"")</f>
        <v/>
      </c>
      <c r="W393" s="33" t="str">
        <f>IFERROR(MasterData!$H393,"")</f>
        <v/>
      </c>
    </row>
    <row r="394" ht="14.25" customHeight="1">
      <c r="Q394" s="33" t="str">
        <f>IFERROR(MasterData!$B394,"")</f>
        <v/>
      </c>
      <c r="R394" s="33" t="str">
        <f>IFERROR(MasterData!$C394,"")</f>
        <v/>
      </c>
      <c r="S394" s="33" t="str">
        <f>IFERROR(MasterData!$D394,"")</f>
        <v/>
      </c>
      <c r="T394" s="33" t="str">
        <f>IFERROR(MasterData!$E394,"")</f>
        <v/>
      </c>
      <c r="U394" s="33" t="str">
        <f>IFERROR(MasterData!$F394,"")</f>
        <v/>
      </c>
      <c r="V394" s="33" t="str">
        <f>IFERROR(MasterData!$I394,"")</f>
        <v/>
      </c>
      <c r="W394" s="33" t="str">
        <f>IFERROR(MasterData!$H394,"")</f>
        <v/>
      </c>
    </row>
    <row r="395" ht="14.25" customHeight="1">
      <c r="Q395" s="33" t="str">
        <f>IFERROR(MasterData!$B395,"")</f>
        <v/>
      </c>
      <c r="R395" s="33" t="str">
        <f>IFERROR(MasterData!$C395,"")</f>
        <v/>
      </c>
      <c r="S395" s="33" t="str">
        <f>IFERROR(MasterData!$D395,"")</f>
        <v/>
      </c>
      <c r="T395" s="33" t="str">
        <f>IFERROR(MasterData!$E395,"")</f>
        <v/>
      </c>
      <c r="U395" s="33" t="str">
        <f>IFERROR(MasterData!$F395,"")</f>
        <v/>
      </c>
      <c r="V395" s="33" t="str">
        <f>IFERROR(MasterData!$I395,"")</f>
        <v/>
      </c>
      <c r="W395" s="33" t="str">
        <f>IFERROR(MasterData!$H395,"")</f>
        <v/>
      </c>
    </row>
    <row r="396" ht="14.25" customHeight="1">
      <c r="Q396" s="33" t="str">
        <f>IFERROR(MasterData!$B396,"")</f>
        <v/>
      </c>
      <c r="R396" s="33" t="str">
        <f>IFERROR(MasterData!$C396,"")</f>
        <v/>
      </c>
      <c r="S396" s="33" t="str">
        <f>IFERROR(MasterData!$D396,"")</f>
        <v/>
      </c>
      <c r="T396" s="33" t="str">
        <f>IFERROR(MasterData!$E396,"")</f>
        <v/>
      </c>
      <c r="U396" s="33" t="str">
        <f>IFERROR(MasterData!$F396,"")</f>
        <v/>
      </c>
      <c r="V396" s="33" t="str">
        <f>IFERROR(MasterData!$I396,"")</f>
        <v/>
      </c>
      <c r="W396" s="33" t="str">
        <f>IFERROR(MasterData!$H396,"")</f>
        <v/>
      </c>
    </row>
    <row r="397" ht="14.25" customHeight="1">
      <c r="Q397" s="33" t="str">
        <f>IFERROR(MasterData!$B397,"")</f>
        <v/>
      </c>
      <c r="R397" s="33" t="str">
        <f>IFERROR(MasterData!$C397,"")</f>
        <v/>
      </c>
      <c r="S397" s="33" t="str">
        <f>IFERROR(MasterData!$D397,"")</f>
        <v/>
      </c>
      <c r="T397" s="33" t="str">
        <f>IFERROR(MasterData!$E397,"")</f>
        <v/>
      </c>
      <c r="U397" s="33" t="str">
        <f>IFERROR(MasterData!$F397,"")</f>
        <v/>
      </c>
      <c r="V397" s="33" t="str">
        <f>IFERROR(MasterData!$I397,"")</f>
        <v/>
      </c>
      <c r="W397" s="33" t="str">
        <f>IFERROR(MasterData!$H397,"")</f>
        <v/>
      </c>
    </row>
    <row r="398" ht="14.25" customHeight="1">
      <c r="Q398" s="33" t="str">
        <f>IFERROR(MasterData!$B398,"")</f>
        <v/>
      </c>
      <c r="R398" s="33" t="str">
        <f>IFERROR(MasterData!$C398,"")</f>
        <v/>
      </c>
      <c r="S398" s="33" t="str">
        <f>IFERROR(MasterData!$D398,"")</f>
        <v/>
      </c>
      <c r="T398" s="33" t="str">
        <f>IFERROR(MasterData!$E398,"")</f>
        <v/>
      </c>
      <c r="U398" s="33" t="str">
        <f>IFERROR(MasterData!$F398,"")</f>
        <v/>
      </c>
      <c r="V398" s="33" t="str">
        <f>IFERROR(MasterData!$I398,"")</f>
        <v/>
      </c>
      <c r="W398" s="33" t="str">
        <f>IFERROR(MasterData!$H398,"")</f>
        <v/>
      </c>
    </row>
    <row r="399" ht="14.25" customHeight="1">
      <c r="Q399" s="33" t="str">
        <f>IFERROR(MasterData!$B399,"")</f>
        <v/>
      </c>
      <c r="R399" s="33" t="str">
        <f>IFERROR(MasterData!$C399,"")</f>
        <v/>
      </c>
      <c r="S399" s="33" t="str">
        <f>IFERROR(MasterData!$D399,"")</f>
        <v/>
      </c>
      <c r="T399" s="33" t="str">
        <f>IFERROR(MasterData!$E399,"")</f>
        <v/>
      </c>
      <c r="U399" s="33" t="str">
        <f>IFERROR(MasterData!$F399,"")</f>
        <v/>
      </c>
      <c r="V399" s="33" t="str">
        <f>IFERROR(MasterData!$I399,"")</f>
        <v/>
      </c>
      <c r="W399" s="33" t="str">
        <f>IFERROR(MasterData!$H399,"")</f>
        <v/>
      </c>
    </row>
    <row r="400" ht="14.25" customHeight="1">
      <c r="Q400" s="33" t="str">
        <f>IFERROR(MasterData!$B400,"")</f>
        <v/>
      </c>
      <c r="R400" s="33" t="str">
        <f>IFERROR(MasterData!$C400,"")</f>
        <v/>
      </c>
      <c r="S400" s="33" t="str">
        <f>IFERROR(MasterData!$D400,"")</f>
        <v/>
      </c>
      <c r="T400" s="33" t="str">
        <f>IFERROR(MasterData!$E400,"")</f>
        <v/>
      </c>
      <c r="U400" s="33" t="str">
        <f>IFERROR(MasterData!$F400,"")</f>
        <v/>
      </c>
      <c r="V400" s="33" t="str">
        <f>IFERROR(MasterData!$I400,"")</f>
        <v/>
      </c>
      <c r="W400" s="33" t="str">
        <f>IFERROR(MasterData!$H400,"")</f>
        <v/>
      </c>
    </row>
    <row r="401" ht="14.25" customHeight="1">
      <c r="Q401" s="33" t="str">
        <f>IFERROR(MasterData!$B401,"")</f>
        <v/>
      </c>
      <c r="R401" s="33" t="str">
        <f>IFERROR(MasterData!$C401,"")</f>
        <v/>
      </c>
      <c r="S401" s="33" t="str">
        <f>IFERROR(MasterData!$D401,"")</f>
        <v/>
      </c>
      <c r="T401" s="33" t="str">
        <f>IFERROR(MasterData!$E401,"")</f>
        <v/>
      </c>
      <c r="U401" s="33" t="str">
        <f>IFERROR(MasterData!$F401,"")</f>
        <v/>
      </c>
      <c r="V401" s="33" t="str">
        <f>IFERROR(MasterData!$I401,"")</f>
        <v/>
      </c>
      <c r="W401" s="33" t="str">
        <f>IFERROR(MasterData!$H401,"")</f>
        <v/>
      </c>
    </row>
    <row r="402" ht="14.25" customHeight="1">
      <c r="Q402" s="33" t="str">
        <f>IFERROR(MasterData!$B402,"")</f>
        <v/>
      </c>
      <c r="R402" s="33" t="str">
        <f>IFERROR(MasterData!$C402,"")</f>
        <v/>
      </c>
      <c r="S402" s="33" t="str">
        <f>IFERROR(MasterData!$D402,"")</f>
        <v/>
      </c>
      <c r="T402" s="33" t="str">
        <f>IFERROR(MasterData!$E402,"")</f>
        <v/>
      </c>
      <c r="U402" s="33" t="str">
        <f>IFERROR(MasterData!$F402,"")</f>
        <v/>
      </c>
      <c r="V402" s="33" t="str">
        <f>IFERROR(MasterData!$I402,"")</f>
        <v/>
      </c>
      <c r="W402" s="33" t="str">
        <f>IFERROR(MasterData!$H402,"")</f>
        <v/>
      </c>
    </row>
    <row r="403" ht="14.25" customHeight="1">
      <c r="Q403" s="33" t="str">
        <f>IFERROR(MasterData!$B403,"")</f>
        <v/>
      </c>
      <c r="R403" s="33" t="str">
        <f>IFERROR(MasterData!$C403,"")</f>
        <v/>
      </c>
      <c r="S403" s="33" t="str">
        <f>IFERROR(MasterData!$D403,"")</f>
        <v/>
      </c>
      <c r="T403" s="33" t="str">
        <f>IFERROR(MasterData!$E403,"")</f>
        <v/>
      </c>
      <c r="U403" s="33" t="str">
        <f>IFERROR(MasterData!$F403,"")</f>
        <v/>
      </c>
      <c r="V403" s="33" t="str">
        <f>IFERROR(MasterData!$I403,"")</f>
        <v/>
      </c>
      <c r="W403" s="33" t="str">
        <f>IFERROR(MasterData!$H403,"")</f>
        <v/>
      </c>
    </row>
    <row r="404" ht="14.25" customHeight="1">
      <c r="Q404" s="33" t="str">
        <f>IFERROR(MasterData!$B404,"")</f>
        <v/>
      </c>
      <c r="R404" s="33" t="str">
        <f>IFERROR(MasterData!$C404,"")</f>
        <v/>
      </c>
      <c r="S404" s="33" t="str">
        <f>IFERROR(MasterData!$D404,"")</f>
        <v/>
      </c>
      <c r="T404" s="33" t="str">
        <f>IFERROR(MasterData!$E404,"")</f>
        <v/>
      </c>
      <c r="U404" s="33" t="str">
        <f>IFERROR(MasterData!$F404,"")</f>
        <v/>
      </c>
      <c r="V404" s="33" t="str">
        <f>IFERROR(MasterData!$I404,"")</f>
        <v/>
      </c>
      <c r="W404" s="33" t="str">
        <f>IFERROR(MasterData!$H404,"")</f>
        <v/>
      </c>
    </row>
    <row r="405" ht="14.25" customHeight="1">
      <c r="Q405" s="33" t="str">
        <f>IFERROR(MasterData!$B405,"")</f>
        <v/>
      </c>
      <c r="R405" s="33" t="str">
        <f>IFERROR(MasterData!$C405,"")</f>
        <v/>
      </c>
      <c r="S405" s="33" t="str">
        <f>IFERROR(MasterData!$D405,"")</f>
        <v/>
      </c>
      <c r="T405" s="33" t="str">
        <f>IFERROR(MasterData!$E405,"")</f>
        <v/>
      </c>
      <c r="U405" s="33" t="str">
        <f>IFERROR(MasterData!$F405,"")</f>
        <v/>
      </c>
      <c r="V405" s="33" t="str">
        <f>IFERROR(MasterData!$I405,"")</f>
        <v/>
      </c>
      <c r="W405" s="33" t="str">
        <f>IFERROR(MasterData!$H405,"")</f>
        <v/>
      </c>
    </row>
    <row r="406" ht="14.25" customHeight="1">
      <c r="Q406" s="33" t="str">
        <f>IFERROR(MasterData!$B406,"")</f>
        <v/>
      </c>
      <c r="R406" s="33" t="str">
        <f>IFERROR(MasterData!$C406,"")</f>
        <v/>
      </c>
      <c r="S406" s="33" t="str">
        <f>IFERROR(MasterData!$D406,"")</f>
        <v/>
      </c>
      <c r="T406" s="33" t="str">
        <f>IFERROR(MasterData!$E406,"")</f>
        <v/>
      </c>
      <c r="U406" s="33" t="str">
        <f>IFERROR(MasterData!$F406,"")</f>
        <v/>
      </c>
      <c r="V406" s="33" t="str">
        <f>IFERROR(MasterData!$I406,"")</f>
        <v/>
      </c>
      <c r="W406" s="33" t="str">
        <f>IFERROR(MasterData!$H406,"")</f>
        <v/>
      </c>
    </row>
    <row r="407" ht="14.25" customHeight="1">
      <c r="Q407" s="33" t="str">
        <f>IFERROR(MasterData!$B407,"")</f>
        <v/>
      </c>
      <c r="R407" s="33" t="str">
        <f>IFERROR(MasterData!$C407,"")</f>
        <v/>
      </c>
      <c r="S407" s="33" t="str">
        <f>IFERROR(MasterData!$D407,"")</f>
        <v/>
      </c>
      <c r="T407" s="33" t="str">
        <f>IFERROR(MasterData!$E407,"")</f>
        <v/>
      </c>
      <c r="U407" s="33" t="str">
        <f>IFERROR(MasterData!$F407,"")</f>
        <v/>
      </c>
      <c r="V407" s="33" t="str">
        <f>IFERROR(MasterData!$I407,"")</f>
        <v/>
      </c>
      <c r="W407" s="33" t="str">
        <f>IFERROR(MasterData!$H407,"")</f>
        <v/>
      </c>
    </row>
    <row r="408" ht="14.25" customHeight="1">
      <c r="Q408" s="33" t="str">
        <f>IFERROR(MasterData!$B408,"")</f>
        <v/>
      </c>
      <c r="R408" s="33" t="str">
        <f>IFERROR(MasterData!$C408,"")</f>
        <v/>
      </c>
      <c r="S408" s="33" t="str">
        <f>IFERROR(MasterData!$D408,"")</f>
        <v/>
      </c>
      <c r="T408" s="33" t="str">
        <f>IFERROR(MasterData!$E408,"")</f>
        <v/>
      </c>
      <c r="U408" s="33" t="str">
        <f>IFERROR(MasterData!$F408,"")</f>
        <v/>
      </c>
      <c r="V408" s="33" t="str">
        <f>IFERROR(MasterData!$I408,"")</f>
        <v/>
      </c>
      <c r="W408" s="33" t="str">
        <f>IFERROR(MasterData!$H408,"")</f>
        <v/>
      </c>
    </row>
    <row r="409" ht="14.25" customHeight="1">
      <c r="Q409" s="33" t="str">
        <f>IFERROR(MasterData!$B409,"")</f>
        <v/>
      </c>
      <c r="R409" s="33" t="str">
        <f>IFERROR(MasterData!$C409,"")</f>
        <v/>
      </c>
      <c r="S409" s="33" t="str">
        <f>IFERROR(MasterData!$D409,"")</f>
        <v/>
      </c>
      <c r="T409" s="33" t="str">
        <f>IFERROR(MasterData!$E409,"")</f>
        <v/>
      </c>
      <c r="U409" s="33" t="str">
        <f>IFERROR(MasterData!$F409,"")</f>
        <v/>
      </c>
      <c r="V409" s="33" t="str">
        <f>IFERROR(MasterData!$I409,"")</f>
        <v/>
      </c>
      <c r="W409" s="33" t="str">
        <f>IFERROR(MasterData!$H409,"")</f>
        <v/>
      </c>
    </row>
    <row r="410" ht="14.25" customHeight="1">
      <c r="Q410" s="33" t="str">
        <f>IFERROR(MasterData!$B410,"")</f>
        <v/>
      </c>
      <c r="R410" s="33" t="str">
        <f>IFERROR(MasterData!$C410,"")</f>
        <v/>
      </c>
      <c r="S410" s="33" t="str">
        <f>IFERROR(MasterData!$D410,"")</f>
        <v/>
      </c>
      <c r="T410" s="33" t="str">
        <f>IFERROR(MasterData!$E410,"")</f>
        <v/>
      </c>
      <c r="U410" s="33" t="str">
        <f>IFERROR(MasterData!$F410,"")</f>
        <v/>
      </c>
      <c r="V410" s="33" t="str">
        <f>IFERROR(MasterData!$I410,"")</f>
        <v/>
      </c>
      <c r="W410" s="33" t="str">
        <f>IFERROR(MasterData!$H410,"")</f>
        <v/>
      </c>
    </row>
    <row r="411" ht="14.25" customHeight="1">
      <c r="Q411" s="33" t="str">
        <f>IFERROR(MasterData!$B411,"")</f>
        <v/>
      </c>
      <c r="R411" s="33" t="str">
        <f>IFERROR(MasterData!$C411,"")</f>
        <v/>
      </c>
      <c r="S411" s="33" t="str">
        <f>IFERROR(MasterData!$D411,"")</f>
        <v/>
      </c>
      <c r="T411" s="33" t="str">
        <f>IFERROR(MasterData!$E411,"")</f>
        <v/>
      </c>
      <c r="U411" s="33" t="str">
        <f>IFERROR(MasterData!$F411,"")</f>
        <v/>
      </c>
      <c r="V411" s="33" t="str">
        <f>IFERROR(MasterData!$I411,"")</f>
        <v/>
      </c>
      <c r="W411" s="33" t="str">
        <f>IFERROR(MasterData!$H411,"")</f>
        <v/>
      </c>
    </row>
    <row r="412" ht="14.25" customHeight="1">
      <c r="Q412" s="33" t="str">
        <f>IFERROR(MasterData!$B412,"")</f>
        <v/>
      </c>
      <c r="R412" s="33" t="str">
        <f>IFERROR(MasterData!$C412,"")</f>
        <v/>
      </c>
      <c r="S412" s="33" t="str">
        <f>IFERROR(MasterData!$D412,"")</f>
        <v/>
      </c>
      <c r="T412" s="33" t="str">
        <f>IFERROR(MasterData!$E412,"")</f>
        <v/>
      </c>
      <c r="U412" s="33" t="str">
        <f>IFERROR(MasterData!$F412,"")</f>
        <v/>
      </c>
      <c r="V412" s="33" t="str">
        <f>IFERROR(MasterData!$I412,"")</f>
        <v/>
      </c>
      <c r="W412" s="33" t="str">
        <f>IFERROR(MasterData!$H412,"")</f>
        <v/>
      </c>
    </row>
    <row r="413" ht="14.25" customHeight="1">
      <c r="Q413" s="33" t="str">
        <f>IFERROR(MasterData!$B413,"")</f>
        <v/>
      </c>
      <c r="R413" s="33" t="str">
        <f>IFERROR(MasterData!$C413,"")</f>
        <v/>
      </c>
      <c r="S413" s="33" t="str">
        <f>IFERROR(MasterData!$D413,"")</f>
        <v/>
      </c>
      <c r="T413" s="33" t="str">
        <f>IFERROR(MasterData!$E413,"")</f>
        <v/>
      </c>
      <c r="U413" s="33" t="str">
        <f>IFERROR(MasterData!$F413,"")</f>
        <v/>
      </c>
      <c r="V413" s="33" t="str">
        <f>IFERROR(MasterData!$I413,"")</f>
        <v/>
      </c>
      <c r="W413" s="33" t="str">
        <f>IFERROR(MasterData!$H413,"")</f>
        <v/>
      </c>
    </row>
    <row r="414" ht="14.25" customHeight="1">
      <c r="Q414" s="33" t="str">
        <f>IFERROR(MasterData!$B414,"")</f>
        <v/>
      </c>
      <c r="R414" s="33" t="str">
        <f>IFERROR(MasterData!$C414,"")</f>
        <v/>
      </c>
      <c r="S414" s="33" t="str">
        <f>IFERROR(MasterData!$D414,"")</f>
        <v/>
      </c>
      <c r="T414" s="33" t="str">
        <f>IFERROR(MasterData!$E414,"")</f>
        <v/>
      </c>
      <c r="U414" s="33" t="str">
        <f>IFERROR(MasterData!$F414,"")</f>
        <v/>
      </c>
      <c r="V414" s="33" t="str">
        <f>IFERROR(MasterData!$I414,"")</f>
        <v/>
      </c>
      <c r="W414" s="33" t="str">
        <f>IFERROR(MasterData!$H414,"")</f>
        <v/>
      </c>
    </row>
    <row r="415" ht="14.25" customHeight="1">
      <c r="Q415" s="33" t="str">
        <f>IFERROR(MasterData!$B415,"")</f>
        <v/>
      </c>
      <c r="R415" s="33" t="str">
        <f>IFERROR(MasterData!$C415,"")</f>
        <v/>
      </c>
      <c r="S415" s="33" t="str">
        <f>IFERROR(MasterData!$D415,"")</f>
        <v/>
      </c>
      <c r="T415" s="33" t="str">
        <f>IFERROR(MasterData!$E415,"")</f>
        <v/>
      </c>
      <c r="U415" s="33" t="str">
        <f>IFERROR(MasterData!$F415,"")</f>
        <v/>
      </c>
      <c r="V415" s="33" t="str">
        <f>IFERROR(MasterData!$I415,"")</f>
        <v/>
      </c>
      <c r="W415" s="33" t="str">
        <f>IFERROR(MasterData!$H415,"")</f>
        <v/>
      </c>
    </row>
    <row r="416" ht="14.25" customHeight="1">
      <c r="Q416" s="33" t="str">
        <f>IFERROR(MasterData!$B416,"")</f>
        <v/>
      </c>
      <c r="R416" s="33" t="str">
        <f>IFERROR(MasterData!$C416,"")</f>
        <v/>
      </c>
      <c r="S416" s="33" t="str">
        <f>IFERROR(MasterData!$D416,"")</f>
        <v/>
      </c>
      <c r="T416" s="33" t="str">
        <f>IFERROR(MasterData!$E416,"")</f>
        <v/>
      </c>
      <c r="U416" s="33" t="str">
        <f>IFERROR(MasterData!$F416,"")</f>
        <v/>
      </c>
      <c r="V416" s="33" t="str">
        <f>IFERROR(MasterData!$I416,"")</f>
        <v/>
      </c>
      <c r="W416" s="33" t="str">
        <f>IFERROR(MasterData!$H416,"")</f>
        <v/>
      </c>
    </row>
    <row r="417" ht="14.25" customHeight="1">
      <c r="Q417" s="33" t="str">
        <f>IFERROR(MasterData!$B417,"")</f>
        <v/>
      </c>
      <c r="R417" s="33" t="str">
        <f>IFERROR(MasterData!$C417,"")</f>
        <v/>
      </c>
      <c r="S417" s="33" t="str">
        <f>IFERROR(MasterData!$D417,"")</f>
        <v/>
      </c>
      <c r="T417" s="33" t="str">
        <f>IFERROR(MasterData!$E417,"")</f>
        <v/>
      </c>
      <c r="U417" s="33" t="str">
        <f>IFERROR(MasterData!$F417,"")</f>
        <v/>
      </c>
      <c r="V417" s="33" t="str">
        <f>IFERROR(MasterData!$I417,"")</f>
        <v/>
      </c>
      <c r="W417" s="33" t="str">
        <f>IFERROR(MasterData!$H417,"")</f>
        <v/>
      </c>
    </row>
    <row r="418" ht="14.25" customHeight="1">
      <c r="Q418" s="33" t="str">
        <f>IFERROR(MasterData!$B418,"")</f>
        <v/>
      </c>
      <c r="R418" s="33" t="str">
        <f>IFERROR(MasterData!$C418,"")</f>
        <v/>
      </c>
      <c r="S418" s="33" t="str">
        <f>IFERROR(MasterData!$D418,"")</f>
        <v/>
      </c>
      <c r="T418" s="33" t="str">
        <f>IFERROR(MasterData!$E418,"")</f>
        <v/>
      </c>
      <c r="U418" s="33" t="str">
        <f>IFERROR(MasterData!$F418,"")</f>
        <v/>
      </c>
      <c r="V418" s="33" t="str">
        <f>IFERROR(MasterData!$I418,"")</f>
        <v/>
      </c>
      <c r="W418" s="33" t="str">
        <f>IFERROR(MasterData!$H418,"")</f>
        <v/>
      </c>
    </row>
    <row r="419" ht="14.25" customHeight="1">
      <c r="Q419" s="33" t="str">
        <f>IFERROR(MasterData!$B419,"")</f>
        <v/>
      </c>
      <c r="R419" s="33" t="str">
        <f>IFERROR(MasterData!$C419,"")</f>
        <v/>
      </c>
      <c r="S419" s="33" t="str">
        <f>IFERROR(MasterData!$D419,"")</f>
        <v/>
      </c>
      <c r="T419" s="33" t="str">
        <f>IFERROR(MasterData!$E419,"")</f>
        <v/>
      </c>
      <c r="U419" s="33" t="str">
        <f>IFERROR(MasterData!$F419,"")</f>
        <v/>
      </c>
      <c r="V419" s="33" t="str">
        <f>IFERROR(MasterData!$I419,"")</f>
        <v/>
      </c>
      <c r="W419" s="33" t="str">
        <f>IFERROR(MasterData!$H419,"")</f>
        <v/>
      </c>
    </row>
    <row r="420" ht="14.25" customHeight="1">
      <c r="Q420" s="33" t="str">
        <f>IFERROR(MasterData!$B420,"")</f>
        <v/>
      </c>
      <c r="R420" s="33" t="str">
        <f>IFERROR(MasterData!$C420,"")</f>
        <v/>
      </c>
      <c r="S420" s="33" t="str">
        <f>IFERROR(MasterData!$D420,"")</f>
        <v/>
      </c>
      <c r="T420" s="33" t="str">
        <f>IFERROR(MasterData!$E420,"")</f>
        <v/>
      </c>
      <c r="U420" s="33" t="str">
        <f>IFERROR(MasterData!$F420,"")</f>
        <v/>
      </c>
      <c r="V420" s="33" t="str">
        <f>IFERROR(MasterData!$I420,"")</f>
        <v/>
      </c>
      <c r="W420" s="33" t="str">
        <f>IFERROR(MasterData!$H420,"")</f>
        <v/>
      </c>
    </row>
    <row r="421" ht="14.25" customHeight="1">
      <c r="Q421" s="33" t="str">
        <f>IFERROR(MasterData!$B421,"")</f>
        <v/>
      </c>
      <c r="R421" s="33" t="str">
        <f>IFERROR(MasterData!$C421,"")</f>
        <v/>
      </c>
      <c r="S421" s="33" t="str">
        <f>IFERROR(MasterData!$D421,"")</f>
        <v/>
      </c>
      <c r="T421" s="33" t="str">
        <f>IFERROR(MasterData!$E421,"")</f>
        <v/>
      </c>
      <c r="U421" s="33" t="str">
        <f>IFERROR(MasterData!$F421,"")</f>
        <v/>
      </c>
      <c r="V421" s="33" t="str">
        <f>IFERROR(MasterData!$I421,"")</f>
        <v/>
      </c>
      <c r="W421" s="33" t="str">
        <f>IFERROR(MasterData!$H421,"")</f>
        <v/>
      </c>
    </row>
    <row r="422" ht="14.25" customHeight="1">
      <c r="Q422" s="33" t="str">
        <f>IFERROR(MasterData!$B422,"")</f>
        <v/>
      </c>
      <c r="R422" s="33" t="str">
        <f>IFERROR(MasterData!$C422,"")</f>
        <v/>
      </c>
      <c r="S422" s="33" t="str">
        <f>IFERROR(MasterData!$D422,"")</f>
        <v/>
      </c>
      <c r="T422" s="33" t="str">
        <f>IFERROR(MasterData!$E422,"")</f>
        <v/>
      </c>
      <c r="U422" s="33" t="str">
        <f>IFERROR(MasterData!$F422,"")</f>
        <v/>
      </c>
      <c r="V422" s="33" t="str">
        <f>IFERROR(MasterData!$I422,"")</f>
        <v/>
      </c>
      <c r="W422" s="33" t="str">
        <f>IFERROR(MasterData!$H422,"")</f>
        <v/>
      </c>
    </row>
    <row r="423" ht="14.25" customHeight="1">
      <c r="Q423" s="33" t="str">
        <f>IFERROR(MasterData!$B423,"")</f>
        <v/>
      </c>
      <c r="R423" s="33" t="str">
        <f>IFERROR(MasterData!$C423,"")</f>
        <v/>
      </c>
      <c r="S423" s="33" t="str">
        <f>IFERROR(MasterData!$D423,"")</f>
        <v/>
      </c>
      <c r="T423" s="33" t="str">
        <f>IFERROR(MasterData!$E423,"")</f>
        <v/>
      </c>
      <c r="U423" s="33" t="str">
        <f>IFERROR(MasterData!$F423,"")</f>
        <v/>
      </c>
      <c r="V423" s="33" t="str">
        <f>IFERROR(MasterData!$I423,"")</f>
        <v/>
      </c>
      <c r="W423" s="33" t="str">
        <f>IFERROR(MasterData!$H423,"")</f>
        <v/>
      </c>
    </row>
    <row r="424" ht="14.25" customHeight="1">
      <c r="Q424" s="33" t="str">
        <f>IFERROR(MasterData!$B424,"")</f>
        <v/>
      </c>
      <c r="R424" s="33" t="str">
        <f>IFERROR(MasterData!$C424,"")</f>
        <v/>
      </c>
      <c r="S424" s="33" t="str">
        <f>IFERROR(MasterData!$D424,"")</f>
        <v/>
      </c>
      <c r="T424" s="33" t="str">
        <f>IFERROR(MasterData!$E424,"")</f>
        <v/>
      </c>
      <c r="U424" s="33" t="str">
        <f>IFERROR(MasterData!$F424,"")</f>
        <v/>
      </c>
      <c r="V424" s="33" t="str">
        <f>IFERROR(MasterData!$I424,"")</f>
        <v/>
      </c>
      <c r="W424" s="33" t="str">
        <f>IFERROR(MasterData!$H424,"")</f>
        <v/>
      </c>
    </row>
    <row r="425" ht="14.25" customHeight="1">
      <c r="Q425" s="33" t="str">
        <f>IFERROR(MasterData!$B425,"")</f>
        <v/>
      </c>
      <c r="R425" s="33" t="str">
        <f>IFERROR(MasterData!$C425,"")</f>
        <v/>
      </c>
      <c r="S425" s="33" t="str">
        <f>IFERROR(MasterData!$D425,"")</f>
        <v/>
      </c>
      <c r="T425" s="33" t="str">
        <f>IFERROR(MasterData!$E425,"")</f>
        <v/>
      </c>
      <c r="U425" s="33" t="str">
        <f>IFERROR(MasterData!$F425,"")</f>
        <v/>
      </c>
      <c r="V425" s="33" t="str">
        <f>IFERROR(MasterData!$I425,"")</f>
        <v/>
      </c>
      <c r="W425" s="33" t="str">
        <f>IFERROR(MasterData!$H425,"")</f>
        <v/>
      </c>
    </row>
    <row r="426" ht="14.25" customHeight="1">
      <c r="Q426" s="33" t="str">
        <f>IFERROR(MasterData!$B426,"")</f>
        <v/>
      </c>
      <c r="R426" s="33" t="str">
        <f>IFERROR(MasterData!$C426,"")</f>
        <v/>
      </c>
      <c r="S426" s="33" t="str">
        <f>IFERROR(MasterData!$D426,"")</f>
        <v/>
      </c>
      <c r="T426" s="33" t="str">
        <f>IFERROR(MasterData!$E426,"")</f>
        <v/>
      </c>
      <c r="U426" s="33" t="str">
        <f>IFERROR(MasterData!$F426,"")</f>
        <v/>
      </c>
      <c r="V426" s="33" t="str">
        <f>IFERROR(MasterData!$I426,"")</f>
        <v/>
      </c>
      <c r="W426" s="33" t="str">
        <f>IFERROR(MasterData!$H426,"")</f>
        <v/>
      </c>
    </row>
    <row r="427" ht="14.25" customHeight="1">
      <c r="Q427" s="33" t="str">
        <f>IFERROR(MasterData!$B427,"")</f>
        <v/>
      </c>
      <c r="R427" s="33" t="str">
        <f>IFERROR(MasterData!$C427,"")</f>
        <v/>
      </c>
      <c r="S427" s="33" t="str">
        <f>IFERROR(MasterData!$D427,"")</f>
        <v/>
      </c>
      <c r="T427" s="33" t="str">
        <f>IFERROR(MasterData!$E427,"")</f>
        <v/>
      </c>
      <c r="U427" s="33" t="str">
        <f>IFERROR(MasterData!$F427,"")</f>
        <v/>
      </c>
      <c r="V427" s="33" t="str">
        <f>IFERROR(MasterData!$I427,"")</f>
        <v/>
      </c>
      <c r="W427" s="33" t="str">
        <f>IFERROR(MasterData!$H427,"")</f>
        <v/>
      </c>
    </row>
    <row r="428" ht="14.25" customHeight="1">
      <c r="Q428" s="33" t="str">
        <f>IFERROR(MasterData!$B428,"")</f>
        <v/>
      </c>
      <c r="R428" s="33" t="str">
        <f>IFERROR(MasterData!$C428,"")</f>
        <v/>
      </c>
      <c r="S428" s="33" t="str">
        <f>IFERROR(MasterData!$D428,"")</f>
        <v/>
      </c>
      <c r="T428" s="33" t="str">
        <f>IFERROR(MasterData!$E428,"")</f>
        <v/>
      </c>
      <c r="U428" s="33" t="str">
        <f>IFERROR(MasterData!$F428,"")</f>
        <v/>
      </c>
      <c r="V428" s="33" t="str">
        <f>IFERROR(MasterData!$I428,"")</f>
        <v/>
      </c>
      <c r="W428" s="33" t="str">
        <f>IFERROR(MasterData!$H428,"")</f>
        <v/>
      </c>
    </row>
    <row r="429" ht="14.25" customHeight="1">
      <c r="Q429" s="33" t="str">
        <f>IFERROR(MasterData!$B429,"")</f>
        <v/>
      </c>
      <c r="R429" s="33" t="str">
        <f>IFERROR(MasterData!$C429,"")</f>
        <v/>
      </c>
      <c r="S429" s="33" t="str">
        <f>IFERROR(MasterData!$D429,"")</f>
        <v/>
      </c>
      <c r="T429" s="33" t="str">
        <f>IFERROR(MasterData!$E429,"")</f>
        <v/>
      </c>
      <c r="U429" s="33" t="str">
        <f>IFERROR(MasterData!$F429,"")</f>
        <v/>
      </c>
      <c r="V429" s="33" t="str">
        <f>IFERROR(MasterData!$I429,"")</f>
        <v/>
      </c>
      <c r="W429" s="33" t="str">
        <f>IFERROR(MasterData!$H429,"")</f>
        <v/>
      </c>
    </row>
    <row r="430" ht="14.25" customHeight="1">
      <c r="Q430" s="33" t="str">
        <f>IFERROR(MasterData!$B430,"")</f>
        <v/>
      </c>
      <c r="R430" s="33" t="str">
        <f>IFERROR(MasterData!$C430,"")</f>
        <v/>
      </c>
      <c r="S430" s="33" t="str">
        <f>IFERROR(MasterData!$D430,"")</f>
        <v/>
      </c>
      <c r="T430" s="33" t="str">
        <f>IFERROR(MasterData!$E430,"")</f>
        <v/>
      </c>
      <c r="U430" s="33" t="str">
        <f>IFERROR(MasterData!$F430,"")</f>
        <v/>
      </c>
      <c r="V430" s="33" t="str">
        <f>IFERROR(MasterData!$I430,"")</f>
        <v/>
      </c>
      <c r="W430" s="33" t="str">
        <f>IFERROR(MasterData!$H430,"")</f>
        <v/>
      </c>
    </row>
    <row r="431" ht="14.25" customHeight="1">
      <c r="Q431" s="33" t="str">
        <f>IFERROR(MasterData!$B431,"")</f>
        <v/>
      </c>
      <c r="R431" s="33" t="str">
        <f>IFERROR(MasterData!$C431,"")</f>
        <v/>
      </c>
      <c r="S431" s="33" t="str">
        <f>IFERROR(MasterData!$D431,"")</f>
        <v/>
      </c>
      <c r="T431" s="33" t="str">
        <f>IFERROR(MasterData!$E431,"")</f>
        <v/>
      </c>
      <c r="U431" s="33" t="str">
        <f>IFERROR(MasterData!$F431,"")</f>
        <v/>
      </c>
      <c r="V431" s="33" t="str">
        <f>IFERROR(MasterData!$I431,"")</f>
        <v/>
      </c>
      <c r="W431" s="33" t="str">
        <f>IFERROR(MasterData!$H431,"")</f>
        <v/>
      </c>
    </row>
    <row r="432" ht="14.25" customHeight="1">
      <c r="Q432" s="33" t="str">
        <f>IFERROR(MasterData!$B432,"")</f>
        <v/>
      </c>
      <c r="R432" s="33" t="str">
        <f>IFERROR(MasterData!$C432,"")</f>
        <v/>
      </c>
      <c r="S432" s="33" t="str">
        <f>IFERROR(MasterData!$D432,"")</f>
        <v/>
      </c>
      <c r="T432" s="33" t="str">
        <f>IFERROR(MasterData!$E432,"")</f>
        <v/>
      </c>
      <c r="U432" s="33" t="str">
        <f>IFERROR(MasterData!$F432,"")</f>
        <v/>
      </c>
      <c r="V432" s="33" t="str">
        <f>IFERROR(MasterData!$I432,"")</f>
        <v/>
      </c>
      <c r="W432" s="33" t="str">
        <f>IFERROR(MasterData!$H432,"")</f>
        <v/>
      </c>
    </row>
    <row r="433" ht="14.25" customHeight="1">
      <c r="Q433" s="33" t="str">
        <f>IFERROR(MasterData!$B433,"")</f>
        <v/>
      </c>
      <c r="R433" s="33" t="str">
        <f>IFERROR(MasterData!$C433,"")</f>
        <v/>
      </c>
      <c r="S433" s="33" t="str">
        <f>IFERROR(MasterData!$D433,"")</f>
        <v/>
      </c>
      <c r="T433" s="33" t="str">
        <f>IFERROR(MasterData!$E433,"")</f>
        <v/>
      </c>
      <c r="U433" s="33" t="str">
        <f>IFERROR(MasterData!$F433,"")</f>
        <v/>
      </c>
      <c r="V433" s="33" t="str">
        <f>IFERROR(MasterData!$I433,"")</f>
        <v/>
      </c>
      <c r="W433" s="33" t="str">
        <f>IFERROR(MasterData!$H433,"")</f>
        <v/>
      </c>
    </row>
    <row r="434" ht="14.25" customHeight="1">
      <c r="Q434" s="33" t="str">
        <f>IFERROR(MasterData!$B434,"")</f>
        <v/>
      </c>
      <c r="R434" s="33" t="str">
        <f>IFERROR(MasterData!$C434,"")</f>
        <v/>
      </c>
      <c r="S434" s="33" t="str">
        <f>IFERROR(MasterData!$D434,"")</f>
        <v/>
      </c>
      <c r="T434" s="33" t="str">
        <f>IFERROR(MasterData!$E434,"")</f>
        <v/>
      </c>
      <c r="U434" s="33" t="str">
        <f>IFERROR(MasterData!$F434,"")</f>
        <v/>
      </c>
      <c r="V434" s="33" t="str">
        <f>IFERROR(MasterData!$I434,"")</f>
        <v/>
      </c>
      <c r="W434" s="33" t="str">
        <f>IFERROR(MasterData!$H434,"")</f>
        <v/>
      </c>
    </row>
    <row r="435" ht="14.25" customHeight="1">
      <c r="Q435" s="33" t="str">
        <f>IFERROR(MasterData!$B435,"")</f>
        <v/>
      </c>
      <c r="R435" s="33" t="str">
        <f>IFERROR(MasterData!$C435,"")</f>
        <v/>
      </c>
      <c r="S435" s="33" t="str">
        <f>IFERROR(MasterData!$D435,"")</f>
        <v/>
      </c>
      <c r="T435" s="33" t="str">
        <f>IFERROR(MasterData!$E435,"")</f>
        <v/>
      </c>
      <c r="U435" s="33" t="str">
        <f>IFERROR(MasterData!$F435,"")</f>
        <v/>
      </c>
      <c r="V435" s="33" t="str">
        <f>IFERROR(MasterData!$I435,"")</f>
        <v/>
      </c>
      <c r="W435" s="33" t="str">
        <f>IFERROR(MasterData!$H435,"")</f>
        <v/>
      </c>
    </row>
    <row r="436" ht="14.25" customHeight="1">
      <c r="Q436" s="33" t="str">
        <f>IFERROR(MasterData!$B436,"")</f>
        <v/>
      </c>
      <c r="R436" s="33" t="str">
        <f>IFERROR(MasterData!$C436,"")</f>
        <v/>
      </c>
      <c r="S436" s="33" t="str">
        <f>IFERROR(MasterData!$D436,"")</f>
        <v/>
      </c>
      <c r="T436" s="33" t="str">
        <f>IFERROR(MasterData!$E436,"")</f>
        <v/>
      </c>
      <c r="U436" s="33" t="str">
        <f>IFERROR(MasterData!$F436,"")</f>
        <v/>
      </c>
      <c r="V436" s="33" t="str">
        <f>IFERROR(MasterData!$I436,"")</f>
        <v/>
      </c>
      <c r="W436" s="33" t="str">
        <f>IFERROR(MasterData!$H436,"")</f>
        <v/>
      </c>
    </row>
    <row r="437" ht="14.25" customHeight="1">
      <c r="Q437" s="33" t="str">
        <f>IFERROR(MasterData!$B437,"")</f>
        <v/>
      </c>
      <c r="R437" s="33" t="str">
        <f>IFERROR(MasterData!$C437,"")</f>
        <v/>
      </c>
      <c r="S437" s="33" t="str">
        <f>IFERROR(MasterData!$D437,"")</f>
        <v/>
      </c>
      <c r="T437" s="33" t="str">
        <f>IFERROR(MasterData!$E437,"")</f>
        <v/>
      </c>
      <c r="U437" s="33" t="str">
        <f>IFERROR(MasterData!$F437,"")</f>
        <v/>
      </c>
      <c r="V437" s="33" t="str">
        <f>IFERROR(MasterData!$I437,"")</f>
        <v/>
      </c>
      <c r="W437" s="33" t="str">
        <f>IFERROR(MasterData!$H437,"")</f>
        <v/>
      </c>
    </row>
    <row r="438" ht="14.25" customHeight="1">
      <c r="Q438" s="33" t="str">
        <f>IFERROR(MasterData!$B438,"")</f>
        <v/>
      </c>
      <c r="R438" s="33" t="str">
        <f>IFERROR(MasterData!$C438,"")</f>
        <v/>
      </c>
      <c r="S438" s="33" t="str">
        <f>IFERROR(MasterData!$D438,"")</f>
        <v/>
      </c>
      <c r="T438" s="33" t="str">
        <f>IFERROR(MasterData!$E438,"")</f>
        <v/>
      </c>
      <c r="U438" s="33" t="str">
        <f>IFERROR(MasterData!$F438,"")</f>
        <v/>
      </c>
      <c r="V438" s="33" t="str">
        <f>IFERROR(MasterData!$I438,"")</f>
        <v/>
      </c>
      <c r="W438" s="33" t="str">
        <f>IFERROR(MasterData!$H438,"")</f>
        <v/>
      </c>
    </row>
    <row r="439" ht="14.25" customHeight="1">
      <c r="Q439" s="33" t="str">
        <f>IFERROR(MasterData!$B439,"")</f>
        <v/>
      </c>
      <c r="R439" s="33" t="str">
        <f>IFERROR(MasterData!$C439,"")</f>
        <v/>
      </c>
      <c r="S439" s="33" t="str">
        <f>IFERROR(MasterData!$D439,"")</f>
        <v/>
      </c>
      <c r="T439" s="33" t="str">
        <f>IFERROR(MasterData!$E439,"")</f>
        <v/>
      </c>
      <c r="U439" s="33" t="str">
        <f>IFERROR(MasterData!$F439,"")</f>
        <v/>
      </c>
      <c r="V439" s="33" t="str">
        <f>IFERROR(MasterData!$I439,"")</f>
        <v/>
      </c>
      <c r="W439" s="33" t="str">
        <f>IFERROR(MasterData!$H439,"")</f>
        <v/>
      </c>
    </row>
    <row r="440" ht="14.25" customHeight="1">
      <c r="Q440" s="33" t="str">
        <f>IFERROR(MasterData!$B440,"")</f>
        <v/>
      </c>
      <c r="R440" s="33" t="str">
        <f>IFERROR(MasterData!$C440,"")</f>
        <v/>
      </c>
      <c r="S440" s="33" t="str">
        <f>IFERROR(MasterData!$D440,"")</f>
        <v/>
      </c>
      <c r="T440" s="33" t="str">
        <f>IFERROR(MasterData!$E440,"")</f>
        <v/>
      </c>
      <c r="U440" s="33" t="str">
        <f>IFERROR(MasterData!$F440,"")</f>
        <v/>
      </c>
      <c r="V440" s="33" t="str">
        <f>IFERROR(MasterData!$I440,"")</f>
        <v/>
      </c>
      <c r="W440" s="33" t="str">
        <f>IFERROR(MasterData!$H440,"")</f>
        <v/>
      </c>
    </row>
    <row r="441" ht="14.25" customHeight="1">
      <c r="Q441" s="33" t="str">
        <f>IFERROR(MasterData!$B441,"")</f>
        <v/>
      </c>
      <c r="R441" s="33" t="str">
        <f>IFERROR(MasterData!$C441,"")</f>
        <v/>
      </c>
      <c r="S441" s="33" t="str">
        <f>IFERROR(MasterData!$D441,"")</f>
        <v/>
      </c>
      <c r="T441" s="33" t="str">
        <f>IFERROR(MasterData!$E441,"")</f>
        <v/>
      </c>
      <c r="U441" s="33" t="str">
        <f>IFERROR(MasterData!$F441,"")</f>
        <v/>
      </c>
      <c r="V441" s="33" t="str">
        <f>IFERROR(MasterData!$I441,"")</f>
        <v/>
      </c>
      <c r="W441" s="33" t="str">
        <f>IFERROR(MasterData!$H441,"")</f>
        <v/>
      </c>
    </row>
    <row r="442" ht="14.25" customHeight="1">
      <c r="Q442" s="33" t="str">
        <f>IFERROR(MasterData!$B442,"")</f>
        <v/>
      </c>
      <c r="R442" s="33" t="str">
        <f>IFERROR(MasterData!$C442,"")</f>
        <v/>
      </c>
      <c r="S442" s="33" t="str">
        <f>IFERROR(MasterData!$D442,"")</f>
        <v/>
      </c>
      <c r="T442" s="33" t="str">
        <f>IFERROR(MasterData!$E442,"")</f>
        <v/>
      </c>
      <c r="U442" s="33" t="str">
        <f>IFERROR(MasterData!$F442,"")</f>
        <v/>
      </c>
      <c r="V442" s="33" t="str">
        <f>IFERROR(MasterData!$I442,"")</f>
        <v/>
      </c>
      <c r="W442" s="33" t="str">
        <f>IFERROR(MasterData!$H442,"")</f>
        <v/>
      </c>
    </row>
    <row r="443" ht="14.25" customHeight="1">
      <c r="Q443" s="33" t="str">
        <f>IFERROR(MasterData!$B443,"")</f>
        <v/>
      </c>
      <c r="R443" s="33" t="str">
        <f>IFERROR(MasterData!$C443,"")</f>
        <v/>
      </c>
      <c r="S443" s="33" t="str">
        <f>IFERROR(MasterData!$D443,"")</f>
        <v/>
      </c>
      <c r="T443" s="33" t="str">
        <f>IFERROR(MasterData!$E443,"")</f>
        <v/>
      </c>
      <c r="U443" s="33" t="str">
        <f>IFERROR(MasterData!$F443,"")</f>
        <v/>
      </c>
      <c r="V443" s="33" t="str">
        <f>IFERROR(MasterData!$I443,"")</f>
        <v/>
      </c>
      <c r="W443" s="33" t="str">
        <f>IFERROR(MasterData!$H443,"")</f>
        <v/>
      </c>
    </row>
    <row r="444" ht="14.25" customHeight="1">
      <c r="Q444" s="33" t="str">
        <f>IFERROR(MasterData!$B444,"")</f>
        <v/>
      </c>
      <c r="R444" s="33" t="str">
        <f>IFERROR(MasterData!$C444,"")</f>
        <v/>
      </c>
      <c r="S444" s="33" t="str">
        <f>IFERROR(MasterData!$D444,"")</f>
        <v/>
      </c>
      <c r="T444" s="33" t="str">
        <f>IFERROR(MasterData!$E444,"")</f>
        <v/>
      </c>
      <c r="U444" s="33" t="str">
        <f>IFERROR(MasterData!$F444,"")</f>
        <v/>
      </c>
      <c r="V444" s="33" t="str">
        <f>IFERROR(MasterData!$I444,"")</f>
        <v/>
      </c>
      <c r="W444" s="33" t="str">
        <f>IFERROR(MasterData!$H444,"")</f>
        <v/>
      </c>
    </row>
    <row r="445" ht="14.25" customHeight="1">
      <c r="Q445" s="33" t="str">
        <f>IFERROR(MasterData!$B445,"")</f>
        <v/>
      </c>
      <c r="R445" s="33" t="str">
        <f>IFERROR(MasterData!$C445,"")</f>
        <v/>
      </c>
      <c r="S445" s="33" t="str">
        <f>IFERROR(MasterData!$D445,"")</f>
        <v/>
      </c>
      <c r="T445" s="33" t="str">
        <f>IFERROR(MasterData!$E445,"")</f>
        <v/>
      </c>
      <c r="U445" s="33" t="str">
        <f>IFERROR(MasterData!$F445,"")</f>
        <v/>
      </c>
      <c r="V445" s="33" t="str">
        <f>IFERROR(MasterData!$I445,"")</f>
        <v/>
      </c>
      <c r="W445" s="33" t="str">
        <f>IFERROR(MasterData!$H445,"")</f>
        <v/>
      </c>
    </row>
    <row r="446" ht="14.25" customHeight="1">
      <c r="Q446" s="33" t="str">
        <f>IFERROR(MasterData!$B446,"")</f>
        <v/>
      </c>
      <c r="R446" s="33" t="str">
        <f>IFERROR(MasterData!$C446,"")</f>
        <v/>
      </c>
      <c r="S446" s="33" t="str">
        <f>IFERROR(MasterData!$D446,"")</f>
        <v/>
      </c>
      <c r="T446" s="33" t="str">
        <f>IFERROR(MasterData!$E446,"")</f>
        <v/>
      </c>
      <c r="U446" s="33" t="str">
        <f>IFERROR(MasterData!$F446,"")</f>
        <v/>
      </c>
      <c r="V446" s="33" t="str">
        <f>IFERROR(MasterData!$I446,"")</f>
        <v/>
      </c>
      <c r="W446" s="33" t="str">
        <f>IFERROR(MasterData!$H446,"")</f>
        <v/>
      </c>
    </row>
    <row r="447" ht="14.25" customHeight="1">
      <c r="Q447" s="33" t="str">
        <f>IFERROR(MasterData!$B447,"")</f>
        <v/>
      </c>
      <c r="R447" s="33" t="str">
        <f>IFERROR(MasterData!$C447,"")</f>
        <v/>
      </c>
      <c r="S447" s="33" t="str">
        <f>IFERROR(MasterData!$D447,"")</f>
        <v/>
      </c>
      <c r="T447" s="33" t="str">
        <f>IFERROR(MasterData!$E447,"")</f>
        <v/>
      </c>
      <c r="U447" s="33" t="str">
        <f>IFERROR(MasterData!$F447,"")</f>
        <v/>
      </c>
      <c r="V447" s="33" t="str">
        <f>IFERROR(MasterData!$I447,"")</f>
        <v/>
      </c>
      <c r="W447" s="33" t="str">
        <f>IFERROR(MasterData!$H447,"")</f>
        <v/>
      </c>
    </row>
    <row r="448" ht="14.25" customHeight="1">
      <c r="Q448" s="33" t="str">
        <f>IFERROR(MasterData!$B448,"")</f>
        <v/>
      </c>
      <c r="R448" s="33" t="str">
        <f>IFERROR(MasterData!$C448,"")</f>
        <v/>
      </c>
      <c r="S448" s="33" t="str">
        <f>IFERROR(MasterData!$D448,"")</f>
        <v/>
      </c>
      <c r="T448" s="33" t="str">
        <f>IFERROR(MasterData!$E448,"")</f>
        <v/>
      </c>
      <c r="U448" s="33" t="str">
        <f>IFERROR(MasterData!$F448,"")</f>
        <v/>
      </c>
      <c r="V448" s="33" t="str">
        <f>IFERROR(MasterData!$I448,"")</f>
        <v/>
      </c>
      <c r="W448" s="33" t="str">
        <f>IFERROR(MasterData!$H448,"")</f>
        <v/>
      </c>
    </row>
    <row r="449" ht="14.25" customHeight="1">
      <c r="Q449" s="33" t="str">
        <f>IFERROR(MasterData!$B449,"")</f>
        <v/>
      </c>
      <c r="R449" s="33" t="str">
        <f>IFERROR(MasterData!$C449,"")</f>
        <v/>
      </c>
      <c r="S449" s="33" t="str">
        <f>IFERROR(MasterData!$D449,"")</f>
        <v/>
      </c>
      <c r="T449" s="33" t="str">
        <f>IFERROR(MasterData!$E449,"")</f>
        <v/>
      </c>
      <c r="U449" s="33" t="str">
        <f>IFERROR(MasterData!$F449,"")</f>
        <v/>
      </c>
      <c r="V449" s="33" t="str">
        <f>IFERROR(MasterData!$I449,"")</f>
        <v/>
      </c>
      <c r="W449" s="33" t="str">
        <f>IFERROR(MasterData!$H449,"")</f>
        <v/>
      </c>
    </row>
    <row r="450" ht="14.25" customHeight="1">
      <c r="Q450" s="33" t="str">
        <f>IFERROR(MasterData!$B450,"")</f>
        <v/>
      </c>
      <c r="R450" s="33" t="str">
        <f>IFERROR(MasterData!$C450,"")</f>
        <v/>
      </c>
      <c r="S450" s="33" t="str">
        <f>IFERROR(MasterData!$D450,"")</f>
        <v/>
      </c>
      <c r="T450" s="33" t="str">
        <f>IFERROR(MasterData!$E450,"")</f>
        <v/>
      </c>
      <c r="U450" s="33" t="str">
        <f>IFERROR(MasterData!$F450,"")</f>
        <v/>
      </c>
      <c r="V450" s="33" t="str">
        <f>IFERROR(MasterData!$I450,"")</f>
        <v/>
      </c>
      <c r="W450" s="33" t="str">
        <f>IFERROR(MasterData!$H450,"")</f>
        <v/>
      </c>
    </row>
    <row r="451" ht="14.25" customHeight="1">
      <c r="Q451" s="33" t="str">
        <f>IFERROR(MasterData!$B451,"")</f>
        <v/>
      </c>
      <c r="R451" s="33" t="str">
        <f>IFERROR(MasterData!$C451,"")</f>
        <v/>
      </c>
      <c r="S451" s="33" t="str">
        <f>IFERROR(MasterData!$D451,"")</f>
        <v/>
      </c>
      <c r="T451" s="33" t="str">
        <f>IFERROR(MasterData!$E451,"")</f>
        <v/>
      </c>
      <c r="U451" s="33" t="str">
        <f>IFERROR(MasterData!$F451,"")</f>
        <v/>
      </c>
      <c r="V451" s="33" t="str">
        <f>IFERROR(MasterData!$I451,"")</f>
        <v/>
      </c>
      <c r="W451" s="33" t="str">
        <f>IFERROR(MasterData!$H451,"")</f>
        <v/>
      </c>
    </row>
    <row r="452" ht="14.25" customHeight="1">
      <c r="Q452" s="33" t="str">
        <f>IFERROR(MasterData!$B452,"")</f>
        <v/>
      </c>
      <c r="R452" s="33" t="str">
        <f>IFERROR(MasterData!$C452,"")</f>
        <v/>
      </c>
      <c r="S452" s="33" t="str">
        <f>IFERROR(MasterData!$D452,"")</f>
        <v/>
      </c>
      <c r="T452" s="33" t="str">
        <f>IFERROR(MasterData!$E452,"")</f>
        <v/>
      </c>
      <c r="U452" s="33" t="str">
        <f>IFERROR(MasterData!$F452,"")</f>
        <v/>
      </c>
      <c r="V452" s="33" t="str">
        <f>IFERROR(MasterData!$I452,"")</f>
        <v/>
      </c>
      <c r="W452" s="33" t="str">
        <f>IFERROR(MasterData!$H452,"")</f>
        <v/>
      </c>
    </row>
    <row r="453" ht="14.25" customHeight="1">
      <c r="Q453" s="33" t="str">
        <f>IFERROR(MasterData!$B453,"")</f>
        <v/>
      </c>
      <c r="R453" s="33" t="str">
        <f>IFERROR(MasterData!$C453,"")</f>
        <v/>
      </c>
      <c r="S453" s="33" t="str">
        <f>IFERROR(MasterData!$D453,"")</f>
        <v/>
      </c>
      <c r="T453" s="33" t="str">
        <f>IFERROR(MasterData!$E453,"")</f>
        <v/>
      </c>
      <c r="U453" s="33" t="str">
        <f>IFERROR(MasterData!$F453,"")</f>
        <v/>
      </c>
      <c r="V453" s="33" t="str">
        <f>IFERROR(MasterData!$I453,"")</f>
        <v/>
      </c>
      <c r="W453" s="33" t="str">
        <f>IFERROR(MasterData!$H453,"")</f>
        <v/>
      </c>
    </row>
    <row r="454" ht="14.25" customHeight="1">
      <c r="Q454" s="33" t="str">
        <f>IFERROR(MasterData!$B454,"")</f>
        <v/>
      </c>
      <c r="R454" s="33" t="str">
        <f>IFERROR(MasterData!$C454,"")</f>
        <v/>
      </c>
      <c r="S454" s="33" t="str">
        <f>IFERROR(MasterData!$D454,"")</f>
        <v/>
      </c>
      <c r="T454" s="33" t="str">
        <f>IFERROR(MasterData!$E454,"")</f>
        <v/>
      </c>
      <c r="U454" s="33" t="str">
        <f>IFERROR(MasterData!$F454,"")</f>
        <v/>
      </c>
      <c r="V454" s="33" t="str">
        <f>IFERROR(MasterData!$I454,"")</f>
        <v/>
      </c>
      <c r="W454" s="33" t="str">
        <f>IFERROR(MasterData!$H454,"")</f>
        <v/>
      </c>
    </row>
    <row r="455" ht="14.25" customHeight="1">
      <c r="Q455" s="33" t="str">
        <f>IFERROR(MasterData!$B455,"")</f>
        <v/>
      </c>
      <c r="R455" s="33" t="str">
        <f>IFERROR(MasterData!$C455,"")</f>
        <v/>
      </c>
      <c r="S455" s="33" t="str">
        <f>IFERROR(MasterData!$D455,"")</f>
        <v/>
      </c>
      <c r="T455" s="33" t="str">
        <f>IFERROR(MasterData!$E455,"")</f>
        <v/>
      </c>
      <c r="U455" s="33" t="str">
        <f>IFERROR(MasterData!$F455,"")</f>
        <v/>
      </c>
      <c r="V455" s="33" t="str">
        <f>IFERROR(MasterData!$I455,"")</f>
        <v/>
      </c>
      <c r="W455" s="33" t="str">
        <f>IFERROR(MasterData!$H455,"")</f>
        <v/>
      </c>
    </row>
    <row r="456" ht="14.25" customHeight="1">
      <c r="Q456" s="33" t="str">
        <f>IFERROR(MasterData!$B456,"")</f>
        <v/>
      </c>
      <c r="R456" s="33" t="str">
        <f>IFERROR(MasterData!$C456,"")</f>
        <v/>
      </c>
      <c r="S456" s="33" t="str">
        <f>IFERROR(MasterData!$D456,"")</f>
        <v/>
      </c>
      <c r="T456" s="33" t="str">
        <f>IFERROR(MasterData!$E456,"")</f>
        <v/>
      </c>
      <c r="U456" s="33" t="str">
        <f>IFERROR(MasterData!$F456,"")</f>
        <v/>
      </c>
      <c r="V456" s="33" t="str">
        <f>IFERROR(MasterData!$I456,"")</f>
        <v/>
      </c>
      <c r="W456" s="33" t="str">
        <f>IFERROR(MasterData!$H456,"")</f>
        <v/>
      </c>
    </row>
    <row r="457" ht="14.25" customHeight="1">
      <c r="Q457" s="33" t="str">
        <f>IFERROR(MasterData!$B457,"")</f>
        <v/>
      </c>
      <c r="R457" s="33" t="str">
        <f>IFERROR(MasterData!$C457,"")</f>
        <v/>
      </c>
      <c r="S457" s="33" t="str">
        <f>IFERROR(MasterData!$D457,"")</f>
        <v/>
      </c>
      <c r="T457" s="33" t="str">
        <f>IFERROR(MasterData!$E457,"")</f>
        <v/>
      </c>
      <c r="U457" s="33" t="str">
        <f>IFERROR(MasterData!$F457,"")</f>
        <v/>
      </c>
      <c r="V457" s="33" t="str">
        <f>IFERROR(MasterData!$I457,"")</f>
        <v/>
      </c>
      <c r="W457" s="33" t="str">
        <f>IFERROR(MasterData!$H457,"")</f>
        <v/>
      </c>
    </row>
    <row r="458" ht="14.25" customHeight="1">
      <c r="Q458" s="33" t="str">
        <f>IFERROR(MasterData!$B458,"")</f>
        <v/>
      </c>
      <c r="R458" s="33" t="str">
        <f>IFERROR(MasterData!$C458,"")</f>
        <v/>
      </c>
      <c r="S458" s="33" t="str">
        <f>IFERROR(MasterData!$D458,"")</f>
        <v/>
      </c>
      <c r="T458" s="33" t="str">
        <f>IFERROR(MasterData!$E458,"")</f>
        <v/>
      </c>
      <c r="U458" s="33" t="str">
        <f>IFERROR(MasterData!$F458,"")</f>
        <v/>
      </c>
      <c r="V458" s="33" t="str">
        <f>IFERROR(MasterData!$I458,"")</f>
        <v/>
      </c>
      <c r="W458" s="33" t="str">
        <f>IFERROR(MasterData!$H458,"")</f>
        <v/>
      </c>
    </row>
    <row r="459" ht="14.25" customHeight="1">
      <c r="Q459" s="33" t="str">
        <f>IFERROR(MasterData!$B459,"")</f>
        <v/>
      </c>
      <c r="R459" s="33" t="str">
        <f>IFERROR(MasterData!$C459,"")</f>
        <v/>
      </c>
      <c r="S459" s="33" t="str">
        <f>IFERROR(MasterData!$D459,"")</f>
        <v/>
      </c>
      <c r="T459" s="33" t="str">
        <f>IFERROR(MasterData!$E459,"")</f>
        <v/>
      </c>
      <c r="U459" s="33" t="str">
        <f>IFERROR(MasterData!$F459,"")</f>
        <v/>
      </c>
      <c r="V459" s="33" t="str">
        <f>IFERROR(MasterData!$I459,"")</f>
        <v/>
      </c>
      <c r="W459" s="33" t="str">
        <f>IFERROR(MasterData!$H459,"")</f>
        <v/>
      </c>
    </row>
    <row r="460" ht="14.25" customHeight="1">
      <c r="Q460" s="33" t="str">
        <f>IFERROR(MasterData!$B460,"")</f>
        <v/>
      </c>
      <c r="R460" s="33" t="str">
        <f>IFERROR(MasterData!$C460,"")</f>
        <v/>
      </c>
      <c r="S460" s="33" t="str">
        <f>IFERROR(MasterData!$D460,"")</f>
        <v/>
      </c>
      <c r="T460" s="33" t="str">
        <f>IFERROR(MasterData!$E460,"")</f>
        <v/>
      </c>
      <c r="U460" s="33" t="str">
        <f>IFERROR(MasterData!$F460,"")</f>
        <v/>
      </c>
      <c r="V460" s="33" t="str">
        <f>IFERROR(MasterData!$I460,"")</f>
        <v/>
      </c>
      <c r="W460" s="33" t="str">
        <f>IFERROR(MasterData!$H460,"")</f>
        <v/>
      </c>
    </row>
    <row r="461" ht="14.25" customHeight="1">
      <c r="Q461" s="33" t="str">
        <f>IFERROR(MasterData!$B461,"")</f>
        <v/>
      </c>
      <c r="R461" s="33" t="str">
        <f>IFERROR(MasterData!$C461,"")</f>
        <v/>
      </c>
      <c r="S461" s="33" t="str">
        <f>IFERROR(MasterData!$D461,"")</f>
        <v/>
      </c>
      <c r="T461" s="33" t="str">
        <f>IFERROR(MasterData!$E461,"")</f>
        <v/>
      </c>
      <c r="U461" s="33" t="str">
        <f>IFERROR(MasterData!$F461,"")</f>
        <v/>
      </c>
      <c r="V461" s="33" t="str">
        <f>IFERROR(MasterData!$I461,"")</f>
        <v/>
      </c>
      <c r="W461" s="33" t="str">
        <f>IFERROR(MasterData!$H461,"")</f>
        <v/>
      </c>
    </row>
    <row r="462" ht="14.25" customHeight="1">
      <c r="Q462" s="33" t="str">
        <f>IFERROR(MasterData!$B462,"")</f>
        <v/>
      </c>
      <c r="R462" s="33" t="str">
        <f>IFERROR(MasterData!$C462,"")</f>
        <v/>
      </c>
      <c r="S462" s="33" t="str">
        <f>IFERROR(MasterData!$D462,"")</f>
        <v/>
      </c>
      <c r="T462" s="33" t="str">
        <f>IFERROR(MasterData!$E462,"")</f>
        <v/>
      </c>
      <c r="U462" s="33" t="str">
        <f>IFERROR(MasterData!$F462,"")</f>
        <v/>
      </c>
      <c r="V462" s="33" t="str">
        <f>IFERROR(MasterData!$I462,"")</f>
        <v/>
      </c>
      <c r="W462" s="33" t="str">
        <f>IFERROR(MasterData!$H462,"")</f>
        <v/>
      </c>
    </row>
    <row r="463" ht="14.25" customHeight="1">
      <c r="Q463" s="33" t="str">
        <f>IFERROR(MasterData!$B463,"")</f>
        <v/>
      </c>
      <c r="R463" s="33" t="str">
        <f>IFERROR(MasterData!$C463,"")</f>
        <v/>
      </c>
      <c r="S463" s="33" t="str">
        <f>IFERROR(MasterData!$D463,"")</f>
        <v/>
      </c>
      <c r="T463" s="33" t="str">
        <f>IFERROR(MasterData!$E463,"")</f>
        <v/>
      </c>
      <c r="U463" s="33" t="str">
        <f>IFERROR(MasterData!$F463,"")</f>
        <v/>
      </c>
      <c r="V463" s="33" t="str">
        <f>IFERROR(MasterData!$I463,"")</f>
        <v/>
      </c>
      <c r="W463" s="33" t="str">
        <f>IFERROR(MasterData!$H463,"")</f>
        <v/>
      </c>
    </row>
    <row r="464" ht="14.25" customHeight="1">
      <c r="Q464" s="33" t="str">
        <f>IFERROR(MasterData!$B464,"")</f>
        <v/>
      </c>
      <c r="R464" s="33" t="str">
        <f>IFERROR(MasterData!$C464,"")</f>
        <v/>
      </c>
      <c r="S464" s="33" t="str">
        <f>IFERROR(MasterData!$D464,"")</f>
        <v/>
      </c>
      <c r="T464" s="33" t="str">
        <f>IFERROR(MasterData!$E464,"")</f>
        <v/>
      </c>
      <c r="U464" s="33" t="str">
        <f>IFERROR(MasterData!$F464,"")</f>
        <v/>
      </c>
      <c r="V464" s="33" t="str">
        <f>IFERROR(MasterData!$I464,"")</f>
        <v/>
      </c>
      <c r="W464" s="33" t="str">
        <f>IFERROR(MasterData!$H464,"")</f>
        <v/>
      </c>
    </row>
    <row r="465" ht="14.25" customHeight="1">
      <c r="Q465" s="33" t="str">
        <f>IFERROR(MasterData!$B465,"")</f>
        <v/>
      </c>
      <c r="R465" s="33" t="str">
        <f>IFERROR(MasterData!$C465,"")</f>
        <v/>
      </c>
      <c r="S465" s="33" t="str">
        <f>IFERROR(MasterData!$D465,"")</f>
        <v/>
      </c>
      <c r="T465" s="33" t="str">
        <f>IFERROR(MasterData!$E465,"")</f>
        <v/>
      </c>
      <c r="U465" s="33" t="str">
        <f>IFERROR(MasterData!$F465,"")</f>
        <v/>
      </c>
      <c r="V465" s="33" t="str">
        <f>IFERROR(MasterData!$I465,"")</f>
        <v/>
      </c>
      <c r="W465" s="33" t="str">
        <f>IFERROR(MasterData!$H465,"")</f>
        <v/>
      </c>
    </row>
    <row r="466" ht="14.25" customHeight="1">
      <c r="Q466" s="33" t="str">
        <f>IFERROR(MasterData!$B466,"")</f>
        <v/>
      </c>
      <c r="R466" s="33" t="str">
        <f>IFERROR(MasterData!$C466,"")</f>
        <v/>
      </c>
      <c r="S466" s="33" t="str">
        <f>IFERROR(MasterData!$D466,"")</f>
        <v/>
      </c>
      <c r="T466" s="33" t="str">
        <f>IFERROR(MasterData!$E466,"")</f>
        <v/>
      </c>
      <c r="U466" s="33" t="str">
        <f>IFERROR(MasterData!$F466,"")</f>
        <v/>
      </c>
      <c r="V466" s="33" t="str">
        <f>IFERROR(MasterData!$I466,"")</f>
        <v/>
      </c>
      <c r="W466" s="33" t="str">
        <f>IFERROR(MasterData!$H466,"")</f>
        <v/>
      </c>
    </row>
    <row r="467" ht="14.25" customHeight="1">
      <c r="Q467" s="33" t="str">
        <f>IFERROR(MasterData!$B467,"")</f>
        <v/>
      </c>
      <c r="R467" s="33" t="str">
        <f>IFERROR(MasterData!$C467,"")</f>
        <v/>
      </c>
      <c r="S467" s="33" t="str">
        <f>IFERROR(MasterData!$D467,"")</f>
        <v/>
      </c>
      <c r="T467" s="33" t="str">
        <f>IFERROR(MasterData!$E467,"")</f>
        <v/>
      </c>
      <c r="U467" s="33" t="str">
        <f>IFERROR(MasterData!$F467,"")</f>
        <v/>
      </c>
      <c r="V467" s="33" t="str">
        <f>IFERROR(MasterData!$I467,"")</f>
        <v/>
      </c>
      <c r="W467" s="33" t="str">
        <f>IFERROR(MasterData!$H467,"")</f>
        <v/>
      </c>
    </row>
    <row r="468" ht="14.25" customHeight="1">
      <c r="Q468" s="33" t="str">
        <f>IFERROR(MasterData!$B468,"")</f>
        <v/>
      </c>
      <c r="R468" s="33" t="str">
        <f>IFERROR(MasterData!$C468,"")</f>
        <v/>
      </c>
      <c r="S468" s="33" t="str">
        <f>IFERROR(MasterData!$D468,"")</f>
        <v/>
      </c>
      <c r="T468" s="33" t="str">
        <f>IFERROR(MasterData!$E468,"")</f>
        <v/>
      </c>
      <c r="U468" s="33" t="str">
        <f>IFERROR(MasterData!$F468,"")</f>
        <v/>
      </c>
      <c r="V468" s="33" t="str">
        <f>IFERROR(MasterData!$I468,"")</f>
        <v/>
      </c>
      <c r="W468" s="33" t="str">
        <f>IFERROR(MasterData!$H468,"")</f>
        <v/>
      </c>
    </row>
    <row r="469" ht="14.25" customHeight="1">
      <c r="Q469" s="33" t="str">
        <f>IFERROR(MasterData!$B469,"")</f>
        <v/>
      </c>
      <c r="R469" s="33" t="str">
        <f>IFERROR(MasterData!$C469,"")</f>
        <v/>
      </c>
      <c r="S469" s="33" t="str">
        <f>IFERROR(MasterData!$D469,"")</f>
        <v/>
      </c>
      <c r="T469" s="33" t="str">
        <f>IFERROR(MasterData!$E469,"")</f>
        <v/>
      </c>
      <c r="U469" s="33" t="str">
        <f>IFERROR(MasterData!$F469,"")</f>
        <v/>
      </c>
      <c r="V469" s="33" t="str">
        <f>IFERROR(MasterData!$I469,"")</f>
        <v/>
      </c>
      <c r="W469" s="33" t="str">
        <f>IFERROR(MasterData!$H469,"")</f>
        <v/>
      </c>
    </row>
    <row r="470" ht="14.25" customHeight="1">
      <c r="Q470" s="33" t="str">
        <f>IFERROR(MasterData!$B470,"")</f>
        <v/>
      </c>
      <c r="R470" s="33" t="str">
        <f>IFERROR(MasterData!$C470,"")</f>
        <v/>
      </c>
      <c r="S470" s="33" t="str">
        <f>IFERROR(MasterData!$D470,"")</f>
        <v/>
      </c>
      <c r="T470" s="33" t="str">
        <f>IFERROR(MasterData!$E470,"")</f>
        <v/>
      </c>
      <c r="U470" s="33" t="str">
        <f>IFERROR(MasterData!$F470,"")</f>
        <v/>
      </c>
      <c r="V470" s="33" t="str">
        <f>IFERROR(MasterData!$I470,"")</f>
        <v/>
      </c>
      <c r="W470" s="33" t="str">
        <f>IFERROR(MasterData!$H470,"")</f>
        <v/>
      </c>
    </row>
    <row r="471" ht="14.25" customHeight="1">
      <c r="Q471" s="33" t="str">
        <f>IFERROR(MasterData!$B471,"")</f>
        <v/>
      </c>
      <c r="R471" s="33" t="str">
        <f>IFERROR(MasterData!$C471,"")</f>
        <v/>
      </c>
      <c r="S471" s="33" t="str">
        <f>IFERROR(MasterData!$D471,"")</f>
        <v/>
      </c>
      <c r="T471" s="33" t="str">
        <f>IFERROR(MasterData!$E471,"")</f>
        <v/>
      </c>
      <c r="U471" s="33" t="str">
        <f>IFERROR(MasterData!$F471,"")</f>
        <v/>
      </c>
      <c r="V471" s="33" t="str">
        <f>IFERROR(MasterData!$I471,"")</f>
        <v/>
      </c>
      <c r="W471" s="33" t="str">
        <f>IFERROR(MasterData!$H471,"")</f>
        <v/>
      </c>
    </row>
    <row r="472" ht="14.25" customHeight="1">
      <c r="Q472" s="33" t="str">
        <f>IFERROR(MasterData!$B472,"")</f>
        <v/>
      </c>
      <c r="R472" s="33" t="str">
        <f>IFERROR(MasterData!$C472,"")</f>
        <v/>
      </c>
      <c r="S472" s="33" t="str">
        <f>IFERROR(MasterData!$D472,"")</f>
        <v/>
      </c>
      <c r="T472" s="33" t="str">
        <f>IFERROR(MasterData!$E472,"")</f>
        <v/>
      </c>
      <c r="U472" s="33" t="str">
        <f>IFERROR(MasterData!$F472,"")</f>
        <v/>
      </c>
      <c r="V472" s="33" t="str">
        <f>IFERROR(MasterData!$I472,"")</f>
        <v/>
      </c>
      <c r="W472" s="33" t="str">
        <f>IFERROR(MasterData!$H472,"")</f>
        <v/>
      </c>
    </row>
    <row r="473" ht="14.25" customHeight="1">
      <c r="Q473" s="33" t="str">
        <f>IFERROR(MasterData!$B473,"")</f>
        <v/>
      </c>
      <c r="R473" s="33" t="str">
        <f>IFERROR(MasterData!$C473,"")</f>
        <v/>
      </c>
      <c r="S473" s="33" t="str">
        <f>IFERROR(MasterData!$D473,"")</f>
        <v/>
      </c>
      <c r="T473" s="33" t="str">
        <f>IFERROR(MasterData!$E473,"")</f>
        <v/>
      </c>
      <c r="U473" s="33" t="str">
        <f>IFERROR(MasterData!$F473,"")</f>
        <v/>
      </c>
      <c r="V473" s="33" t="str">
        <f>IFERROR(MasterData!$I473,"")</f>
        <v/>
      </c>
      <c r="W473" s="33" t="str">
        <f>IFERROR(MasterData!$H473,"")</f>
        <v/>
      </c>
    </row>
    <row r="474" ht="14.25" customHeight="1">
      <c r="Q474" s="33" t="str">
        <f>IFERROR(MasterData!$B474,"")</f>
        <v/>
      </c>
      <c r="R474" s="33" t="str">
        <f>IFERROR(MasterData!$C474,"")</f>
        <v/>
      </c>
      <c r="S474" s="33" t="str">
        <f>IFERROR(MasterData!$D474,"")</f>
        <v/>
      </c>
      <c r="T474" s="33" t="str">
        <f>IFERROR(MasterData!$E474,"")</f>
        <v/>
      </c>
      <c r="U474" s="33" t="str">
        <f>IFERROR(MasterData!$F474,"")</f>
        <v/>
      </c>
      <c r="V474" s="33" t="str">
        <f>IFERROR(MasterData!$I474,"")</f>
        <v/>
      </c>
      <c r="W474" s="33" t="str">
        <f>IFERROR(MasterData!$H474,"")</f>
        <v/>
      </c>
    </row>
    <row r="475" ht="14.25" customHeight="1">
      <c r="Q475" s="33" t="str">
        <f>IFERROR(MasterData!$B475,"")</f>
        <v/>
      </c>
      <c r="R475" s="33" t="str">
        <f>IFERROR(MasterData!$C475,"")</f>
        <v/>
      </c>
      <c r="S475" s="33" t="str">
        <f>IFERROR(MasterData!$D475,"")</f>
        <v/>
      </c>
      <c r="T475" s="33" t="str">
        <f>IFERROR(MasterData!$E475,"")</f>
        <v/>
      </c>
      <c r="U475" s="33" t="str">
        <f>IFERROR(MasterData!$F475,"")</f>
        <v/>
      </c>
      <c r="V475" s="33" t="str">
        <f>IFERROR(MasterData!$I475,"")</f>
        <v/>
      </c>
      <c r="W475" s="33" t="str">
        <f>IFERROR(MasterData!$H475,"")</f>
        <v/>
      </c>
    </row>
    <row r="476" ht="14.25" customHeight="1">
      <c r="Q476" s="33" t="str">
        <f>IFERROR(MasterData!$B476,"")</f>
        <v/>
      </c>
      <c r="R476" s="33" t="str">
        <f>IFERROR(MasterData!$C476,"")</f>
        <v/>
      </c>
      <c r="S476" s="33" t="str">
        <f>IFERROR(MasterData!$D476,"")</f>
        <v/>
      </c>
      <c r="T476" s="33" t="str">
        <f>IFERROR(MasterData!$E476,"")</f>
        <v/>
      </c>
      <c r="U476" s="33" t="str">
        <f>IFERROR(MasterData!$F476,"")</f>
        <v/>
      </c>
      <c r="V476" s="33" t="str">
        <f>IFERROR(MasterData!$I476,"")</f>
        <v/>
      </c>
      <c r="W476" s="33" t="str">
        <f>IFERROR(MasterData!$H476,"")</f>
        <v/>
      </c>
    </row>
    <row r="477" ht="14.25" customHeight="1">
      <c r="Q477" s="33" t="str">
        <f>IFERROR(MasterData!$B477,"")</f>
        <v/>
      </c>
      <c r="R477" s="33" t="str">
        <f>IFERROR(MasterData!$C477,"")</f>
        <v/>
      </c>
      <c r="S477" s="33" t="str">
        <f>IFERROR(MasterData!$D477,"")</f>
        <v/>
      </c>
      <c r="T477" s="33" t="str">
        <f>IFERROR(MasterData!$E477,"")</f>
        <v/>
      </c>
      <c r="U477" s="33" t="str">
        <f>IFERROR(MasterData!$F477,"")</f>
        <v/>
      </c>
      <c r="V477" s="33" t="str">
        <f>IFERROR(MasterData!$I477,"")</f>
        <v/>
      </c>
      <c r="W477" s="33" t="str">
        <f>IFERROR(MasterData!$H477,"")</f>
        <v/>
      </c>
    </row>
    <row r="478" ht="14.25" customHeight="1">
      <c r="Q478" s="33" t="str">
        <f>IFERROR(MasterData!$B478,"")</f>
        <v/>
      </c>
      <c r="R478" s="33" t="str">
        <f>IFERROR(MasterData!$C478,"")</f>
        <v/>
      </c>
      <c r="S478" s="33" t="str">
        <f>IFERROR(MasterData!$D478,"")</f>
        <v/>
      </c>
      <c r="T478" s="33" t="str">
        <f>IFERROR(MasterData!$E478,"")</f>
        <v/>
      </c>
      <c r="U478" s="33" t="str">
        <f>IFERROR(MasterData!$F478,"")</f>
        <v/>
      </c>
      <c r="V478" s="33" t="str">
        <f>IFERROR(MasterData!$I478,"")</f>
        <v/>
      </c>
      <c r="W478" s="33" t="str">
        <f>IFERROR(MasterData!$H478,"")</f>
        <v/>
      </c>
    </row>
    <row r="479" ht="14.25" customHeight="1">
      <c r="Q479" s="33" t="str">
        <f>IFERROR(MasterData!$B479,"")</f>
        <v/>
      </c>
      <c r="R479" s="33" t="str">
        <f>IFERROR(MasterData!$C479,"")</f>
        <v/>
      </c>
      <c r="S479" s="33" t="str">
        <f>IFERROR(MasterData!$D479,"")</f>
        <v/>
      </c>
      <c r="T479" s="33" t="str">
        <f>IFERROR(MasterData!$E479,"")</f>
        <v/>
      </c>
      <c r="U479" s="33" t="str">
        <f>IFERROR(MasterData!$F479,"")</f>
        <v/>
      </c>
      <c r="V479" s="33" t="str">
        <f>IFERROR(MasterData!$I479,"")</f>
        <v/>
      </c>
      <c r="W479" s="33" t="str">
        <f>IFERROR(MasterData!$H479,"")</f>
        <v/>
      </c>
    </row>
    <row r="480" ht="14.25" customHeight="1">
      <c r="Q480" s="33" t="str">
        <f>IFERROR(MasterData!$B480,"")</f>
        <v/>
      </c>
      <c r="R480" s="33" t="str">
        <f>IFERROR(MasterData!$C480,"")</f>
        <v/>
      </c>
      <c r="S480" s="33" t="str">
        <f>IFERROR(MasterData!$D480,"")</f>
        <v/>
      </c>
      <c r="T480" s="33" t="str">
        <f>IFERROR(MasterData!$E480,"")</f>
        <v/>
      </c>
      <c r="U480" s="33" t="str">
        <f>IFERROR(MasterData!$F480,"")</f>
        <v/>
      </c>
      <c r="V480" s="33" t="str">
        <f>IFERROR(MasterData!$I480,"")</f>
        <v/>
      </c>
      <c r="W480" s="33" t="str">
        <f>IFERROR(MasterData!$H480,"")</f>
        <v/>
      </c>
    </row>
    <row r="481" ht="14.25" customHeight="1">
      <c r="Q481" s="33" t="str">
        <f>IFERROR(MasterData!$B481,"")</f>
        <v/>
      </c>
      <c r="R481" s="33" t="str">
        <f>IFERROR(MasterData!$C481,"")</f>
        <v/>
      </c>
      <c r="S481" s="33" t="str">
        <f>IFERROR(MasterData!$D481,"")</f>
        <v/>
      </c>
      <c r="T481" s="33" t="str">
        <f>IFERROR(MasterData!$E481,"")</f>
        <v/>
      </c>
      <c r="U481" s="33" t="str">
        <f>IFERROR(MasterData!$F481,"")</f>
        <v/>
      </c>
      <c r="V481" s="33" t="str">
        <f>IFERROR(MasterData!$I481,"")</f>
        <v/>
      </c>
      <c r="W481" s="33" t="str">
        <f>IFERROR(MasterData!$H481,"")</f>
        <v/>
      </c>
    </row>
    <row r="482" ht="14.25" customHeight="1">
      <c r="Q482" s="33" t="str">
        <f>IFERROR(MasterData!$B482,"")</f>
        <v/>
      </c>
      <c r="R482" s="33" t="str">
        <f>IFERROR(MasterData!$C482,"")</f>
        <v/>
      </c>
      <c r="S482" s="33" t="str">
        <f>IFERROR(MasterData!$D482,"")</f>
        <v/>
      </c>
      <c r="T482" s="33" t="str">
        <f>IFERROR(MasterData!$E482,"")</f>
        <v/>
      </c>
      <c r="U482" s="33" t="str">
        <f>IFERROR(MasterData!$F482,"")</f>
        <v/>
      </c>
      <c r="V482" s="33" t="str">
        <f>IFERROR(MasterData!$I482,"")</f>
        <v/>
      </c>
      <c r="W482" s="33" t="str">
        <f>IFERROR(MasterData!$H482,"")</f>
        <v/>
      </c>
    </row>
    <row r="483" ht="14.25" customHeight="1">
      <c r="Q483" s="33" t="str">
        <f>IFERROR(MasterData!$B483,"")</f>
        <v/>
      </c>
      <c r="R483" s="33" t="str">
        <f>IFERROR(MasterData!$C483,"")</f>
        <v/>
      </c>
      <c r="S483" s="33" t="str">
        <f>IFERROR(MasterData!$D483,"")</f>
        <v/>
      </c>
      <c r="T483" s="33" t="str">
        <f>IFERROR(MasterData!$E483,"")</f>
        <v/>
      </c>
      <c r="U483" s="33" t="str">
        <f>IFERROR(MasterData!$F483,"")</f>
        <v/>
      </c>
      <c r="V483" s="33" t="str">
        <f>IFERROR(MasterData!$I483,"")</f>
        <v/>
      </c>
      <c r="W483" s="33" t="str">
        <f>IFERROR(MasterData!$H483,"")</f>
        <v/>
      </c>
    </row>
    <row r="484" ht="14.25" customHeight="1">
      <c r="Q484" s="33" t="str">
        <f>IFERROR(MasterData!$B484,"")</f>
        <v/>
      </c>
      <c r="R484" s="33" t="str">
        <f>IFERROR(MasterData!$C484,"")</f>
        <v/>
      </c>
      <c r="S484" s="33" t="str">
        <f>IFERROR(MasterData!$D484,"")</f>
        <v/>
      </c>
      <c r="T484" s="33" t="str">
        <f>IFERROR(MasterData!$E484,"")</f>
        <v/>
      </c>
      <c r="U484" s="33" t="str">
        <f>IFERROR(MasterData!$F484,"")</f>
        <v/>
      </c>
      <c r="V484" s="33" t="str">
        <f>IFERROR(MasterData!$I484,"")</f>
        <v/>
      </c>
      <c r="W484" s="33" t="str">
        <f>IFERROR(MasterData!$H484,"")</f>
        <v/>
      </c>
    </row>
    <row r="485" ht="14.25" customHeight="1">
      <c r="Q485" s="33" t="str">
        <f>IFERROR(MasterData!$B485,"")</f>
        <v/>
      </c>
      <c r="R485" s="33" t="str">
        <f>IFERROR(MasterData!$C485,"")</f>
        <v/>
      </c>
      <c r="S485" s="33" t="str">
        <f>IFERROR(MasterData!$D485,"")</f>
        <v/>
      </c>
      <c r="T485" s="33" t="str">
        <f>IFERROR(MasterData!$E485,"")</f>
        <v/>
      </c>
      <c r="U485" s="33" t="str">
        <f>IFERROR(MasterData!$F485,"")</f>
        <v/>
      </c>
      <c r="V485" s="33" t="str">
        <f>IFERROR(MasterData!$I485,"")</f>
        <v/>
      </c>
      <c r="W485" s="33" t="str">
        <f>IFERROR(MasterData!$H485,"")</f>
        <v/>
      </c>
    </row>
    <row r="486" ht="14.25" customHeight="1">
      <c r="Q486" s="33" t="str">
        <f>IFERROR(MasterData!$B486,"")</f>
        <v/>
      </c>
      <c r="R486" s="33" t="str">
        <f>IFERROR(MasterData!$C486,"")</f>
        <v/>
      </c>
      <c r="S486" s="33" t="str">
        <f>IFERROR(MasterData!$D486,"")</f>
        <v/>
      </c>
      <c r="T486" s="33" t="str">
        <f>IFERROR(MasterData!$E486,"")</f>
        <v/>
      </c>
      <c r="U486" s="33" t="str">
        <f>IFERROR(MasterData!$F486,"")</f>
        <v/>
      </c>
      <c r="V486" s="33" t="str">
        <f>IFERROR(MasterData!$I486,"")</f>
        <v/>
      </c>
      <c r="W486" s="33" t="str">
        <f>IFERROR(MasterData!$H486,"")</f>
        <v/>
      </c>
    </row>
    <row r="487" ht="14.25" customHeight="1">
      <c r="Q487" s="33" t="str">
        <f>IFERROR(MasterData!$B487,"")</f>
        <v/>
      </c>
      <c r="R487" s="33" t="str">
        <f>IFERROR(MasterData!$C487,"")</f>
        <v/>
      </c>
      <c r="S487" s="33" t="str">
        <f>IFERROR(MasterData!$D487,"")</f>
        <v/>
      </c>
      <c r="T487" s="33" t="str">
        <f>IFERROR(MasterData!$E487,"")</f>
        <v/>
      </c>
      <c r="U487" s="33" t="str">
        <f>IFERROR(MasterData!$F487,"")</f>
        <v/>
      </c>
      <c r="V487" s="33" t="str">
        <f>IFERROR(MasterData!$I487,"")</f>
        <v/>
      </c>
      <c r="W487" s="33" t="str">
        <f>IFERROR(MasterData!$H487,"")</f>
        <v/>
      </c>
    </row>
    <row r="488" ht="14.25" customHeight="1">
      <c r="Q488" s="33" t="str">
        <f>IFERROR(MasterData!$B488,"")</f>
        <v/>
      </c>
      <c r="R488" s="33" t="str">
        <f>IFERROR(MasterData!$C488,"")</f>
        <v/>
      </c>
      <c r="S488" s="33" t="str">
        <f>IFERROR(MasterData!$D488,"")</f>
        <v/>
      </c>
      <c r="T488" s="33" t="str">
        <f>IFERROR(MasterData!$E488,"")</f>
        <v/>
      </c>
      <c r="U488" s="33" t="str">
        <f>IFERROR(MasterData!$F488,"")</f>
        <v/>
      </c>
      <c r="V488" s="33" t="str">
        <f>IFERROR(MasterData!$I488,"")</f>
        <v/>
      </c>
      <c r="W488" s="33" t="str">
        <f>IFERROR(MasterData!$H488,"")</f>
        <v/>
      </c>
    </row>
    <row r="489" ht="14.25" customHeight="1">
      <c r="Q489" s="33" t="str">
        <f>IFERROR(MasterData!$B489,"")</f>
        <v/>
      </c>
      <c r="R489" s="33" t="str">
        <f>IFERROR(MasterData!$C489,"")</f>
        <v/>
      </c>
      <c r="S489" s="33" t="str">
        <f>IFERROR(MasterData!$D489,"")</f>
        <v/>
      </c>
      <c r="T489" s="33" t="str">
        <f>IFERROR(MasterData!$E489,"")</f>
        <v/>
      </c>
      <c r="U489" s="33" t="str">
        <f>IFERROR(MasterData!$F489,"")</f>
        <v/>
      </c>
      <c r="V489" s="33" t="str">
        <f>IFERROR(MasterData!$I489,"")</f>
        <v/>
      </c>
      <c r="W489" s="33" t="str">
        <f>IFERROR(MasterData!$H489,"")</f>
        <v/>
      </c>
    </row>
    <row r="490" ht="14.25" customHeight="1">
      <c r="Q490" s="33" t="str">
        <f>IFERROR(MasterData!$B490,"")</f>
        <v/>
      </c>
      <c r="R490" s="33" t="str">
        <f>IFERROR(MasterData!$C490,"")</f>
        <v/>
      </c>
      <c r="S490" s="33" t="str">
        <f>IFERROR(MasterData!$D490,"")</f>
        <v/>
      </c>
      <c r="T490" s="33" t="str">
        <f>IFERROR(MasterData!$E490,"")</f>
        <v/>
      </c>
      <c r="U490" s="33" t="str">
        <f>IFERROR(MasterData!$F490,"")</f>
        <v/>
      </c>
      <c r="V490" s="33" t="str">
        <f>IFERROR(MasterData!$I490,"")</f>
        <v/>
      </c>
      <c r="W490" s="33" t="str">
        <f>IFERROR(MasterData!$H490,"")</f>
        <v/>
      </c>
    </row>
    <row r="491" ht="14.25" customHeight="1">
      <c r="Q491" s="33" t="str">
        <f>IFERROR(MasterData!$B491,"")</f>
        <v/>
      </c>
      <c r="R491" s="33" t="str">
        <f>IFERROR(MasterData!$C491,"")</f>
        <v/>
      </c>
      <c r="S491" s="33" t="str">
        <f>IFERROR(MasterData!$D491,"")</f>
        <v/>
      </c>
      <c r="T491" s="33" t="str">
        <f>IFERROR(MasterData!$E491,"")</f>
        <v/>
      </c>
      <c r="U491" s="33" t="str">
        <f>IFERROR(MasterData!$F491,"")</f>
        <v/>
      </c>
      <c r="V491" s="33" t="str">
        <f>IFERROR(MasterData!$I491,"")</f>
        <v/>
      </c>
      <c r="W491" s="33" t="str">
        <f>IFERROR(MasterData!$H491,"")</f>
        <v/>
      </c>
    </row>
    <row r="492" ht="14.25" customHeight="1">
      <c r="Q492" s="33" t="str">
        <f>IFERROR(MasterData!$B492,"")</f>
        <v/>
      </c>
      <c r="R492" s="33" t="str">
        <f>IFERROR(MasterData!$C492,"")</f>
        <v/>
      </c>
      <c r="S492" s="33" t="str">
        <f>IFERROR(MasterData!$D492,"")</f>
        <v/>
      </c>
      <c r="T492" s="33" t="str">
        <f>IFERROR(MasterData!$E492,"")</f>
        <v/>
      </c>
      <c r="U492" s="33" t="str">
        <f>IFERROR(MasterData!$F492,"")</f>
        <v/>
      </c>
      <c r="V492" s="33" t="str">
        <f>IFERROR(MasterData!$I492,"")</f>
        <v/>
      </c>
      <c r="W492" s="33" t="str">
        <f>IFERROR(MasterData!$H492,"")</f>
        <v/>
      </c>
    </row>
    <row r="493" ht="14.25" customHeight="1">
      <c r="Q493" s="33" t="str">
        <f>IFERROR(MasterData!$B493,"")</f>
        <v/>
      </c>
      <c r="R493" s="33" t="str">
        <f>IFERROR(MasterData!$C493,"")</f>
        <v/>
      </c>
      <c r="S493" s="33" t="str">
        <f>IFERROR(MasterData!$D493,"")</f>
        <v/>
      </c>
      <c r="T493" s="33" t="str">
        <f>IFERROR(MasterData!$E493,"")</f>
        <v/>
      </c>
      <c r="U493" s="33" t="str">
        <f>IFERROR(MasterData!$F493,"")</f>
        <v/>
      </c>
      <c r="V493" s="33" t="str">
        <f>IFERROR(MasterData!$I493,"")</f>
        <v/>
      </c>
      <c r="W493" s="33" t="str">
        <f>IFERROR(MasterData!$H493,"")</f>
        <v/>
      </c>
    </row>
    <row r="494" ht="14.25" customHeight="1">
      <c r="Q494" s="33" t="str">
        <f>IFERROR(MasterData!$B494,"")</f>
        <v/>
      </c>
      <c r="R494" s="33" t="str">
        <f>IFERROR(MasterData!$C494,"")</f>
        <v/>
      </c>
      <c r="S494" s="33" t="str">
        <f>IFERROR(MasterData!$D494,"")</f>
        <v/>
      </c>
      <c r="T494" s="33" t="str">
        <f>IFERROR(MasterData!$E494,"")</f>
        <v/>
      </c>
      <c r="U494" s="33" t="str">
        <f>IFERROR(MasterData!$F494,"")</f>
        <v/>
      </c>
      <c r="V494" s="33" t="str">
        <f>IFERROR(MasterData!$I494,"")</f>
        <v/>
      </c>
      <c r="W494" s="33" t="str">
        <f>IFERROR(MasterData!$H494,"")</f>
        <v/>
      </c>
    </row>
    <row r="495" ht="14.25" customHeight="1">
      <c r="Q495" s="33" t="str">
        <f>IFERROR(MasterData!$B495,"")</f>
        <v/>
      </c>
      <c r="R495" s="33" t="str">
        <f>IFERROR(MasterData!$C495,"")</f>
        <v/>
      </c>
      <c r="S495" s="33" t="str">
        <f>IFERROR(MasterData!$D495,"")</f>
        <v/>
      </c>
      <c r="T495" s="33" t="str">
        <f>IFERROR(MasterData!$E495,"")</f>
        <v/>
      </c>
      <c r="U495" s="33" t="str">
        <f>IFERROR(MasterData!$F495,"")</f>
        <v/>
      </c>
      <c r="V495" s="33" t="str">
        <f>IFERROR(MasterData!$I495,"")</f>
        <v/>
      </c>
      <c r="W495" s="33" t="str">
        <f>IFERROR(MasterData!$H495,"")</f>
        <v/>
      </c>
    </row>
    <row r="496" ht="14.25" customHeight="1">
      <c r="Q496" s="33" t="str">
        <f>IFERROR(MasterData!$B496,"")</f>
        <v/>
      </c>
      <c r="R496" s="33" t="str">
        <f>IFERROR(MasterData!$C496,"")</f>
        <v/>
      </c>
      <c r="S496" s="33" t="str">
        <f>IFERROR(MasterData!$D496,"")</f>
        <v/>
      </c>
      <c r="T496" s="33" t="str">
        <f>IFERROR(MasterData!$E496,"")</f>
        <v/>
      </c>
      <c r="U496" s="33" t="str">
        <f>IFERROR(MasterData!$F496,"")</f>
        <v/>
      </c>
      <c r="V496" s="33" t="str">
        <f>IFERROR(MasterData!$I496,"")</f>
        <v/>
      </c>
      <c r="W496" s="33" t="str">
        <f>IFERROR(MasterData!$H496,"")</f>
        <v/>
      </c>
    </row>
    <row r="497" ht="14.25" customHeight="1">
      <c r="Q497" s="33" t="str">
        <f>IFERROR(MasterData!$B497,"")</f>
        <v/>
      </c>
      <c r="R497" s="33" t="str">
        <f>IFERROR(MasterData!$C497,"")</f>
        <v/>
      </c>
      <c r="S497" s="33" t="str">
        <f>IFERROR(MasterData!$D497,"")</f>
        <v/>
      </c>
      <c r="T497" s="33" t="str">
        <f>IFERROR(MasterData!$E497,"")</f>
        <v/>
      </c>
      <c r="U497" s="33" t="str">
        <f>IFERROR(MasterData!$F497,"")</f>
        <v/>
      </c>
      <c r="V497" s="33" t="str">
        <f>IFERROR(MasterData!$I497,"")</f>
        <v/>
      </c>
      <c r="W497" s="33" t="str">
        <f>IFERROR(MasterData!$H497,"")</f>
        <v/>
      </c>
    </row>
    <row r="498" ht="14.25" customHeight="1">
      <c r="Q498" s="33" t="str">
        <f>IFERROR(MasterData!$B498,"")</f>
        <v/>
      </c>
      <c r="R498" s="33" t="str">
        <f>IFERROR(MasterData!$C498,"")</f>
        <v/>
      </c>
      <c r="S498" s="33" t="str">
        <f>IFERROR(MasterData!$D498,"")</f>
        <v/>
      </c>
      <c r="T498" s="33" t="str">
        <f>IFERROR(MasterData!$E498,"")</f>
        <v/>
      </c>
      <c r="U498" s="33" t="str">
        <f>IFERROR(MasterData!$F498,"")</f>
        <v/>
      </c>
      <c r="V498" s="33" t="str">
        <f>IFERROR(MasterData!$I498,"")</f>
        <v/>
      </c>
      <c r="W498" s="33" t="str">
        <f>IFERROR(MasterData!$H498,"")</f>
        <v/>
      </c>
    </row>
    <row r="499" ht="14.25" customHeight="1">
      <c r="Q499" s="33" t="str">
        <f>IFERROR(MasterData!$B499,"")</f>
        <v/>
      </c>
      <c r="R499" s="33" t="str">
        <f>IFERROR(MasterData!$C499,"")</f>
        <v/>
      </c>
      <c r="S499" s="33" t="str">
        <f>IFERROR(MasterData!$D499,"")</f>
        <v/>
      </c>
      <c r="T499" s="33" t="str">
        <f>IFERROR(MasterData!$E499,"")</f>
        <v/>
      </c>
      <c r="U499" s="33" t="str">
        <f>IFERROR(MasterData!$F499,"")</f>
        <v/>
      </c>
      <c r="V499" s="33" t="str">
        <f>IFERROR(MasterData!$I499,"")</f>
        <v/>
      </c>
      <c r="W499" s="33" t="str">
        <f>IFERROR(MasterData!$H499,"")</f>
        <v/>
      </c>
    </row>
    <row r="500" ht="14.25" customHeight="1">
      <c r="Q500" s="33" t="str">
        <f>IFERROR(MasterData!$B500,"")</f>
        <v/>
      </c>
      <c r="R500" s="33" t="str">
        <f>IFERROR(MasterData!$C500,"")</f>
        <v/>
      </c>
      <c r="S500" s="33" t="str">
        <f>IFERROR(MasterData!$D500,"")</f>
        <v/>
      </c>
      <c r="T500" s="33" t="str">
        <f>IFERROR(MasterData!$E500,"")</f>
        <v/>
      </c>
      <c r="U500" s="33" t="str">
        <f>IFERROR(MasterData!$F500,"")</f>
        <v/>
      </c>
      <c r="V500" s="33" t="str">
        <f>IFERROR(MasterData!$I500,"")</f>
        <v/>
      </c>
      <c r="W500" s="33" t="str">
        <f>IFERROR(MasterData!$H500,"")</f>
        <v/>
      </c>
    </row>
    <row r="501" ht="14.25" customHeight="1">
      <c r="Q501" s="33" t="str">
        <f>IFERROR(MasterData!$B501,"")</f>
        <v/>
      </c>
      <c r="R501" s="33" t="str">
        <f>IFERROR(MasterData!$C501,"")</f>
        <v/>
      </c>
      <c r="S501" s="33" t="str">
        <f>IFERROR(MasterData!$D501,"")</f>
        <v/>
      </c>
      <c r="T501" s="33" t="str">
        <f>IFERROR(MasterData!$E501,"")</f>
        <v/>
      </c>
      <c r="U501" s="33" t="str">
        <f>IFERROR(MasterData!$F501,"")</f>
        <v/>
      </c>
      <c r="V501" s="33" t="str">
        <f>IFERROR(MasterData!$I501,"")</f>
        <v/>
      </c>
      <c r="W501" s="33" t="str">
        <f>IFERROR(MasterData!$H501,"")</f>
        <v/>
      </c>
    </row>
    <row r="502" ht="14.25" customHeight="1">
      <c r="Q502" s="33" t="str">
        <f>IFERROR(MasterData!$B502,"")</f>
        <v/>
      </c>
      <c r="R502" s="33" t="str">
        <f>IFERROR(MasterData!$C502,"")</f>
        <v/>
      </c>
      <c r="S502" s="33" t="str">
        <f>IFERROR(MasterData!$D502,"")</f>
        <v/>
      </c>
      <c r="T502" s="33" t="str">
        <f>IFERROR(MasterData!$E502,"")</f>
        <v/>
      </c>
      <c r="U502" s="33" t="str">
        <f>IFERROR(MasterData!$F502,"")</f>
        <v/>
      </c>
      <c r="V502" s="33" t="str">
        <f>IFERROR(MasterData!$I502,"")</f>
        <v/>
      </c>
      <c r="W502" s="33" t="str">
        <f>IFERROR(MasterData!$H502,"")</f>
        <v/>
      </c>
    </row>
    <row r="503" ht="14.25" customHeight="1">
      <c r="Q503" s="33" t="str">
        <f>IFERROR(MasterData!$B503,"")</f>
        <v/>
      </c>
      <c r="R503" s="33" t="str">
        <f>IFERROR(MasterData!$C503,"")</f>
        <v/>
      </c>
      <c r="S503" s="33" t="str">
        <f>IFERROR(MasterData!$D503,"")</f>
        <v/>
      </c>
      <c r="T503" s="33" t="str">
        <f>IFERROR(MasterData!$E503,"")</f>
        <v/>
      </c>
      <c r="U503" s="33" t="str">
        <f>IFERROR(MasterData!$F503,"")</f>
        <v/>
      </c>
      <c r="V503" s="33" t="str">
        <f>IFERROR(MasterData!$I503,"")</f>
        <v/>
      </c>
      <c r="W503" s="33" t="str">
        <f>IFERROR(MasterData!$H503,"")</f>
        <v/>
      </c>
    </row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O$121"/>
  <mergeCells count="2">
    <mergeCell ref="A1:O1"/>
    <mergeCell ref="A2:O2"/>
  </mergeCells>
  <dataValidations>
    <dataValidation type="list" allowBlank="1" sqref="K47:K300">
      <formula1>$W$4:$W$503</formula1>
    </dataValidation>
    <dataValidation type="list" allowBlank="1" sqref="F47:F300">
      <formula1>$U$4:$U$503</formula1>
    </dataValidation>
    <dataValidation type="list" allowBlank="1" sqref="I47:I300">
      <formula1>$V$4:$V$503</formula1>
    </dataValidation>
    <dataValidation type="list" allowBlank="1" sqref="B47:B300">
      <formula1>$Q$4:$Q$503</formula1>
    </dataValidation>
    <dataValidation type="list" allowBlank="1" sqref="C47:C300">
      <formula1>$R$4:$R$503</formula1>
    </dataValidation>
    <dataValidation type="list" allowBlank="1" sqref="D47:D300">
      <formula1>$S$4:$S$503</formula1>
    </dataValidation>
    <dataValidation type="list" allowBlank="1" sqref="E47:E300">
      <formula1>$T$4:$T$503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A7A82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6.57"/>
    <col customWidth="1" min="2" max="2" width="15.43"/>
    <col customWidth="1" min="3" max="4" width="24.0"/>
    <col customWidth="1" min="5" max="5" width="12.0"/>
    <col customWidth="1" min="6" max="7" width="24.0"/>
    <col customWidth="1" min="8" max="8" width="13.0"/>
    <col customWidth="1" min="9" max="9" width="26.0"/>
    <col customWidth="1" min="10" max="10" width="16.0"/>
    <col customWidth="1" min="11" max="12" width="13.0"/>
    <col customWidth="1" min="13" max="13" width="14.0"/>
    <col customWidth="1" min="14" max="14" width="34.0"/>
    <col customWidth="1" min="15" max="15" width="50.43"/>
    <col customWidth="1" min="16" max="16" width="15.43"/>
    <col customWidth="1" min="17" max="17" width="19.43"/>
    <col customWidth="1" min="18" max="18" width="9.0"/>
    <col customWidth="1" min="19" max="20" width="0.14"/>
    <col customWidth="1" min="21" max="26" width="8.71"/>
  </cols>
  <sheetData>
    <row r="1" ht="31.5" customHeight="1">
      <c r="A1" s="60" t="s">
        <v>452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</row>
    <row r="2" ht="18.0" customHeight="1">
      <c r="A2" s="28" t="s">
        <v>453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3"/>
    </row>
    <row r="3" ht="30.0" customHeight="1">
      <c r="A3" s="6" t="s">
        <v>454</v>
      </c>
      <c r="B3" s="6" t="s">
        <v>455</v>
      </c>
      <c r="C3" s="6" t="s">
        <v>456</v>
      </c>
      <c r="D3" s="6" t="s">
        <v>3</v>
      </c>
      <c r="E3" s="6" t="s">
        <v>2</v>
      </c>
      <c r="F3" s="6" t="s">
        <v>457</v>
      </c>
      <c r="G3" s="6" t="s">
        <v>458</v>
      </c>
      <c r="H3" s="6" t="s">
        <v>322</v>
      </c>
      <c r="I3" s="6" t="s">
        <v>459</v>
      </c>
      <c r="J3" s="6" t="s">
        <v>460</v>
      </c>
      <c r="K3" s="6" t="s">
        <v>461</v>
      </c>
      <c r="L3" s="6" t="s">
        <v>462</v>
      </c>
      <c r="M3" s="6" t="s">
        <v>463</v>
      </c>
      <c r="N3" s="6" t="s">
        <v>464</v>
      </c>
      <c r="O3" s="6" t="s">
        <v>328</v>
      </c>
    </row>
    <row r="4" ht="21.75" customHeight="1">
      <c r="A4" s="61" t="s">
        <v>465</v>
      </c>
      <c r="B4" s="62" t="s">
        <v>466</v>
      </c>
      <c r="C4" s="12" t="s">
        <v>467</v>
      </c>
      <c r="D4" s="12" t="s">
        <v>149</v>
      </c>
      <c r="E4" s="61" t="s">
        <v>148</v>
      </c>
      <c r="F4" s="12" t="s">
        <v>306</v>
      </c>
      <c r="G4" s="12" t="s">
        <v>468</v>
      </c>
      <c r="H4" s="63" t="s">
        <v>15</v>
      </c>
      <c r="I4" s="63" t="s">
        <v>84</v>
      </c>
      <c r="J4" s="63" t="s">
        <v>19</v>
      </c>
      <c r="K4" s="64">
        <v>46104.0</v>
      </c>
      <c r="L4" s="65"/>
      <c r="M4" s="65"/>
      <c r="N4" s="66"/>
      <c r="O4" s="66"/>
      <c r="P4" s="33" t="str">
        <f>IFERROR(MasterData!$B4,"")</f>
        <v>ABNAH</v>
      </c>
      <c r="Q4" s="33" t="str">
        <f>IFERROR(MasterData!$C4,"")</f>
        <v>ARM</v>
      </c>
      <c r="R4" s="33" t="str">
        <f>IFERROR(MasterData!$E4,"")</f>
        <v>Mumbai</v>
      </c>
      <c r="S4" s="33" t="str">
        <f>IFERROR(MasterData!$G4,"")</f>
        <v>Sent to Client</v>
      </c>
      <c r="T4" s="33" t="str">
        <f>IFERROR(MasterData!$I4,"")</f>
        <v>Edwin</v>
      </c>
    </row>
    <row r="5" ht="21.75" customHeight="1">
      <c r="A5" s="34" t="s">
        <v>469</v>
      </c>
      <c r="B5" s="58"/>
      <c r="C5" s="18" t="s">
        <v>470</v>
      </c>
      <c r="D5" s="18" t="s">
        <v>149</v>
      </c>
      <c r="E5" s="34" t="s">
        <v>148</v>
      </c>
      <c r="F5" s="18" t="s">
        <v>171</v>
      </c>
      <c r="G5" s="18" t="s">
        <v>471</v>
      </c>
      <c r="H5" s="42" t="s">
        <v>15</v>
      </c>
      <c r="I5" s="42" t="s">
        <v>53</v>
      </c>
      <c r="J5" s="42" t="s">
        <v>46</v>
      </c>
      <c r="K5" s="48">
        <v>46104.0</v>
      </c>
      <c r="L5" s="49"/>
      <c r="M5" s="49"/>
      <c r="N5" s="53"/>
      <c r="O5" s="53"/>
      <c r="P5" s="33" t="str">
        <f>IFERROR(MasterData!$B5,"")</f>
        <v>Abhinav Immigration</v>
      </c>
      <c r="Q5" s="33" t="str">
        <f>IFERROR(MasterData!$C5,"")</f>
        <v>Assistant Bartender</v>
      </c>
      <c r="R5" s="33" t="str">
        <f>IFERROR(MasterData!$E5,"")</f>
        <v>Delhi</v>
      </c>
      <c r="S5" s="33" t="str">
        <f>IFERROR(MasterData!$G5,"")</f>
        <v>Interview Scheduled</v>
      </c>
      <c r="T5" s="33" t="str">
        <f>IFERROR(MasterData!$I5,"")</f>
        <v>Manokamna</v>
      </c>
    </row>
    <row r="6" ht="21.75" customHeight="1">
      <c r="A6" s="61" t="s">
        <v>472</v>
      </c>
      <c r="B6" s="67"/>
      <c r="C6" s="12" t="s">
        <v>473</v>
      </c>
      <c r="D6" s="12" t="s">
        <v>149</v>
      </c>
      <c r="E6" s="61" t="s">
        <v>148</v>
      </c>
      <c r="F6" s="12" t="s">
        <v>306</v>
      </c>
      <c r="G6" s="12" t="s">
        <v>474</v>
      </c>
      <c r="H6" s="63" t="s">
        <v>15</v>
      </c>
      <c r="I6" s="63" t="s">
        <v>78</v>
      </c>
      <c r="J6" s="63" t="s">
        <v>46</v>
      </c>
      <c r="K6" s="64">
        <v>46104.0</v>
      </c>
      <c r="L6" s="65"/>
      <c r="M6" s="65"/>
      <c r="N6" s="66"/>
      <c r="O6" s="66"/>
      <c r="P6" s="33" t="str">
        <f>IFERROR(MasterData!$B6,"")</f>
        <v>Adarsh Sweets</v>
      </c>
      <c r="Q6" s="33" t="str">
        <f>IFERROR(MasterData!$C6,"")</f>
        <v>Assistant Front Office Manager</v>
      </c>
      <c r="R6" s="33" t="str">
        <f>IFERROR(MasterData!$E6,"")</f>
        <v>Bangalore</v>
      </c>
      <c r="S6" s="33" t="str">
        <f>IFERROR(MasterData!$G6,"")</f>
        <v>Result Awaited</v>
      </c>
      <c r="T6" s="33" t="str">
        <f>IFERROR(MasterData!$I6,"")</f>
        <v>Hardik</v>
      </c>
    </row>
    <row r="7" ht="21.75" customHeight="1">
      <c r="A7" s="34" t="s">
        <v>475</v>
      </c>
      <c r="B7" s="58"/>
      <c r="C7" s="18" t="s">
        <v>476</v>
      </c>
      <c r="D7" s="18" t="s">
        <v>98</v>
      </c>
      <c r="E7" s="34" t="s">
        <v>97</v>
      </c>
      <c r="F7" s="18" t="s">
        <v>177</v>
      </c>
      <c r="G7" s="18" t="s">
        <v>477</v>
      </c>
      <c r="H7" s="42" t="s">
        <v>15</v>
      </c>
      <c r="I7" s="42" t="s">
        <v>84</v>
      </c>
      <c r="J7" s="42" t="s">
        <v>46</v>
      </c>
      <c r="K7" s="48">
        <v>46104.0</v>
      </c>
      <c r="L7" s="48">
        <v>46104.0</v>
      </c>
      <c r="M7" s="49"/>
      <c r="N7" s="53"/>
      <c r="O7" s="53"/>
      <c r="P7" s="33" t="str">
        <f>IFERROR(MasterData!$B7,"")</f>
        <v>Agarwal Biryani</v>
      </c>
      <c r="Q7" s="33" t="str">
        <f>IFERROR(MasterData!$C7,"")</f>
        <v>Assistant Manager</v>
      </c>
      <c r="R7" s="33" t="str">
        <f>IFERROR(MasterData!$E7,"")</f>
        <v>Hyderabad</v>
      </c>
      <c r="S7" s="33" t="str">
        <f>IFERROR(MasterData!$G7,"")</f>
        <v>Selected</v>
      </c>
      <c r="T7" s="33" t="str">
        <f>IFERROR(MasterData!$I7,"")</f>
        <v>Mohit</v>
      </c>
    </row>
    <row r="8" ht="21.75" customHeight="1">
      <c r="A8" s="61" t="s">
        <v>478</v>
      </c>
      <c r="B8" s="67"/>
      <c r="C8" s="12" t="s">
        <v>479</v>
      </c>
      <c r="D8" s="12" t="s">
        <v>173</v>
      </c>
      <c r="E8" s="61" t="s">
        <v>148</v>
      </c>
      <c r="F8" s="12" t="s">
        <v>92</v>
      </c>
      <c r="G8" s="12" t="s">
        <v>480</v>
      </c>
      <c r="H8" s="63" t="s">
        <v>15</v>
      </c>
      <c r="I8" s="63" t="s">
        <v>53</v>
      </c>
      <c r="J8" s="63" t="s">
        <v>46</v>
      </c>
      <c r="K8" s="64">
        <v>46104.0</v>
      </c>
      <c r="L8" s="65"/>
      <c r="M8" s="65"/>
      <c r="N8" s="66"/>
      <c r="O8" s="66"/>
      <c r="P8" s="33" t="str">
        <f>IFERROR(MasterData!$B8,"")</f>
        <v>All in</v>
      </c>
      <c r="Q8" s="33" t="str">
        <f>IFERROR(MasterData!$C8,"")</f>
        <v>Assistant Outlet Manager</v>
      </c>
      <c r="R8" s="33" t="str">
        <f>IFERROR(MasterData!$E8,"")</f>
        <v>Pune</v>
      </c>
      <c r="S8" s="33" t="str">
        <f>IFERROR(MasterData!$G8,"")</f>
        <v>Rejected</v>
      </c>
      <c r="T8" s="33" t="str">
        <f>IFERROR(MasterData!$I8,"")</f>
        <v>Aakash</v>
      </c>
    </row>
    <row r="9" ht="21.75" customHeight="1">
      <c r="A9" s="34" t="s">
        <v>481</v>
      </c>
      <c r="B9" s="58"/>
      <c r="C9" s="18" t="s">
        <v>482</v>
      </c>
      <c r="D9" s="18" t="s">
        <v>116</v>
      </c>
      <c r="E9" s="34" t="s">
        <v>115</v>
      </c>
      <c r="F9" s="18" t="s">
        <v>290</v>
      </c>
      <c r="G9" s="18" t="s">
        <v>483</v>
      </c>
      <c r="H9" s="42" t="s">
        <v>15</v>
      </c>
      <c r="I9" s="42" t="s">
        <v>53</v>
      </c>
      <c r="J9" s="42" t="s">
        <v>46</v>
      </c>
      <c r="K9" s="48">
        <v>46104.0</v>
      </c>
      <c r="L9" s="49"/>
      <c r="M9" s="49"/>
      <c r="N9" s="53"/>
      <c r="O9" s="53"/>
      <c r="P9" s="33" t="str">
        <f>IFERROR(MasterData!$B9,"")</f>
        <v>Aria Communication</v>
      </c>
      <c r="Q9" s="33" t="str">
        <f>IFERROR(MasterData!$C9,"")</f>
        <v>Assistant Stores Manager</v>
      </c>
      <c r="R9" s="33" t="str">
        <f>IFERROR(MasterData!$E9,"")</f>
        <v>Goa</v>
      </c>
      <c r="S9" s="33" t="str">
        <f>IFERROR(MasterData!$G9,"")</f>
        <v>Hold</v>
      </c>
      <c r="T9" s="33" t="str">
        <f>IFERROR(MasterData!$I9,"")</f>
        <v/>
      </c>
    </row>
    <row r="10" ht="21.75" customHeight="1">
      <c r="A10" s="61" t="s">
        <v>484</v>
      </c>
      <c r="B10" s="67"/>
      <c r="C10" s="12" t="s">
        <v>485</v>
      </c>
      <c r="D10" s="12" t="s">
        <v>116</v>
      </c>
      <c r="E10" s="61" t="s">
        <v>115</v>
      </c>
      <c r="F10" s="12" t="s">
        <v>290</v>
      </c>
      <c r="G10" s="12" t="s">
        <v>486</v>
      </c>
      <c r="H10" s="63" t="s">
        <v>487</v>
      </c>
      <c r="I10" s="63" t="s">
        <v>53</v>
      </c>
      <c r="J10" s="63" t="s">
        <v>46</v>
      </c>
      <c r="K10" s="64">
        <v>46104.0</v>
      </c>
      <c r="L10" s="65"/>
      <c r="M10" s="65"/>
      <c r="N10" s="66"/>
      <c r="O10" s="66"/>
      <c r="P10" s="33" t="str">
        <f>IFERROR(MasterData!$B10,"")</f>
        <v>Atmosphere</v>
      </c>
      <c r="Q10" s="33" t="str">
        <f>IFERROR(MasterData!$C10,"")</f>
        <v>Asst Cafe Manager</v>
      </c>
      <c r="R10" s="33" t="str">
        <f>IFERROR(MasterData!$E10,"")</f>
        <v>Chennai</v>
      </c>
      <c r="S10" s="33" t="str">
        <f>IFERROR(MasterData!$G10,"")</f>
        <v>Offer Sent</v>
      </c>
      <c r="T10" s="33" t="str">
        <f>IFERROR(MasterData!$I10,"")</f>
        <v/>
      </c>
    </row>
    <row r="11" ht="21.75" customHeight="1">
      <c r="A11" s="34" t="s">
        <v>488</v>
      </c>
      <c r="B11" s="58"/>
      <c r="C11" s="18" t="s">
        <v>489</v>
      </c>
      <c r="D11" s="18" t="s">
        <v>191</v>
      </c>
      <c r="E11" s="34" t="s">
        <v>190</v>
      </c>
      <c r="F11" s="18" t="s">
        <v>304</v>
      </c>
      <c r="G11" s="18" t="s">
        <v>490</v>
      </c>
      <c r="H11" s="42" t="s">
        <v>15</v>
      </c>
      <c r="I11" s="42" t="s">
        <v>84</v>
      </c>
      <c r="J11" s="42" t="s">
        <v>46</v>
      </c>
      <c r="K11" s="48">
        <v>46104.0</v>
      </c>
      <c r="L11" s="49"/>
      <c r="M11" s="49"/>
      <c r="N11" s="53"/>
      <c r="O11" s="53"/>
      <c r="P11" s="33" t="str">
        <f>IFERROR(MasterData!$B11,"")</f>
        <v>August Café</v>
      </c>
      <c r="Q11" s="33" t="str">
        <f>IFERROR(MasterData!$C11,"")</f>
        <v>Bar Lead</v>
      </c>
      <c r="R11" s="33" t="str">
        <f>IFERROR(MasterData!$E11,"")</f>
        <v>Kolkata</v>
      </c>
      <c r="S11" s="33" t="str">
        <f>IFERROR(MasterData!$G11,"")</f>
        <v>Offer Accepted</v>
      </c>
      <c r="T11" s="33" t="str">
        <f>IFERROR(MasterData!$I11,"")</f>
        <v/>
      </c>
    </row>
    <row r="12" ht="21.75" customHeight="1">
      <c r="A12" s="61" t="s">
        <v>491</v>
      </c>
      <c r="B12" s="67"/>
      <c r="C12" s="12" t="s">
        <v>492</v>
      </c>
      <c r="D12" s="12" t="s">
        <v>98</v>
      </c>
      <c r="E12" s="61" t="s">
        <v>97</v>
      </c>
      <c r="F12" s="12" t="s">
        <v>132</v>
      </c>
      <c r="G12" s="12" t="s">
        <v>490</v>
      </c>
      <c r="H12" s="63" t="s">
        <v>15</v>
      </c>
      <c r="I12" s="63" t="s">
        <v>84</v>
      </c>
      <c r="J12" s="63" t="s">
        <v>46</v>
      </c>
      <c r="K12" s="64">
        <v>46104.0</v>
      </c>
      <c r="L12" s="65"/>
      <c r="M12" s="65"/>
      <c r="N12" s="66"/>
      <c r="O12" s="66"/>
      <c r="P12" s="33" t="str">
        <f>IFERROR(MasterData!$B12,"")</f>
        <v>Aures hospitality</v>
      </c>
      <c r="Q12" s="33" t="str">
        <f>IFERROR(MasterData!$C12,"")</f>
        <v>Bar Manager</v>
      </c>
      <c r="R12" s="33" t="str">
        <f>IFERROR(MasterData!$E12,"")</f>
        <v>Ahmedabad</v>
      </c>
      <c r="S12" s="33" t="str">
        <f>IFERROR(MasterData!$G12,"")</f>
        <v>Joined</v>
      </c>
      <c r="T12" s="33" t="str">
        <f>IFERROR(MasterData!$I12,"")</f>
        <v/>
      </c>
    </row>
    <row r="13" ht="21.75" customHeight="1">
      <c r="A13" s="34" t="s">
        <v>493</v>
      </c>
      <c r="B13" s="58"/>
      <c r="C13" s="18" t="s">
        <v>494</v>
      </c>
      <c r="D13" s="18" t="s">
        <v>98</v>
      </c>
      <c r="E13" s="34" t="s">
        <v>97</v>
      </c>
      <c r="F13" s="18" t="s">
        <v>304</v>
      </c>
      <c r="G13" s="18" t="s">
        <v>495</v>
      </c>
      <c r="H13" s="42" t="s">
        <v>15</v>
      </c>
      <c r="I13" s="42" t="s">
        <v>72</v>
      </c>
      <c r="J13" s="42" t="s">
        <v>46</v>
      </c>
      <c r="K13" s="48">
        <v>46104.0</v>
      </c>
      <c r="L13" s="49"/>
      <c r="M13" s="49"/>
      <c r="N13" s="53"/>
      <c r="O13" s="53"/>
      <c r="P13" s="33" t="str">
        <f>IFERROR(MasterData!$B13,"")</f>
        <v>BB</v>
      </c>
      <c r="Q13" s="33" t="str">
        <f>IFERROR(MasterData!$C13,"")</f>
        <v>Bar Supervisor</v>
      </c>
      <c r="R13" s="33" t="str">
        <f>IFERROR(MasterData!$E13,"")</f>
        <v>Jaipur</v>
      </c>
      <c r="S13" s="33" t="str">
        <f>IFERROR(MasterData!$G13,"")</f>
        <v>Candidate Dropped</v>
      </c>
      <c r="T13" s="33" t="str">
        <f>IFERROR(MasterData!$I13,"")</f>
        <v/>
      </c>
    </row>
    <row r="14" ht="21.75" customHeight="1">
      <c r="A14" s="61" t="s">
        <v>496</v>
      </c>
      <c r="B14" s="67"/>
      <c r="C14" s="12" t="s">
        <v>497</v>
      </c>
      <c r="D14" s="12" t="s">
        <v>98</v>
      </c>
      <c r="E14" s="61" t="s">
        <v>97</v>
      </c>
      <c r="F14" s="12" t="s">
        <v>132</v>
      </c>
      <c r="G14" s="12" t="s">
        <v>490</v>
      </c>
      <c r="H14" s="63" t="s">
        <v>15</v>
      </c>
      <c r="I14" s="63" t="s">
        <v>84</v>
      </c>
      <c r="J14" s="63" t="s">
        <v>46</v>
      </c>
      <c r="K14" s="64">
        <v>46104.0</v>
      </c>
      <c r="L14" s="65"/>
      <c r="M14" s="65"/>
      <c r="N14" s="66"/>
      <c r="O14" s="66"/>
      <c r="P14" s="33" t="str">
        <f>IFERROR(MasterData!$B14,"")</f>
        <v>BTC</v>
      </c>
      <c r="Q14" s="33" t="str">
        <f>IFERROR(MasterData!$C14,"")</f>
        <v>Barback</v>
      </c>
      <c r="R14" s="33" t="str">
        <f>IFERROR(MasterData!$E14,"")</f>
        <v>Other</v>
      </c>
      <c r="S14" s="33" t="str">
        <f>IFERROR(MasterData!$G14,"")</f>
        <v/>
      </c>
      <c r="T14" s="33" t="str">
        <f>IFERROR(MasterData!$I14,"")</f>
        <v/>
      </c>
    </row>
    <row r="15" ht="21.75" customHeight="1">
      <c r="A15" s="34" t="s">
        <v>498</v>
      </c>
      <c r="B15" s="58"/>
      <c r="C15" s="18" t="s">
        <v>499</v>
      </c>
      <c r="D15" s="18" t="s">
        <v>280</v>
      </c>
      <c r="E15" s="34" t="s">
        <v>279</v>
      </c>
      <c r="F15" s="18" t="s">
        <v>198</v>
      </c>
      <c r="G15" s="18" t="s">
        <v>500</v>
      </c>
      <c r="H15" s="42" t="s">
        <v>15</v>
      </c>
      <c r="I15" s="42" t="s">
        <v>53</v>
      </c>
      <c r="J15" s="42" t="s">
        <v>46</v>
      </c>
      <c r="K15" s="48">
        <v>46104.0</v>
      </c>
      <c r="L15" s="49"/>
      <c r="M15" s="49"/>
      <c r="N15" s="53"/>
      <c r="O15" s="53"/>
      <c r="P15" s="33" t="str">
        <f>IFERROR(MasterData!$B15,"")</f>
        <v>Baesic Fit</v>
      </c>
      <c r="Q15" s="33" t="str">
        <f>IFERROR(MasterData!$C15,"")</f>
        <v>Barista</v>
      </c>
      <c r="R15" s="33" t="str">
        <f>IFERROR(MasterData!$E15,"")</f>
        <v/>
      </c>
      <c r="S15" s="33" t="str">
        <f>IFERROR(MasterData!$G15,"")</f>
        <v/>
      </c>
      <c r="T15" s="33" t="str">
        <f>IFERROR(MasterData!$I15,"")</f>
        <v/>
      </c>
    </row>
    <row r="16" ht="21.75" customHeight="1">
      <c r="A16" s="61" t="s">
        <v>501</v>
      </c>
      <c r="B16" s="67"/>
      <c r="C16" s="12" t="s">
        <v>502</v>
      </c>
      <c r="D16" s="12" t="s">
        <v>149</v>
      </c>
      <c r="E16" s="61" t="s">
        <v>148</v>
      </c>
      <c r="F16" s="12" t="s">
        <v>117</v>
      </c>
      <c r="G16" s="12" t="s">
        <v>503</v>
      </c>
      <c r="H16" s="63" t="s">
        <v>15</v>
      </c>
      <c r="I16" s="63" t="s">
        <v>53</v>
      </c>
      <c r="J16" s="63" t="s">
        <v>46</v>
      </c>
      <c r="K16" s="64">
        <v>46104.0</v>
      </c>
      <c r="L16" s="65"/>
      <c r="M16" s="65"/>
      <c r="N16" s="66"/>
      <c r="O16" s="66"/>
      <c r="P16" s="33" t="str">
        <f>IFERROR(MasterData!$B16,"")</f>
        <v>Bare</v>
      </c>
      <c r="Q16" s="33" t="str">
        <f>IFERROR(MasterData!$C16,"")</f>
        <v>Barista Head</v>
      </c>
      <c r="R16" s="33" t="str">
        <f>IFERROR(MasterData!$E16,"")</f>
        <v/>
      </c>
      <c r="S16" s="33" t="str">
        <f>IFERROR(MasterData!$G16,"")</f>
        <v/>
      </c>
      <c r="T16" s="33" t="str">
        <f>IFERROR(MasterData!$I16,"")</f>
        <v/>
      </c>
    </row>
    <row r="17" ht="21.75" customHeight="1">
      <c r="A17" s="34" t="s">
        <v>504</v>
      </c>
      <c r="B17" s="58"/>
      <c r="C17" s="18" t="s">
        <v>505</v>
      </c>
      <c r="D17" s="18" t="s">
        <v>12</v>
      </c>
      <c r="E17" s="34" t="s">
        <v>11</v>
      </c>
      <c r="F17" s="18" t="s">
        <v>102</v>
      </c>
      <c r="G17" s="18" t="s">
        <v>490</v>
      </c>
      <c r="H17" s="42" t="s">
        <v>15</v>
      </c>
      <c r="I17" s="42" t="s">
        <v>53</v>
      </c>
      <c r="J17" s="42" t="s">
        <v>46</v>
      </c>
      <c r="K17" s="48">
        <v>46105.0</v>
      </c>
      <c r="L17" s="49"/>
      <c r="M17" s="49"/>
      <c r="N17" s="53"/>
      <c r="O17" s="53"/>
      <c r="P17" s="33" t="str">
        <f>IFERROR(MasterData!$B17,"")</f>
        <v>Blondie</v>
      </c>
      <c r="Q17" s="33" t="str">
        <f>IFERROR(MasterData!$C17,"")</f>
        <v>Barista Trainer</v>
      </c>
      <c r="R17" s="33" t="str">
        <f>IFERROR(MasterData!$E17,"")</f>
        <v/>
      </c>
      <c r="S17" s="33" t="str">
        <f>IFERROR(MasterData!$G17,"")</f>
        <v/>
      </c>
      <c r="T17" s="33" t="str">
        <f>IFERROR(MasterData!$I17,"")</f>
        <v/>
      </c>
    </row>
    <row r="18" ht="21.75" customHeight="1">
      <c r="A18" s="68"/>
      <c r="B18" s="67"/>
      <c r="C18" s="69"/>
      <c r="D18" s="12" t="s">
        <v>239</v>
      </c>
      <c r="E18" s="61" t="s">
        <v>238</v>
      </c>
      <c r="F18" s="12" t="s">
        <v>192</v>
      </c>
      <c r="G18" s="12" t="s">
        <v>506</v>
      </c>
      <c r="H18" s="63" t="s">
        <v>24</v>
      </c>
      <c r="I18" s="42" t="s">
        <v>26</v>
      </c>
      <c r="J18" s="63" t="s">
        <v>37</v>
      </c>
      <c r="K18" s="64">
        <v>46104.0</v>
      </c>
      <c r="L18" s="64">
        <v>46107.0</v>
      </c>
      <c r="M18" s="64">
        <v>46107.0</v>
      </c>
      <c r="N18" s="66"/>
      <c r="O18" s="66"/>
      <c r="P18" s="33" t="str">
        <f>IFERROR(MasterData!$B18,"")</f>
        <v>Circa 11</v>
      </c>
      <c r="Q18" s="33" t="str">
        <f>IFERROR(MasterData!$C18,"")</f>
        <v>Bartender</v>
      </c>
      <c r="R18" s="33" t="str">
        <f>IFERROR(MasterData!$E18,"")</f>
        <v/>
      </c>
      <c r="S18" s="33" t="str">
        <f>IFERROR(MasterData!$G18,"")</f>
        <v/>
      </c>
      <c r="T18" s="33" t="str">
        <f>IFERROR(MasterData!$I18,"")</f>
        <v/>
      </c>
    </row>
    <row r="19" ht="21.75" customHeight="1">
      <c r="A19" s="34" t="s">
        <v>507</v>
      </c>
      <c r="B19" s="58"/>
      <c r="C19" s="18" t="s">
        <v>508</v>
      </c>
      <c r="D19" s="18" t="s">
        <v>239</v>
      </c>
      <c r="E19" s="34" t="s">
        <v>238</v>
      </c>
      <c r="F19" s="18" t="s">
        <v>210</v>
      </c>
      <c r="G19" s="18" t="s">
        <v>509</v>
      </c>
      <c r="H19" s="42" t="s">
        <v>24</v>
      </c>
      <c r="I19" s="42" t="s">
        <v>44</v>
      </c>
      <c r="J19" s="42" t="s">
        <v>37</v>
      </c>
      <c r="K19" s="48">
        <v>46104.0</v>
      </c>
      <c r="L19" s="48">
        <v>46104.0</v>
      </c>
      <c r="M19" s="48">
        <v>46109.0</v>
      </c>
      <c r="N19" s="53"/>
      <c r="O19" s="53"/>
      <c r="P19" s="33" t="str">
        <f>IFERROR(MasterData!$B19,"")</f>
        <v>CocoCart</v>
      </c>
      <c r="Q19" s="33" t="str">
        <f>IFERROR(MasterData!$C19,"")</f>
        <v>CDP</v>
      </c>
      <c r="R19" s="33" t="str">
        <f>IFERROR(MasterData!$E19,"")</f>
        <v/>
      </c>
      <c r="S19" s="33" t="str">
        <f>IFERROR(MasterData!$G19,"")</f>
        <v/>
      </c>
      <c r="T19" s="33" t="str">
        <f>IFERROR(MasterData!$I19,"")</f>
        <v/>
      </c>
    </row>
    <row r="20" ht="21.75" customHeight="1">
      <c r="A20" s="61" t="s">
        <v>510</v>
      </c>
      <c r="B20" s="70" t="s">
        <v>511</v>
      </c>
      <c r="C20" s="12" t="s">
        <v>512</v>
      </c>
      <c r="D20" s="12" t="s">
        <v>158</v>
      </c>
      <c r="E20" s="61" t="s">
        <v>157</v>
      </c>
      <c r="F20" s="12" t="s">
        <v>102</v>
      </c>
      <c r="G20" s="12" t="s">
        <v>513</v>
      </c>
      <c r="H20" s="63" t="s">
        <v>42</v>
      </c>
      <c r="I20" s="63" t="s">
        <v>72</v>
      </c>
      <c r="J20" s="63" t="s">
        <v>19</v>
      </c>
      <c r="K20" s="71">
        <v>46105.0</v>
      </c>
      <c r="L20" s="71">
        <v>46105.0</v>
      </c>
      <c r="M20" s="65"/>
      <c r="N20" s="66"/>
      <c r="O20" s="66"/>
      <c r="P20" s="33" t="str">
        <f>IFERROR(MasterData!$B20,"")</f>
        <v>DU Hospitality</v>
      </c>
      <c r="Q20" s="33" t="str">
        <f>IFERROR(MasterData!$C20,"")</f>
        <v>CRM</v>
      </c>
      <c r="R20" s="33" t="str">
        <f>IFERROR(MasterData!$E20,"")</f>
        <v/>
      </c>
      <c r="S20" s="33" t="str">
        <f>IFERROR(MasterData!$G20,"")</f>
        <v/>
      </c>
      <c r="T20" s="33" t="str">
        <f>IFERROR(MasterData!$I20,"")</f>
        <v/>
      </c>
    </row>
    <row r="21" ht="21.75" customHeight="1">
      <c r="A21" s="34" t="s">
        <v>514</v>
      </c>
      <c r="B21" s="72" t="s">
        <v>515</v>
      </c>
      <c r="C21" s="18" t="s">
        <v>516</v>
      </c>
      <c r="D21" s="18" t="s">
        <v>149</v>
      </c>
      <c r="E21" s="34" t="s">
        <v>148</v>
      </c>
      <c r="F21" s="18" t="s">
        <v>210</v>
      </c>
      <c r="G21" s="18" t="s">
        <v>517</v>
      </c>
      <c r="H21" s="42" t="s">
        <v>15</v>
      </c>
      <c r="I21" s="42" t="s">
        <v>17</v>
      </c>
      <c r="J21" s="42" t="s">
        <v>19</v>
      </c>
      <c r="K21" s="71">
        <v>46105.0</v>
      </c>
      <c r="L21" s="49"/>
      <c r="M21" s="49"/>
      <c r="N21" s="53"/>
      <c r="O21" s="53"/>
      <c r="P21" s="33" t="str">
        <f>IFERROR(MasterData!$B21,"")</f>
        <v>Diva</v>
      </c>
      <c r="Q21" s="33" t="str">
        <f>IFERROR(MasterData!$C21,"")</f>
        <v>Cafe Manager</v>
      </c>
      <c r="R21" s="33" t="str">
        <f>IFERROR(MasterData!$E21,"")</f>
        <v/>
      </c>
      <c r="S21" s="33" t="str">
        <f>IFERROR(MasterData!$G21,"")</f>
        <v/>
      </c>
      <c r="T21" s="33" t="str">
        <f>IFERROR(MasterData!$I21,"")</f>
        <v/>
      </c>
    </row>
    <row r="22" ht="21.75" customHeight="1">
      <c r="A22" s="61" t="s">
        <v>518</v>
      </c>
      <c r="B22" s="67"/>
      <c r="C22" s="12" t="s">
        <v>519</v>
      </c>
      <c r="D22" s="12" t="s">
        <v>12</v>
      </c>
      <c r="E22" s="61" t="s">
        <v>11</v>
      </c>
      <c r="F22" s="12" t="s">
        <v>102</v>
      </c>
      <c r="G22" s="12" t="s">
        <v>520</v>
      </c>
      <c r="H22" s="63" t="s">
        <v>15</v>
      </c>
      <c r="I22" s="63" t="s">
        <v>53</v>
      </c>
      <c r="J22" s="63" t="s">
        <v>46</v>
      </c>
      <c r="K22" s="64">
        <v>46106.0</v>
      </c>
      <c r="L22" s="65"/>
      <c r="M22" s="65"/>
      <c r="N22" s="66"/>
      <c r="O22" s="66"/>
      <c r="P22" s="33" t="str">
        <f>IFERROR(MasterData!$B22,"")</f>
        <v>Donmai</v>
      </c>
      <c r="Q22" s="33" t="str">
        <f>IFERROR(MasterData!$C22,"")</f>
        <v>Cafe Supervisor</v>
      </c>
      <c r="R22" s="33" t="str">
        <f>IFERROR(MasterData!$E22,"")</f>
        <v/>
      </c>
      <c r="S22" s="33" t="str">
        <f>IFERROR(MasterData!$G22,"")</f>
        <v/>
      </c>
      <c r="T22" s="33" t="str">
        <f>IFERROR(MasterData!$I22,"")</f>
        <v/>
      </c>
    </row>
    <row r="23" ht="21.75" customHeight="1">
      <c r="A23" s="34" t="s">
        <v>521</v>
      </c>
      <c r="B23" s="58"/>
      <c r="C23" s="18" t="s">
        <v>522</v>
      </c>
      <c r="D23" s="18" t="s">
        <v>12</v>
      </c>
      <c r="E23" s="34" t="s">
        <v>172</v>
      </c>
      <c r="F23" s="18" t="s">
        <v>92</v>
      </c>
      <c r="G23" s="18" t="s">
        <v>523</v>
      </c>
      <c r="H23" s="42" t="s">
        <v>15</v>
      </c>
      <c r="I23" s="42" t="s">
        <v>78</v>
      </c>
      <c r="J23" s="42" t="s">
        <v>46</v>
      </c>
      <c r="K23" s="48">
        <v>46105.0</v>
      </c>
      <c r="L23" s="48">
        <v>46106.0</v>
      </c>
      <c r="M23" s="48">
        <v>46112.0</v>
      </c>
      <c r="N23" s="53"/>
      <c r="O23" s="53"/>
      <c r="P23" s="33" t="str">
        <f>IFERROR(MasterData!$B23,"")</f>
        <v>Doppler</v>
      </c>
      <c r="Q23" s="33" t="str">
        <f>IFERROR(MasterData!$C23,"")</f>
        <v>Captain</v>
      </c>
      <c r="R23" s="33" t="str">
        <f>IFERROR(MasterData!$E23,"")</f>
        <v/>
      </c>
      <c r="S23" s="33" t="str">
        <f>IFERROR(MasterData!$G23,"")</f>
        <v/>
      </c>
      <c r="T23" s="33" t="str">
        <f>IFERROR(MasterData!$I23,"")</f>
        <v/>
      </c>
    </row>
    <row r="24" ht="21.75" customHeight="1">
      <c r="A24" s="61" t="s">
        <v>524</v>
      </c>
      <c r="B24" s="67"/>
      <c r="C24" s="12" t="s">
        <v>525</v>
      </c>
      <c r="D24" s="12" t="s">
        <v>291</v>
      </c>
      <c r="E24" s="61" t="s">
        <v>97</v>
      </c>
      <c r="F24" s="12" t="s">
        <v>129</v>
      </c>
      <c r="G24" s="12" t="s">
        <v>490</v>
      </c>
      <c r="H24" s="63" t="s">
        <v>15</v>
      </c>
      <c r="I24" s="63" t="s">
        <v>84</v>
      </c>
      <c r="J24" s="63" t="s">
        <v>54</v>
      </c>
      <c r="K24" s="64">
        <v>46140.0</v>
      </c>
      <c r="L24" s="64">
        <v>46140.0</v>
      </c>
      <c r="M24" s="64">
        <v>46140.0</v>
      </c>
      <c r="N24" s="66"/>
      <c r="O24" s="12"/>
      <c r="P24" s="33" t="str">
        <f>IFERROR(MasterData!$B24,"")</f>
        <v>Dough and Joe</v>
      </c>
      <c r="Q24" s="33" t="str">
        <f>IFERROR(MasterData!$C24,"")</f>
        <v>Cashier</v>
      </c>
      <c r="R24" s="33" t="str">
        <f>IFERROR(MasterData!$E24,"")</f>
        <v/>
      </c>
      <c r="S24" s="33" t="str">
        <f>IFERROR(MasterData!$G24,"")</f>
        <v/>
      </c>
      <c r="T24" s="33" t="str">
        <f>IFERROR(MasterData!$I24,"")</f>
        <v/>
      </c>
    </row>
    <row r="25" ht="21.75" customHeight="1">
      <c r="A25" s="34" t="s">
        <v>526</v>
      </c>
      <c r="B25" s="58"/>
      <c r="C25" s="18" t="s">
        <v>527</v>
      </c>
      <c r="D25" s="18" t="s">
        <v>291</v>
      </c>
      <c r="E25" s="34" t="s">
        <v>97</v>
      </c>
      <c r="F25" s="18" t="s">
        <v>132</v>
      </c>
      <c r="G25" s="18" t="s">
        <v>490</v>
      </c>
      <c r="H25" s="42" t="s">
        <v>15</v>
      </c>
      <c r="I25" s="42" t="s">
        <v>84</v>
      </c>
      <c r="J25" s="42" t="s">
        <v>54</v>
      </c>
      <c r="K25" s="48">
        <v>46140.0</v>
      </c>
      <c r="L25" s="48">
        <v>46140.0</v>
      </c>
      <c r="M25" s="48">
        <v>46140.0</v>
      </c>
      <c r="N25" s="53"/>
      <c r="O25" s="18"/>
      <c r="P25" s="33" t="str">
        <f>IFERROR(MasterData!$B25,"")</f>
        <v>EDD</v>
      </c>
      <c r="Q25" s="33" t="str">
        <f>IFERROR(MasterData!$C25,"")</f>
        <v>Chef</v>
      </c>
      <c r="R25" s="33" t="str">
        <f>IFERROR(MasterData!$E25,"")</f>
        <v/>
      </c>
      <c r="S25" s="33" t="str">
        <f>IFERROR(MasterData!$G25,"")</f>
        <v/>
      </c>
      <c r="T25" s="33" t="str">
        <f>IFERROR(MasterData!$I25,"")</f>
        <v/>
      </c>
    </row>
    <row r="26" ht="21.75" customHeight="1">
      <c r="A26" s="61" t="s">
        <v>528</v>
      </c>
      <c r="B26" s="29" t="s">
        <v>529</v>
      </c>
      <c r="C26" s="12" t="s">
        <v>530</v>
      </c>
      <c r="D26" s="12" t="s">
        <v>158</v>
      </c>
      <c r="E26" s="61" t="s">
        <v>157</v>
      </c>
      <c r="F26" s="12" t="s">
        <v>298</v>
      </c>
      <c r="G26" s="12" t="s">
        <v>531</v>
      </c>
      <c r="H26" s="63" t="s">
        <v>15</v>
      </c>
      <c r="I26" s="63" t="s">
        <v>72</v>
      </c>
      <c r="J26" s="63" t="s">
        <v>19</v>
      </c>
      <c r="K26" s="64">
        <v>46106.0</v>
      </c>
      <c r="L26" s="64">
        <v>46106.0</v>
      </c>
      <c r="M26" s="65"/>
      <c r="N26" s="66"/>
      <c r="O26" s="66"/>
      <c r="P26" s="33" t="str">
        <f>IFERROR(MasterData!$B26,"")</f>
        <v>FHPL</v>
      </c>
      <c r="Q26" s="33" t="str">
        <f>IFERROR(MasterData!$C26,"")</f>
        <v>Commi</v>
      </c>
      <c r="R26" s="33" t="str">
        <f>IFERROR(MasterData!$E26,"")</f>
        <v/>
      </c>
      <c r="S26" s="33" t="str">
        <f>IFERROR(MasterData!$G26,"")</f>
        <v/>
      </c>
      <c r="T26" s="33" t="str">
        <f>IFERROR(MasterData!$I26,"")</f>
        <v/>
      </c>
    </row>
    <row r="27" ht="21.75" customHeight="1">
      <c r="A27" s="34" t="s">
        <v>532</v>
      </c>
      <c r="B27" s="58"/>
      <c r="C27" s="18" t="s">
        <v>533</v>
      </c>
      <c r="D27" s="18" t="s">
        <v>98</v>
      </c>
      <c r="E27" s="34" t="s">
        <v>97</v>
      </c>
      <c r="F27" s="18" t="s">
        <v>132</v>
      </c>
      <c r="G27" s="18" t="s">
        <v>534</v>
      </c>
      <c r="H27" s="42" t="s">
        <v>15</v>
      </c>
      <c r="I27" s="42" t="s">
        <v>84</v>
      </c>
      <c r="J27" s="42" t="s">
        <v>54</v>
      </c>
      <c r="K27" s="48">
        <v>46106.0</v>
      </c>
      <c r="L27" s="49"/>
      <c r="M27" s="49"/>
      <c r="N27" s="53"/>
      <c r="O27" s="18" t="s">
        <v>535</v>
      </c>
      <c r="P27" s="33" t="str">
        <f>IFERROR(MasterData!$B27,"")</f>
        <v>Flavour Pots</v>
      </c>
      <c r="Q27" s="33" t="str">
        <f>IFERROR(MasterData!$C27,"")</f>
        <v>Commi 1</v>
      </c>
      <c r="R27" s="33" t="str">
        <f>IFERROR(MasterData!$E27,"")</f>
        <v/>
      </c>
      <c r="S27" s="33" t="str">
        <f>IFERROR(MasterData!$G27,"")</f>
        <v/>
      </c>
      <c r="T27" s="33" t="str">
        <f>IFERROR(MasterData!$I27,"")</f>
        <v/>
      </c>
    </row>
    <row r="28" ht="21.75" customHeight="1">
      <c r="A28" s="61" t="s">
        <v>536</v>
      </c>
      <c r="B28" s="67"/>
      <c r="C28" s="12" t="s">
        <v>537</v>
      </c>
      <c r="D28" s="12" t="s">
        <v>280</v>
      </c>
      <c r="E28" s="61" t="s">
        <v>279</v>
      </c>
      <c r="F28" s="12" t="s">
        <v>302</v>
      </c>
      <c r="G28" s="12" t="s">
        <v>538</v>
      </c>
      <c r="H28" s="63" t="s">
        <v>15</v>
      </c>
      <c r="I28" s="63" t="s">
        <v>78</v>
      </c>
      <c r="J28" s="63" t="s">
        <v>54</v>
      </c>
      <c r="K28" s="64">
        <v>46106.0</v>
      </c>
      <c r="L28" s="65"/>
      <c r="M28" s="64">
        <v>46108.0</v>
      </c>
      <c r="N28" s="66"/>
      <c r="O28" s="66"/>
      <c r="P28" s="33" t="str">
        <f>IFERROR(MasterData!$B28,"")</f>
        <v>Food Square</v>
      </c>
      <c r="Q28" s="33" t="str">
        <f>IFERROR(MasterData!$C28,"")</f>
        <v>Commi 2</v>
      </c>
      <c r="R28" s="33" t="str">
        <f>IFERROR(MasterData!$E28,"")</f>
        <v/>
      </c>
      <c r="S28" s="33" t="str">
        <f>IFERROR(MasterData!$G28,"")</f>
        <v/>
      </c>
      <c r="T28" s="33" t="str">
        <f>IFERROR(MasterData!$I28,"")</f>
        <v/>
      </c>
    </row>
    <row r="29" ht="21.75" customHeight="1">
      <c r="A29" s="34" t="s">
        <v>539</v>
      </c>
      <c r="B29" s="58"/>
      <c r="C29" s="18" t="s">
        <v>540</v>
      </c>
      <c r="D29" s="18" t="s">
        <v>116</v>
      </c>
      <c r="E29" s="34" t="s">
        <v>115</v>
      </c>
      <c r="F29" s="18" t="s">
        <v>117</v>
      </c>
      <c r="G29" s="18" t="s">
        <v>541</v>
      </c>
      <c r="H29" s="42" t="s">
        <v>83</v>
      </c>
      <c r="I29" s="42" t="s">
        <v>17</v>
      </c>
      <c r="J29" s="42" t="s">
        <v>28</v>
      </c>
      <c r="K29" s="48">
        <v>46106.0</v>
      </c>
      <c r="L29" s="49"/>
      <c r="M29" s="49"/>
      <c r="N29" s="53"/>
      <c r="O29" s="53"/>
      <c r="P29" s="33" t="str">
        <f>IFERROR(MasterData!$B29,"")</f>
        <v>Foodmatters</v>
      </c>
      <c r="Q29" s="33" t="str">
        <f>IFERROR(MasterData!$C29,"")</f>
        <v>Commi 3</v>
      </c>
      <c r="R29" s="33" t="str">
        <f>IFERROR(MasterData!$E29,"")</f>
        <v/>
      </c>
      <c r="S29" s="33" t="str">
        <f>IFERROR(MasterData!$G29,"")</f>
        <v/>
      </c>
      <c r="T29" s="33" t="str">
        <f>IFERROR(MasterData!$I29,"")</f>
        <v/>
      </c>
    </row>
    <row r="30" ht="21.75" customHeight="1">
      <c r="A30" s="61" t="s">
        <v>542</v>
      </c>
      <c r="B30" s="67"/>
      <c r="C30" s="12" t="s">
        <v>543</v>
      </c>
      <c r="D30" s="12" t="s">
        <v>98</v>
      </c>
      <c r="E30" s="61" t="s">
        <v>97</v>
      </c>
      <c r="F30" s="12" t="s">
        <v>302</v>
      </c>
      <c r="G30" s="12" t="s">
        <v>544</v>
      </c>
      <c r="H30" s="63" t="s">
        <v>15</v>
      </c>
      <c r="I30" s="63" t="s">
        <v>60</v>
      </c>
      <c r="J30" s="63" t="s">
        <v>54</v>
      </c>
      <c r="K30" s="64">
        <v>46106.0</v>
      </c>
      <c r="L30" s="65"/>
      <c r="M30" s="64">
        <v>46110.0</v>
      </c>
      <c r="N30" s="66"/>
      <c r="O30" s="66"/>
      <c r="P30" s="33" t="str">
        <f>IFERROR(MasterData!$B30,"")</f>
        <v>Ghostkitchens</v>
      </c>
      <c r="Q30" s="33" t="str">
        <f>IFERROR(MasterData!$C30,"")</f>
        <v>Community Manager</v>
      </c>
      <c r="R30" s="33" t="str">
        <f>IFERROR(MasterData!$E30,"")</f>
        <v/>
      </c>
      <c r="S30" s="33" t="str">
        <f>IFERROR(MasterData!$G30,"")</f>
        <v/>
      </c>
      <c r="T30" s="33" t="str">
        <f>IFERROR(MasterData!$I30,"")</f>
        <v/>
      </c>
    </row>
    <row r="31" ht="21.75" customHeight="1">
      <c r="A31" s="34" t="s">
        <v>545</v>
      </c>
      <c r="B31" s="58"/>
      <c r="C31" s="18" t="s">
        <v>546</v>
      </c>
      <c r="D31" s="18" t="s">
        <v>98</v>
      </c>
      <c r="E31" s="34" t="s">
        <v>97</v>
      </c>
      <c r="F31" s="18" t="s">
        <v>302</v>
      </c>
      <c r="G31" s="18" t="s">
        <v>547</v>
      </c>
      <c r="H31" s="42" t="s">
        <v>15</v>
      </c>
      <c r="I31" s="42" t="s">
        <v>60</v>
      </c>
      <c r="J31" s="42" t="s">
        <v>54</v>
      </c>
      <c r="K31" s="48">
        <v>46106.0</v>
      </c>
      <c r="L31" s="49"/>
      <c r="M31" s="48">
        <v>46110.0</v>
      </c>
      <c r="N31" s="53"/>
      <c r="O31" s="53"/>
      <c r="P31" s="33" t="str">
        <f>IFERROR(MasterData!$B31,"")</f>
        <v>Gupta Brands</v>
      </c>
      <c r="Q31" s="33" t="str">
        <f>IFERROR(MasterData!$C31,"")</f>
        <v>Content Strategist</v>
      </c>
      <c r="R31" s="33" t="str">
        <f>IFERROR(MasterData!$E31,"")</f>
        <v/>
      </c>
      <c r="S31" s="33" t="str">
        <f>IFERROR(MasterData!$G31,"")</f>
        <v/>
      </c>
      <c r="T31" s="33" t="str">
        <f>IFERROR(MasterData!$I31,"")</f>
        <v/>
      </c>
    </row>
    <row r="32" ht="21.75" customHeight="1">
      <c r="A32" s="61" t="s">
        <v>548</v>
      </c>
      <c r="B32" s="67"/>
      <c r="C32" s="12" t="s">
        <v>549</v>
      </c>
      <c r="D32" s="12" t="s">
        <v>182</v>
      </c>
      <c r="E32" s="61" t="s">
        <v>97</v>
      </c>
      <c r="F32" s="12" t="s">
        <v>290</v>
      </c>
      <c r="G32" s="12" t="s">
        <v>550</v>
      </c>
      <c r="H32" s="63" t="s">
        <v>15</v>
      </c>
      <c r="I32" s="63" t="s">
        <v>53</v>
      </c>
      <c r="J32" s="63" t="s">
        <v>54</v>
      </c>
      <c r="K32" s="64">
        <v>46106.0</v>
      </c>
      <c r="L32" s="64">
        <v>46133.0</v>
      </c>
      <c r="M32" s="64">
        <v>46133.0</v>
      </c>
      <c r="N32" s="66"/>
      <c r="O32" s="66"/>
      <c r="P32" s="33" t="str">
        <f>IFERROR(MasterData!$B32,"")</f>
        <v>Huddle and Score</v>
      </c>
      <c r="Q32" s="33" t="str">
        <f>IFERROR(MasterData!$C32,"")</f>
        <v>Counter Sales</v>
      </c>
      <c r="R32" s="33" t="str">
        <f>IFERROR(MasterData!$E32,"")</f>
        <v/>
      </c>
      <c r="S32" s="33" t="str">
        <f>IFERROR(MasterData!$G32,"")</f>
        <v/>
      </c>
      <c r="T32" s="33" t="str">
        <f>IFERROR(MasterData!$I32,"")</f>
        <v/>
      </c>
    </row>
    <row r="33" ht="21.75" customHeight="1">
      <c r="A33" s="34" t="s">
        <v>551</v>
      </c>
      <c r="B33" s="58"/>
      <c r="C33" s="18" t="s">
        <v>552</v>
      </c>
      <c r="D33" s="18" t="s">
        <v>116</v>
      </c>
      <c r="E33" s="34" t="s">
        <v>115</v>
      </c>
      <c r="F33" s="18" t="s">
        <v>117</v>
      </c>
      <c r="G33" s="18" t="s">
        <v>553</v>
      </c>
      <c r="H33" s="42" t="s">
        <v>24</v>
      </c>
      <c r="I33" s="42" t="s">
        <v>17</v>
      </c>
      <c r="J33" s="42" t="s">
        <v>28</v>
      </c>
      <c r="K33" s="48">
        <v>46106.0</v>
      </c>
      <c r="L33" s="49"/>
      <c r="M33" s="49"/>
      <c r="N33" s="53"/>
      <c r="O33" s="53"/>
      <c r="P33" s="33" t="str">
        <f>IFERROR(MasterData!$B33,"")</f>
        <v>Hummingtree</v>
      </c>
      <c r="Q33" s="33" t="str">
        <f>IFERROR(MasterData!$C33,"")</f>
        <v>DCDP</v>
      </c>
      <c r="R33" s="33" t="str">
        <f>IFERROR(MasterData!$E33,"")</f>
        <v/>
      </c>
      <c r="S33" s="33" t="str">
        <f>IFERROR(MasterData!$G33,"")</f>
        <v/>
      </c>
      <c r="T33" s="33" t="str">
        <f>IFERROR(MasterData!$I33,"")</f>
        <v/>
      </c>
    </row>
    <row r="34" ht="21.75" customHeight="1">
      <c r="A34" s="61" t="s">
        <v>554</v>
      </c>
      <c r="B34" s="67"/>
      <c r="C34" s="12" t="s">
        <v>555</v>
      </c>
      <c r="D34" s="12" t="s">
        <v>98</v>
      </c>
      <c r="E34" s="61" t="s">
        <v>97</v>
      </c>
      <c r="F34" s="12" t="s">
        <v>186</v>
      </c>
      <c r="G34" s="12" t="s">
        <v>556</v>
      </c>
      <c r="H34" s="63" t="s">
        <v>15</v>
      </c>
      <c r="I34" s="63" t="s">
        <v>84</v>
      </c>
      <c r="J34" s="63" t="s">
        <v>54</v>
      </c>
      <c r="K34" s="64">
        <v>46106.0</v>
      </c>
      <c r="L34" s="65"/>
      <c r="M34" s="65"/>
      <c r="N34" s="66"/>
      <c r="O34" s="12" t="s">
        <v>535</v>
      </c>
      <c r="P34" s="33" t="str">
        <f>IFERROR(MasterData!$B34,"")</f>
        <v>Hunger Inc</v>
      </c>
      <c r="Q34" s="33" t="str">
        <f>IFERROR(MasterData!$C34,"")</f>
        <v>Data Analyst</v>
      </c>
      <c r="R34" s="33" t="str">
        <f>IFERROR(MasterData!$E34,"")</f>
        <v/>
      </c>
      <c r="S34" s="33" t="str">
        <f>IFERROR(MasterData!$G34,"")</f>
        <v/>
      </c>
      <c r="T34" s="33" t="str">
        <f>IFERROR(MasterData!$I34,"")</f>
        <v/>
      </c>
    </row>
    <row r="35" ht="21.75" customHeight="1">
      <c r="A35" s="34" t="s">
        <v>557</v>
      </c>
      <c r="B35" s="58"/>
      <c r="C35" s="18" t="s">
        <v>558</v>
      </c>
      <c r="D35" s="18" t="s">
        <v>113</v>
      </c>
      <c r="E35" s="34" t="s">
        <v>112</v>
      </c>
      <c r="F35" s="18" t="s">
        <v>129</v>
      </c>
      <c r="G35" s="18" t="s">
        <v>490</v>
      </c>
      <c r="H35" s="42" t="s">
        <v>15</v>
      </c>
      <c r="I35" s="42" t="s">
        <v>84</v>
      </c>
      <c r="J35" s="42" t="s">
        <v>54</v>
      </c>
      <c r="K35" s="48">
        <v>46106.0</v>
      </c>
      <c r="L35" s="48">
        <v>46106.0</v>
      </c>
      <c r="M35" s="48">
        <v>46111.0</v>
      </c>
      <c r="N35" s="53"/>
      <c r="O35" s="18" t="s">
        <v>559</v>
      </c>
      <c r="P35" s="33" t="str">
        <f>IFERROR(MasterData!$B35,"")</f>
        <v>Idoru</v>
      </c>
      <c r="Q35" s="33" t="str">
        <f>IFERROR(MasterData!$C35,"")</f>
        <v>Director of Operations</v>
      </c>
      <c r="R35" s="33" t="str">
        <f>IFERROR(MasterData!$E35,"")</f>
        <v/>
      </c>
      <c r="S35" s="33" t="str">
        <f>IFERROR(MasterData!$G35,"")</f>
        <v/>
      </c>
      <c r="T35" s="33" t="str">
        <f>IFERROR(MasterData!$I35,"")</f>
        <v/>
      </c>
    </row>
    <row r="36" ht="21.75" customHeight="1">
      <c r="A36" s="61" t="s">
        <v>560</v>
      </c>
      <c r="B36" s="29" t="s">
        <v>561</v>
      </c>
      <c r="C36" s="12" t="s">
        <v>562</v>
      </c>
      <c r="D36" s="12" t="s">
        <v>158</v>
      </c>
      <c r="E36" s="61" t="s">
        <v>157</v>
      </c>
      <c r="F36" s="12" t="s">
        <v>292</v>
      </c>
      <c r="G36" s="12" t="s">
        <v>563</v>
      </c>
      <c r="H36" s="63" t="s">
        <v>42</v>
      </c>
      <c r="I36" s="63" t="s">
        <v>53</v>
      </c>
      <c r="J36" s="63" t="s">
        <v>19</v>
      </c>
      <c r="K36" s="64">
        <v>46106.0</v>
      </c>
      <c r="L36" s="64">
        <v>46106.0</v>
      </c>
      <c r="M36" s="64">
        <v>46107.0</v>
      </c>
      <c r="N36" s="63" t="s">
        <v>564</v>
      </c>
      <c r="O36" s="12" t="s">
        <v>565</v>
      </c>
      <c r="P36" s="33" t="str">
        <f>IFERROR(MasterData!$B36,"")</f>
        <v>Ikai</v>
      </c>
      <c r="Q36" s="33" t="str">
        <f>IFERROR(MasterData!$C36,"")</f>
        <v>Duty Manager</v>
      </c>
      <c r="R36" s="33" t="str">
        <f>IFERROR(MasterData!$E36,"")</f>
        <v/>
      </c>
      <c r="S36" s="33" t="str">
        <f>IFERROR(MasterData!$G36,"")</f>
        <v/>
      </c>
      <c r="T36" s="33" t="str">
        <f>IFERROR(MasterData!$I36,"")</f>
        <v/>
      </c>
    </row>
    <row r="37" ht="21.75" customHeight="1">
      <c r="A37" s="34" t="s">
        <v>566</v>
      </c>
      <c r="B37" s="58"/>
      <c r="C37" s="18" t="s">
        <v>567</v>
      </c>
      <c r="D37" s="18" t="s">
        <v>274</v>
      </c>
      <c r="E37" s="34" t="s">
        <v>273</v>
      </c>
      <c r="F37" s="18" t="s">
        <v>269</v>
      </c>
      <c r="G37" s="53"/>
      <c r="H37" s="42" t="s">
        <v>15</v>
      </c>
      <c r="I37" s="42" t="s">
        <v>53</v>
      </c>
      <c r="J37" s="42" t="s">
        <v>54</v>
      </c>
      <c r="K37" s="48">
        <v>46106.0</v>
      </c>
      <c r="L37" s="49"/>
      <c r="M37" s="49"/>
      <c r="N37" s="18" t="s">
        <v>564</v>
      </c>
      <c r="O37" s="18"/>
      <c r="P37" s="33" t="str">
        <f>IFERROR(MasterData!$B37,"")</f>
        <v>Izumi</v>
      </c>
      <c r="Q37" s="33" t="str">
        <f>IFERROR(MasterData!$C37,"")</f>
        <v>EA</v>
      </c>
      <c r="R37" s="33" t="str">
        <f>IFERROR(MasterData!$E37,"")</f>
        <v/>
      </c>
      <c r="S37" s="33" t="str">
        <f>IFERROR(MasterData!$G37,"")</f>
        <v/>
      </c>
      <c r="T37" s="33" t="str">
        <f>IFERROR(MasterData!$I37,"")</f>
        <v/>
      </c>
    </row>
    <row r="38" ht="21.75" customHeight="1">
      <c r="A38" s="61" t="s">
        <v>568</v>
      </c>
      <c r="B38" s="67"/>
      <c r="C38" s="12" t="s">
        <v>569</v>
      </c>
      <c r="D38" s="12" t="s">
        <v>274</v>
      </c>
      <c r="E38" s="61" t="s">
        <v>273</v>
      </c>
      <c r="F38" s="12" t="s">
        <v>308</v>
      </c>
      <c r="G38" s="66"/>
      <c r="H38" s="63" t="s">
        <v>15</v>
      </c>
      <c r="I38" s="63" t="s">
        <v>53</v>
      </c>
      <c r="J38" s="63" t="s">
        <v>54</v>
      </c>
      <c r="K38" s="64">
        <v>46106.0</v>
      </c>
      <c r="L38" s="65"/>
      <c r="M38" s="65"/>
      <c r="N38" s="66"/>
      <c r="O38" s="66"/>
      <c r="P38" s="33" t="str">
        <f>IFERROR(MasterData!$B38,"")</f>
        <v>Izumi - GOA</v>
      </c>
      <c r="Q38" s="33" t="str">
        <f>IFERROR(MasterData!$C38,"")</f>
        <v>Executive Chef</v>
      </c>
      <c r="R38" s="33" t="str">
        <f>IFERROR(MasterData!$E38,"")</f>
        <v/>
      </c>
      <c r="S38" s="33" t="str">
        <f>IFERROR(MasterData!$G38,"")</f>
        <v/>
      </c>
      <c r="T38" s="33" t="str">
        <f>IFERROR(MasterData!$I38,"")</f>
        <v/>
      </c>
    </row>
    <row r="39" ht="21.75" customHeight="1">
      <c r="A39" s="34" t="s">
        <v>570</v>
      </c>
      <c r="B39" s="58"/>
      <c r="C39" s="73" t="s">
        <v>571</v>
      </c>
      <c r="D39" s="18" t="s">
        <v>116</v>
      </c>
      <c r="E39" s="34" t="s">
        <v>115</v>
      </c>
      <c r="F39" s="18" t="s">
        <v>117</v>
      </c>
      <c r="G39" s="18" t="s">
        <v>572</v>
      </c>
      <c r="H39" s="42" t="s">
        <v>89</v>
      </c>
      <c r="I39" s="42" t="s">
        <v>84</v>
      </c>
      <c r="J39" s="42" t="s">
        <v>54</v>
      </c>
      <c r="K39" s="48">
        <v>46106.0</v>
      </c>
      <c r="L39" s="49"/>
      <c r="M39" s="49"/>
      <c r="N39" s="53"/>
      <c r="O39" s="53"/>
      <c r="P39" s="33" t="str">
        <f>IFERROR(MasterData!$B39,"")</f>
        <v>Kaia</v>
      </c>
      <c r="Q39" s="33" t="str">
        <f>IFERROR(MasterData!$C39,"")</f>
        <v>F&amp;B Associate</v>
      </c>
      <c r="R39" s="33" t="str">
        <f>IFERROR(MasterData!$E39,"")</f>
        <v/>
      </c>
      <c r="S39" s="33" t="str">
        <f>IFERROR(MasterData!$G39,"")</f>
        <v/>
      </c>
      <c r="T39" s="33" t="str">
        <f>IFERROR(MasterData!$I39,"")</f>
        <v/>
      </c>
    </row>
    <row r="40" ht="21.75" customHeight="1">
      <c r="A40" s="61" t="s">
        <v>573</v>
      </c>
      <c r="B40" s="67"/>
      <c r="C40" s="13" t="s">
        <v>574</v>
      </c>
      <c r="D40" s="12" t="s">
        <v>116</v>
      </c>
      <c r="E40" s="61" t="s">
        <v>115</v>
      </c>
      <c r="F40" s="12" t="s">
        <v>290</v>
      </c>
      <c r="G40" s="12" t="s">
        <v>490</v>
      </c>
      <c r="H40" s="63" t="s">
        <v>24</v>
      </c>
      <c r="I40" s="63" t="s">
        <v>84</v>
      </c>
      <c r="J40" s="63" t="s">
        <v>54</v>
      </c>
      <c r="K40" s="64">
        <v>46106.0</v>
      </c>
      <c r="L40" s="65"/>
      <c r="M40" s="64">
        <v>46108.0</v>
      </c>
      <c r="N40" s="66"/>
      <c r="O40" s="66"/>
      <c r="P40" s="33" t="str">
        <f>IFERROR(MasterData!$B40,"")</f>
        <v>Kohinoor Group</v>
      </c>
      <c r="Q40" s="33" t="str">
        <f>IFERROR(MasterData!$C40,"")</f>
        <v>F&amp;B Controller</v>
      </c>
      <c r="R40" s="33" t="str">
        <f>IFERROR(MasterData!$E40,"")</f>
        <v/>
      </c>
      <c r="S40" s="33" t="str">
        <f>IFERROR(MasterData!$G40,"")</f>
        <v/>
      </c>
      <c r="T40" s="33" t="str">
        <f>IFERROR(MasterData!$I40,"")</f>
        <v/>
      </c>
    </row>
    <row r="41" ht="21.75" customHeight="1">
      <c r="A41" s="34" t="s">
        <v>575</v>
      </c>
      <c r="B41" s="58"/>
      <c r="C41" s="18" t="s">
        <v>576</v>
      </c>
      <c r="D41" s="18" t="s">
        <v>95</v>
      </c>
      <c r="E41" s="34" t="s">
        <v>94</v>
      </c>
      <c r="F41" s="18" t="s">
        <v>222</v>
      </c>
      <c r="G41" s="18" t="s">
        <v>490</v>
      </c>
      <c r="H41" s="42" t="s">
        <v>15</v>
      </c>
      <c r="I41" s="42" t="s">
        <v>60</v>
      </c>
      <c r="J41" s="42" t="s">
        <v>54</v>
      </c>
      <c r="K41" s="48">
        <v>46106.0</v>
      </c>
      <c r="L41" s="49"/>
      <c r="M41" s="48">
        <v>46107.0</v>
      </c>
      <c r="N41" s="53"/>
      <c r="O41" s="53"/>
      <c r="P41" s="33" t="str">
        <f>IFERROR(MasterData!$B41,"")</f>
        <v>La Loca Maria</v>
      </c>
      <c r="Q41" s="33" t="str">
        <f>IFERROR(MasterData!$C41,"")</f>
        <v>F&amp;B Executive</v>
      </c>
      <c r="R41" s="33" t="str">
        <f>IFERROR(MasterData!$E41,"")</f>
        <v/>
      </c>
      <c r="S41" s="33" t="str">
        <f>IFERROR(MasterData!$G41,"")</f>
        <v/>
      </c>
      <c r="T41" s="33" t="str">
        <f>IFERROR(MasterData!$I41,"")</f>
        <v/>
      </c>
    </row>
    <row r="42" ht="21.75" customHeight="1">
      <c r="A42" s="61" t="s">
        <v>577</v>
      </c>
      <c r="B42" s="67"/>
      <c r="C42" s="13" t="s">
        <v>578</v>
      </c>
      <c r="D42" s="12" t="s">
        <v>283</v>
      </c>
      <c r="E42" s="61" t="s">
        <v>282</v>
      </c>
      <c r="F42" s="12" t="s">
        <v>225</v>
      </c>
      <c r="G42" s="12" t="s">
        <v>490</v>
      </c>
      <c r="H42" s="63" t="s">
        <v>15</v>
      </c>
      <c r="I42" s="63" t="s">
        <v>84</v>
      </c>
      <c r="J42" s="63" t="s">
        <v>54</v>
      </c>
      <c r="K42" s="64">
        <v>46106.0</v>
      </c>
      <c r="L42" s="65"/>
      <c r="M42" s="64">
        <v>46107.0</v>
      </c>
      <c r="N42" s="66"/>
      <c r="O42" s="12" t="s">
        <v>535</v>
      </c>
      <c r="P42" s="33" t="str">
        <f>IFERROR(MasterData!$B42,"")</f>
        <v>Le 15</v>
      </c>
      <c r="Q42" s="33" t="str">
        <f>IFERROR(MasterData!$C42,"")</f>
        <v>F&amp;B Supervisor</v>
      </c>
      <c r="R42" s="33" t="str">
        <f>IFERROR(MasterData!$E42,"")</f>
        <v/>
      </c>
      <c r="S42" s="33" t="str">
        <f>IFERROR(MasterData!$G42,"")</f>
        <v/>
      </c>
      <c r="T42" s="33" t="str">
        <f>IFERROR(MasterData!$I42,"")</f>
        <v/>
      </c>
    </row>
    <row r="43" ht="21.75" customHeight="1">
      <c r="A43" s="34" t="s">
        <v>579</v>
      </c>
      <c r="B43" s="58"/>
      <c r="C43" s="18" t="s">
        <v>580</v>
      </c>
      <c r="D43" s="18" t="s">
        <v>12</v>
      </c>
      <c r="E43" s="34" t="s">
        <v>11</v>
      </c>
      <c r="F43" s="18" t="s">
        <v>102</v>
      </c>
      <c r="G43" s="18" t="s">
        <v>581</v>
      </c>
      <c r="H43" s="42" t="s">
        <v>15</v>
      </c>
      <c r="I43" s="42" t="s">
        <v>84</v>
      </c>
      <c r="J43" s="42" t="s">
        <v>54</v>
      </c>
      <c r="K43" s="48">
        <v>46106.0</v>
      </c>
      <c r="L43" s="48">
        <v>46114.0</v>
      </c>
      <c r="M43" s="48">
        <v>46115.0</v>
      </c>
      <c r="N43" s="53"/>
      <c r="O43" s="18" t="s">
        <v>582</v>
      </c>
      <c r="P43" s="33" t="str">
        <f>IFERROR(MasterData!$B43,"")</f>
        <v>Malsons</v>
      </c>
      <c r="Q43" s="33" t="str">
        <f>IFERROR(MasterData!$C43,"")</f>
        <v>FOE</v>
      </c>
      <c r="R43" s="33" t="str">
        <f>IFERROR(MasterData!$E43,"")</f>
        <v/>
      </c>
      <c r="S43" s="33" t="str">
        <f>IFERROR(MasterData!$G43,"")</f>
        <v/>
      </c>
      <c r="T43" s="33" t="str">
        <f>IFERROR(MasterData!$I43,"")</f>
        <v/>
      </c>
    </row>
    <row r="44" ht="21.75" customHeight="1">
      <c r="A44" s="61" t="s">
        <v>583</v>
      </c>
      <c r="B44" s="67"/>
      <c r="C44" s="12" t="s">
        <v>584</v>
      </c>
      <c r="D44" s="12" t="s">
        <v>239</v>
      </c>
      <c r="E44" s="61" t="s">
        <v>238</v>
      </c>
      <c r="F44" s="12" t="s">
        <v>147</v>
      </c>
      <c r="G44" s="12" t="s">
        <v>585</v>
      </c>
      <c r="H44" s="63" t="s">
        <v>51</v>
      </c>
      <c r="I44" s="63" t="s">
        <v>17</v>
      </c>
      <c r="J44" s="63" t="s">
        <v>54</v>
      </c>
      <c r="K44" s="64">
        <v>46106.0</v>
      </c>
      <c r="L44" s="65"/>
      <c r="M44" s="64">
        <v>46111.0</v>
      </c>
      <c r="N44" s="66"/>
      <c r="O44" s="66"/>
      <c r="P44" s="33" t="str">
        <f>IFERROR(MasterData!$B44,"")</f>
        <v>Mia Cucina</v>
      </c>
      <c r="Q44" s="33" t="str">
        <f>IFERROR(MasterData!$C44,"")</f>
        <v>Floor Supervisor</v>
      </c>
      <c r="R44" s="33" t="str">
        <f>IFERROR(MasterData!$E44,"")</f>
        <v/>
      </c>
      <c r="S44" s="33" t="str">
        <f>IFERROR(MasterData!$G44,"")</f>
        <v/>
      </c>
      <c r="T44" s="33" t="str">
        <f>IFERROR(MasterData!$I44,"")</f>
        <v/>
      </c>
    </row>
    <row r="45" ht="21.75" customHeight="1">
      <c r="A45" s="34" t="s">
        <v>586</v>
      </c>
      <c r="B45" s="58"/>
      <c r="C45" s="18" t="s">
        <v>587</v>
      </c>
      <c r="D45" s="18" t="s">
        <v>98</v>
      </c>
      <c r="E45" s="34" t="s">
        <v>97</v>
      </c>
      <c r="F45" s="18" t="s">
        <v>129</v>
      </c>
      <c r="G45" s="18" t="s">
        <v>490</v>
      </c>
      <c r="H45" s="42" t="s">
        <v>15</v>
      </c>
      <c r="I45" s="42" t="s">
        <v>53</v>
      </c>
      <c r="J45" s="42" t="s">
        <v>54</v>
      </c>
      <c r="K45" s="48">
        <v>46106.0</v>
      </c>
      <c r="L45" s="48">
        <v>46120.0</v>
      </c>
      <c r="M45" s="48">
        <v>46121.0</v>
      </c>
      <c r="N45" s="53"/>
      <c r="O45" s="53"/>
      <c r="P45" s="33" t="str">
        <f>IFERROR(MasterData!$B45,"")</f>
        <v>Milagro (SLH)</v>
      </c>
      <c r="Q45" s="33" t="str">
        <f>IFERROR(MasterData!$C45,"")</f>
        <v>Front Desk</v>
      </c>
      <c r="R45" s="33" t="str">
        <f>IFERROR(MasterData!$E45,"")</f>
        <v/>
      </c>
      <c r="S45" s="33" t="str">
        <f>IFERROR(MasterData!$G45,"")</f>
        <v/>
      </c>
      <c r="T45" s="33" t="str">
        <f>IFERROR(MasterData!$I45,"")</f>
        <v/>
      </c>
    </row>
    <row r="46" ht="21.75" customHeight="1">
      <c r="A46" s="61" t="s">
        <v>588</v>
      </c>
      <c r="B46" s="67"/>
      <c r="C46" s="12" t="s">
        <v>589</v>
      </c>
      <c r="D46" s="12" t="s">
        <v>113</v>
      </c>
      <c r="E46" s="61" t="s">
        <v>112</v>
      </c>
      <c r="F46" s="12" t="s">
        <v>269</v>
      </c>
      <c r="G46" s="12" t="s">
        <v>590</v>
      </c>
      <c r="H46" s="63" t="s">
        <v>15</v>
      </c>
      <c r="I46" s="63" t="s">
        <v>84</v>
      </c>
      <c r="J46" s="63" t="s">
        <v>46</v>
      </c>
      <c r="K46" s="64">
        <v>46106.0</v>
      </c>
      <c r="L46" s="65"/>
      <c r="M46" s="65"/>
      <c r="N46" s="66"/>
      <c r="O46" s="66"/>
      <c r="P46" s="33" t="str">
        <f>IFERROR(MasterData!$B46,"")</f>
        <v>Monarch</v>
      </c>
      <c r="Q46" s="33" t="str">
        <f>IFERROR(MasterData!$C46,"")</f>
        <v>GRE</v>
      </c>
      <c r="R46" s="33" t="str">
        <f>IFERROR(MasterData!$E46,"")</f>
        <v/>
      </c>
      <c r="S46" s="33" t="str">
        <f>IFERROR(MasterData!$G46,"")</f>
        <v/>
      </c>
      <c r="T46" s="33" t="str">
        <f>IFERROR(MasterData!$I46,"")</f>
        <v/>
      </c>
    </row>
    <row r="47" ht="21.75" customHeight="1">
      <c r="A47" s="34" t="s">
        <v>591</v>
      </c>
      <c r="B47" s="58"/>
      <c r="C47" s="18" t="s">
        <v>592</v>
      </c>
      <c r="D47" s="18" t="s">
        <v>98</v>
      </c>
      <c r="E47" s="34" t="s">
        <v>97</v>
      </c>
      <c r="F47" s="18" t="s">
        <v>294</v>
      </c>
      <c r="G47" s="18" t="s">
        <v>593</v>
      </c>
      <c r="H47" s="42" t="s">
        <v>15</v>
      </c>
      <c r="I47" s="42" t="s">
        <v>53</v>
      </c>
      <c r="J47" s="42" t="s">
        <v>46</v>
      </c>
      <c r="K47" s="48">
        <v>46106.0</v>
      </c>
      <c r="L47" s="49"/>
      <c r="M47" s="49"/>
      <c r="N47" s="53"/>
      <c r="O47" s="53"/>
      <c r="P47" s="33" t="str">
        <f>IFERROR(MasterData!$B47,"")</f>
        <v>NOTO</v>
      </c>
      <c r="Q47" s="33" t="str">
        <f>IFERROR(MasterData!$C47,"")</f>
        <v>GRM</v>
      </c>
      <c r="R47" s="33" t="str">
        <f>IFERROR(MasterData!$E47,"")</f>
        <v/>
      </c>
      <c r="S47" s="33" t="str">
        <f>IFERROR(MasterData!$G47,"")</f>
        <v/>
      </c>
      <c r="T47" s="33" t="str">
        <f>IFERROR(MasterData!$I47,"")</f>
        <v/>
      </c>
    </row>
    <row r="48" ht="21.75" customHeight="1">
      <c r="A48" s="61" t="s">
        <v>594</v>
      </c>
      <c r="B48" s="67"/>
      <c r="C48" s="12" t="s">
        <v>595</v>
      </c>
      <c r="D48" s="12" t="s">
        <v>98</v>
      </c>
      <c r="E48" s="61" t="s">
        <v>97</v>
      </c>
      <c r="F48" s="12" t="s">
        <v>290</v>
      </c>
      <c r="G48" s="12" t="s">
        <v>490</v>
      </c>
      <c r="H48" s="63" t="s">
        <v>15</v>
      </c>
      <c r="I48" s="63" t="s">
        <v>84</v>
      </c>
      <c r="J48" s="63" t="s">
        <v>46</v>
      </c>
      <c r="K48" s="64">
        <v>46106.0</v>
      </c>
      <c r="L48" s="65"/>
      <c r="M48" s="65"/>
      <c r="N48" s="66"/>
      <c r="O48" s="66"/>
      <c r="P48" s="33" t="str">
        <f>IFERROR(MasterData!$B48,"")</f>
        <v>Neighbourhood</v>
      </c>
      <c r="Q48" s="33" t="str">
        <f>IFERROR(MasterData!$C48,"")</f>
        <v>General Manager</v>
      </c>
      <c r="R48" s="33" t="str">
        <f>IFERROR(MasterData!$E48,"")</f>
        <v/>
      </c>
      <c r="S48" s="33" t="str">
        <f>IFERROR(MasterData!$G48,"")</f>
        <v/>
      </c>
      <c r="T48" s="33" t="str">
        <f>IFERROR(MasterData!$I48,"")</f>
        <v/>
      </c>
    </row>
    <row r="49" ht="21.75" customHeight="1">
      <c r="A49" s="34" t="s">
        <v>596</v>
      </c>
      <c r="B49" s="58"/>
      <c r="C49" s="18" t="s">
        <v>597</v>
      </c>
      <c r="D49" s="18" t="s">
        <v>98</v>
      </c>
      <c r="E49" s="34" t="s">
        <v>97</v>
      </c>
      <c r="F49" s="18" t="s">
        <v>105</v>
      </c>
      <c r="G49" s="18" t="s">
        <v>495</v>
      </c>
      <c r="H49" s="42" t="s">
        <v>15</v>
      </c>
      <c r="I49" s="42" t="s">
        <v>84</v>
      </c>
      <c r="J49" s="42" t="s">
        <v>46</v>
      </c>
      <c r="K49" s="48">
        <v>46106.0</v>
      </c>
      <c r="L49" s="49"/>
      <c r="M49" s="49"/>
      <c r="N49" s="53"/>
      <c r="O49" s="53"/>
      <c r="P49" s="33" t="str">
        <f>IFERROR(MasterData!$B49,"")</f>
        <v>Nidhi and Mihir PR</v>
      </c>
      <c r="Q49" s="33" t="str">
        <f>IFERROR(MasterData!$C49,"")</f>
        <v>HK Supervisor</v>
      </c>
      <c r="R49" s="33" t="str">
        <f>IFERROR(MasterData!$E49,"")</f>
        <v/>
      </c>
      <c r="S49" s="33" t="str">
        <f>IFERROR(MasterData!$G49,"")</f>
        <v/>
      </c>
      <c r="T49" s="33" t="str">
        <f>IFERROR(MasterData!$I49,"")</f>
        <v/>
      </c>
    </row>
    <row r="50" ht="21.75" customHeight="1">
      <c r="A50" s="61" t="s">
        <v>598</v>
      </c>
      <c r="B50" s="74" t="s">
        <v>599</v>
      </c>
      <c r="C50" s="12" t="s">
        <v>600</v>
      </c>
      <c r="D50" s="12" t="s">
        <v>158</v>
      </c>
      <c r="E50" s="61" t="s">
        <v>157</v>
      </c>
      <c r="F50" s="12" t="s">
        <v>117</v>
      </c>
      <c r="G50" s="12" t="s">
        <v>601</v>
      </c>
      <c r="H50" s="63" t="s">
        <v>42</v>
      </c>
      <c r="I50" s="63" t="s">
        <v>26</v>
      </c>
      <c r="J50" s="63" t="s">
        <v>19</v>
      </c>
      <c r="K50" s="50">
        <v>46107.0</v>
      </c>
      <c r="L50" s="65"/>
      <c r="M50" s="65"/>
      <c r="N50" s="66"/>
      <c r="O50" s="66"/>
      <c r="P50" s="33" t="str">
        <f>IFERROR(MasterData!$B50,"")</f>
        <v>Nova</v>
      </c>
      <c r="Q50" s="33" t="str">
        <f>IFERROR(MasterData!$C50,"")</f>
        <v>HR</v>
      </c>
      <c r="R50" s="33" t="str">
        <f>IFERROR(MasterData!$E50,"")</f>
        <v/>
      </c>
      <c r="S50" s="33" t="str">
        <f>IFERROR(MasterData!$G50,"")</f>
        <v/>
      </c>
      <c r="T50" s="33" t="str">
        <f>IFERROR(MasterData!$I50,"")</f>
        <v/>
      </c>
    </row>
    <row r="51" ht="21.75" customHeight="1">
      <c r="A51" s="34" t="s">
        <v>602</v>
      </c>
      <c r="B51" s="75" t="s">
        <v>603</v>
      </c>
      <c r="C51" s="18" t="s">
        <v>604</v>
      </c>
      <c r="D51" s="18" t="s">
        <v>158</v>
      </c>
      <c r="E51" s="34" t="s">
        <v>157</v>
      </c>
      <c r="F51" s="18" t="s">
        <v>275</v>
      </c>
      <c r="G51" s="18" t="s">
        <v>605</v>
      </c>
      <c r="H51" s="42" t="s">
        <v>15</v>
      </c>
      <c r="I51" s="42" t="s">
        <v>26</v>
      </c>
      <c r="J51" s="42" t="s">
        <v>19</v>
      </c>
      <c r="K51" s="48">
        <v>46107.0</v>
      </c>
      <c r="L51" s="49"/>
      <c r="M51" s="49"/>
      <c r="N51" s="53"/>
      <c r="O51" s="53"/>
      <c r="P51" s="33" t="str">
        <f>IFERROR(MasterData!$B51,"")</f>
        <v>Ohris hospitality</v>
      </c>
      <c r="Q51" s="33" t="str">
        <f>IFERROR(MasterData!$C51,"")</f>
        <v>HR Head</v>
      </c>
      <c r="R51" s="33" t="str">
        <f>IFERROR(MasterData!$E51,"")</f>
        <v/>
      </c>
      <c r="S51" s="33" t="str">
        <f>IFERROR(MasterData!$G51,"")</f>
        <v/>
      </c>
      <c r="T51" s="33" t="str">
        <f>IFERROR(MasterData!$I51,"")</f>
        <v/>
      </c>
    </row>
    <row r="52" ht="21.75" customHeight="1">
      <c r="A52" s="61" t="s">
        <v>606</v>
      </c>
      <c r="B52" s="74" t="s">
        <v>607</v>
      </c>
      <c r="C52" s="13" t="s">
        <v>608</v>
      </c>
      <c r="D52" s="12" t="s">
        <v>158</v>
      </c>
      <c r="E52" s="61" t="s">
        <v>157</v>
      </c>
      <c r="F52" s="12" t="s">
        <v>117</v>
      </c>
      <c r="G52" s="12" t="s">
        <v>609</v>
      </c>
      <c r="H52" s="63" t="s">
        <v>15</v>
      </c>
      <c r="I52" s="63" t="s">
        <v>44</v>
      </c>
      <c r="J52" s="63" t="s">
        <v>19</v>
      </c>
      <c r="K52" s="64">
        <v>46107.0</v>
      </c>
      <c r="L52" s="65"/>
      <c r="M52" s="65"/>
      <c r="N52" s="66"/>
      <c r="O52" s="66"/>
      <c r="P52" s="33" t="str">
        <f>IFERROR(MasterData!$B52,"")</f>
        <v>Olive</v>
      </c>
      <c r="Q52" s="33" t="str">
        <f>IFERROR(MasterData!$C52,"")</f>
        <v>HR Manager</v>
      </c>
      <c r="R52" s="33" t="str">
        <f>IFERROR(MasterData!$E52,"")</f>
        <v/>
      </c>
      <c r="S52" s="33" t="str">
        <f>IFERROR(MasterData!$G52,"")</f>
        <v/>
      </c>
      <c r="T52" s="33" t="str">
        <f>IFERROR(MasterData!$I52,"")</f>
        <v/>
      </c>
    </row>
    <row r="53" ht="21.75" customHeight="1">
      <c r="A53" s="34" t="s">
        <v>610</v>
      </c>
      <c r="B53" s="75" t="s">
        <v>611</v>
      </c>
      <c r="C53" s="18" t="s">
        <v>612</v>
      </c>
      <c r="D53" s="18" t="s">
        <v>206</v>
      </c>
      <c r="E53" s="34" t="s">
        <v>205</v>
      </c>
      <c r="F53" s="18" t="s">
        <v>89</v>
      </c>
      <c r="G53" s="18" t="s">
        <v>613</v>
      </c>
      <c r="H53" s="42" t="s">
        <v>15</v>
      </c>
      <c r="I53" s="42" t="s">
        <v>78</v>
      </c>
      <c r="J53" s="42" t="s">
        <v>19</v>
      </c>
      <c r="K53" s="48">
        <v>46107.0</v>
      </c>
      <c r="L53" s="48">
        <v>46107.0</v>
      </c>
      <c r="M53" s="49"/>
      <c r="N53" s="18" t="s">
        <v>614</v>
      </c>
      <c r="O53" s="53"/>
      <c r="P53" s="33" t="str">
        <f>IFERROR(MasterData!$B53,"")</f>
        <v>PSL</v>
      </c>
      <c r="Q53" s="33" t="str">
        <f>IFERROR(MasterData!$C53,"")</f>
        <v>Head Baker</v>
      </c>
      <c r="R53" s="33" t="str">
        <f>IFERROR(MasterData!$E53,"")</f>
        <v/>
      </c>
      <c r="S53" s="33" t="str">
        <f>IFERROR(MasterData!$G53,"")</f>
        <v/>
      </c>
      <c r="T53" s="33" t="str">
        <f>IFERROR(MasterData!$I53,"")</f>
        <v/>
      </c>
    </row>
    <row r="54" ht="21.75" customHeight="1">
      <c r="A54" s="61" t="s">
        <v>615</v>
      </c>
      <c r="B54" s="75" t="s">
        <v>616</v>
      </c>
      <c r="C54" s="12" t="s">
        <v>617</v>
      </c>
      <c r="D54" s="12" t="s">
        <v>98</v>
      </c>
      <c r="E54" s="34" t="s">
        <v>208</v>
      </c>
      <c r="F54" s="12" t="s">
        <v>117</v>
      </c>
      <c r="G54" s="12" t="s">
        <v>490</v>
      </c>
      <c r="H54" s="63" t="s">
        <v>15</v>
      </c>
      <c r="I54" s="63" t="s">
        <v>78</v>
      </c>
      <c r="J54" s="63" t="s">
        <v>54</v>
      </c>
      <c r="K54" s="64">
        <v>46107.0</v>
      </c>
      <c r="L54" s="64">
        <v>46111.0</v>
      </c>
      <c r="M54" s="64">
        <v>46112.0</v>
      </c>
      <c r="N54" s="66"/>
      <c r="O54" s="66"/>
      <c r="P54" s="33" t="str">
        <f>IFERROR(MasterData!$B54,"")</f>
        <v>Pebble-Street</v>
      </c>
      <c r="Q54" s="33" t="str">
        <f>IFERROR(MasterData!$C54,"")</f>
        <v>Head Chef</v>
      </c>
      <c r="R54" s="33" t="str">
        <f>IFERROR(MasterData!$E54,"")</f>
        <v/>
      </c>
      <c r="S54" s="33" t="str">
        <f>IFERROR(MasterData!$G54,"")</f>
        <v/>
      </c>
      <c r="T54" s="33" t="str">
        <f>IFERROR(MasterData!$I54,"")</f>
        <v/>
      </c>
    </row>
    <row r="55" ht="21.75" customHeight="1">
      <c r="A55" s="34" t="s">
        <v>618</v>
      </c>
      <c r="B55" s="74" t="s">
        <v>619</v>
      </c>
      <c r="C55" s="76" t="s">
        <v>620</v>
      </c>
      <c r="D55" s="18" t="s">
        <v>48</v>
      </c>
      <c r="E55" s="34" t="s">
        <v>211</v>
      </c>
      <c r="F55" s="18" t="s">
        <v>147</v>
      </c>
      <c r="G55" s="18" t="s">
        <v>621</v>
      </c>
      <c r="H55" s="42" t="s">
        <v>15</v>
      </c>
      <c r="I55" s="42" t="s">
        <v>26</v>
      </c>
      <c r="J55" s="42" t="s">
        <v>54</v>
      </c>
      <c r="K55" s="48">
        <v>46107.0</v>
      </c>
      <c r="L55" s="48">
        <v>46129.0</v>
      </c>
      <c r="M55" s="48">
        <v>46132.0</v>
      </c>
      <c r="N55" s="53"/>
      <c r="O55" s="53"/>
      <c r="P55" s="33" t="str">
        <f>IFERROR(MasterData!$B55,"")</f>
        <v>Quetz</v>
      </c>
      <c r="Q55" s="33" t="str">
        <f>IFERROR(MasterData!$C55,"")</f>
        <v>Head GRE</v>
      </c>
      <c r="R55" s="33" t="str">
        <f>IFERROR(MasterData!$E55,"")</f>
        <v/>
      </c>
      <c r="S55" s="33" t="str">
        <f>IFERROR(MasterData!$G55,"")</f>
        <v/>
      </c>
      <c r="T55" s="33" t="str">
        <f>IFERROR(MasterData!$I55,"")</f>
        <v/>
      </c>
    </row>
    <row r="56" ht="21.75" customHeight="1">
      <c r="A56" s="34" t="s">
        <v>622</v>
      </c>
      <c r="B56" s="75"/>
      <c r="C56" s="12" t="s">
        <v>623</v>
      </c>
      <c r="D56" s="12" t="s">
        <v>286</v>
      </c>
      <c r="E56" s="34" t="s">
        <v>214</v>
      </c>
      <c r="F56" s="12" t="s">
        <v>207</v>
      </c>
      <c r="G56" s="12" t="s">
        <v>624</v>
      </c>
      <c r="H56" s="63" t="s">
        <v>89</v>
      </c>
      <c r="I56" s="63" t="s">
        <v>26</v>
      </c>
      <c r="J56" s="63" t="s">
        <v>37</v>
      </c>
      <c r="K56" s="64">
        <v>46107.0</v>
      </c>
      <c r="L56" s="64">
        <v>46107.0</v>
      </c>
      <c r="M56" s="64">
        <v>46111.0</v>
      </c>
      <c r="N56" s="12" t="s">
        <v>625</v>
      </c>
      <c r="O56" s="66"/>
      <c r="P56" s="33" t="str">
        <f>IFERROR(MasterData!$B56,"")</f>
        <v>Red turtle</v>
      </c>
      <c r="Q56" s="33" t="str">
        <f>IFERROR(MasterData!$C56,"")</f>
        <v>Hostess</v>
      </c>
      <c r="R56" s="33" t="str">
        <f>IFERROR(MasterData!$E56,"")</f>
        <v/>
      </c>
      <c r="S56" s="33" t="str">
        <f>IFERROR(MasterData!$G56,"")</f>
        <v/>
      </c>
      <c r="T56" s="33" t="str">
        <f>IFERROR(MasterData!$I56,"")</f>
        <v/>
      </c>
    </row>
    <row r="57" ht="21.75" customHeight="1">
      <c r="A57" s="34" t="s">
        <v>626</v>
      </c>
      <c r="B57" s="75"/>
      <c r="C57" s="18" t="s">
        <v>627</v>
      </c>
      <c r="D57" s="18" t="s">
        <v>122</v>
      </c>
      <c r="E57" s="34" t="s">
        <v>217</v>
      </c>
      <c r="F57" s="18" t="s">
        <v>162</v>
      </c>
      <c r="G57" s="18" t="s">
        <v>628</v>
      </c>
      <c r="H57" s="42" t="s">
        <v>15</v>
      </c>
      <c r="I57" s="42" t="s">
        <v>35</v>
      </c>
      <c r="J57" s="42" t="s">
        <v>37</v>
      </c>
      <c r="K57" s="48">
        <v>46107.0</v>
      </c>
      <c r="L57" s="48">
        <v>46110.0</v>
      </c>
      <c r="M57" s="48">
        <v>46110.0</v>
      </c>
      <c r="N57" s="53"/>
      <c r="O57" s="53"/>
      <c r="P57" s="33" t="str">
        <f>IFERROR(MasterData!$B57,"")</f>
        <v>Ritika &amp; Co.</v>
      </c>
      <c r="Q57" s="33" t="str">
        <f>IFERROR(MasterData!$C57,"")</f>
        <v>Junior Bartender</v>
      </c>
      <c r="R57" s="33" t="str">
        <f>IFERROR(MasterData!$E57,"")</f>
        <v/>
      </c>
      <c r="S57" s="33" t="str">
        <f>IFERROR(MasterData!$G57,"")</f>
        <v/>
      </c>
      <c r="T57" s="33" t="str">
        <f>IFERROR(MasterData!$I57,"")</f>
        <v/>
      </c>
    </row>
    <row r="58" ht="21.75" customHeight="1">
      <c r="A58" s="34" t="s">
        <v>629</v>
      </c>
      <c r="B58" s="74"/>
      <c r="C58" s="12" t="s">
        <v>630</v>
      </c>
      <c r="D58" s="12" t="s">
        <v>631</v>
      </c>
      <c r="E58" s="34" t="s">
        <v>220</v>
      </c>
      <c r="F58" s="12" t="s">
        <v>168</v>
      </c>
      <c r="G58" s="66"/>
      <c r="H58" s="63" t="s">
        <v>15</v>
      </c>
      <c r="I58" s="63" t="s">
        <v>53</v>
      </c>
      <c r="J58" s="63" t="s">
        <v>54</v>
      </c>
      <c r="K58" s="64">
        <v>46107.0</v>
      </c>
      <c r="L58" s="64">
        <v>46107.0</v>
      </c>
      <c r="M58" s="64">
        <v>46113.0</v>
      </c>
      <c r="N58" s="66"/>
      <c r="O58" s="12" t="s">
        <v>632</v>
      </c>
      <c r="P58" s="33" t="str">
        <f>IFERROR(MasterData!$B58,"")</f>
        <v>Scarlett House</v>
      </c>
      <c r="Q58" s="33" t="str">
        <f>IFERROR(MasterData!$C58,"")</f>
        <v>Junior Sous Chef</v>
      </c>
      <c r="R58" s="33" t="str">
        <f>IFERROR(MasterData!$E58,"")</f>
        <v/>
      </c>
      <c r="S58" s="33" t="str">
        <f>IFERROR(MasterData!$G58,"")</f>
        <v/>
      </c>
      <c r="T58" s="33" t="str">
        <f>IFERROR(MasterData!$I58,"")</f>
        <v/>
      </c>
    </row>
    <row r="59" ht="21.75" customHeight="1">
      <c r="A59" s="34" t="s">
        <v>633</v>
      </c>
      <c r="B59" s="75"/>
      <c r="C59" s="18" t="s">
        <v>634</v>
      </c>
      <c r="D59" s="18" t="s">
        <v>280</v>
      </c>
      <c r="E59" s="34" t="s">
        <v>223</v>
      </c>
      <c r="F59" s="18" t="s">
        <v>302</v>
      </c>
      <c r="G59" s="18" t="s">
        <v>635</v>
      </c>
      <c r="H59" s="42" t="s">
        <v>15</v>
      </c>
      <c r="I59" s="42" t="s">
        <v>78</v>
      </c>
      <c r="J59" s="42" t="s">
        <v>54</v>
      </c>
      <c r="K59" s="48">
        <v>46107.0</v>
      </c>
      <c r="L59" s="48">
        <v>46107.0</v>
      </c>
      <c r="M59" s="48">
        <v>46122.0</v>
      </c>
      <c r="N59" s="53"/>
      <c r="O59" s="53"/>
      <c r="P59" s="33" t="str">
        <f>IFERROR(MasterData!$B59,"")</f>
        <v>Shalimar</v>
      </c>
      <c r="Q59" s="33" t="str">
        <f>IFERROR(MasterData!$C59,"")</f>
        <v>Kitchen Helper</v>
      </c>
      <c r="R59" s="33" t="str">
        <f>IFERROR(MasterData!$E59,"")</f>
        <v/>
      </c>
      <c r="S59" s="33" t="str">
        <f>IFERROR(MasterData!$G59,"")</f>
        <v/>
      </c>
      <c r="T59" s="33" t="str">
        <f>IFERROR(MasterData!$I59,"")</f>
        <v/>
      </c>
    </row>
    <row r="60" ht="21.75" customHeight="1">
      <c r="A60" s="34" t="s">
        <v>636</v>
      </c>
      <c r="B60" s="74"/>
      <c r="C60" s="12" t="s">
        <v>637</v>
      </c>
      <c r="D60" s="12" t="s">
        <v>286</v>
      </c>
      <c r="E60" s="34" t="s">
        <v>226</v>
      </c>
      <c r="F60" s="12" t="s">
        <v>117</v>
      </c>
      <c r="G60" s="12" t="s">
        <v>638</v>
      </c>
      <c r="H60" s="63" t="s">
        <v>89</v>
      </c>
      <c r="I60" s="63" t="s">
        <v>72</v>
      </c>
      <c r="J60" s="63" t="s">
        <v>37</v>
      </c>
      <c r="K60" s="64">
        <v>46107.0</v>
      </c>
      <c r="L60" s="64">
        <v>46102.0</v>
      </c>
      <c r="M60" s="64">
        <v>46102.0</v>
      </c>
      <c r="N60" s="12" t="s">
        <v>639</v>
      </c>
      <c r="O60" s="66"/>
      <c r="P60" s="33" t="str">
        <f>IFERROR(MasterData!$B60,"")</f>
        <v>Shalimar Hotel</v>
      </c>
      <c r="Q60" s="33" t="str">
        <f>IFERROR(MasterData!$C60,"")</f>
        <v>Kitchen Supervisor</v>
      </c>
      <c r="R60" s="33" t="str">
        <f>IFERROR(MasterData!$E60,"")</f>
        <v/>
      </c>
      <c r="S60" s="33" t="str">
        <f>IFERROR(MasterData!$G60,"")</f>
        <v/>
      </c>
      <c r="T60" s="33" t="str">
        <f>IFERROR(MasterData!$I60,"")</f>
        <v/>
      </c>
    </row>
    <row r="61" ht="21.75" customHeight="1">
      <c r="A61" s="75" t="s">
        <v>640</v>
      </c>
      <c r="B61" s="58"/>
      <c r="C61" s="18" t="s">
        <v>641</v>
      </c>
      <c r="D61" s="18" t="s">
        <v>293</v>
      </c>
      <c r="E61" s="34" t="s">
        <v>229</v>
      </c>
      <c r="F61" s="18" t="s">
        <v>102</v>
      </c>
      <c r="G61" s="18" t="s">
        <v>642</v>
      </c>
      <c r="H61" s="42" t="s">
        <v>15</v>
      </c>
      <c r="I61" s="42" t="s">
        <v>60</v>
      </c>
      <c r="J61" s="42" t="s">
        <v>54</v>
      </c>
      <c r="K61" s="48">
        <v>46107.0</v>
      </c>
      <c r="L61" s="48">
        <v>46146.0</v>
      </c>
      <c r="M61" s="48">
        <v>46150.0</v>
      </c>
      <c r="N61" s="53"/>
      <c r="O61" s="18" t="s">
        <v>643</v>
      </c>
      <c r="P61" s="33" t="str">
        <f>IFERROR(MasterData!$B61,"")</f>
        <v>Silver Train</v>
      </c>
      <c r="Q61" s="33" t="str">
        <f>IFERROR(MasterData!$C61,"")</f>
        <v>L&amp;D</v>
      </c>
      <c r="R61" s="33" t="str">
        <f>IFERROR(MasterData!$E61,"")</f>
        <v/>
      </c>
      <c r="S61" s="33" t="str">
        <f>IFERROR(MasterData!$G61,"")</f>
        <v/>
      </c>
      <c r="T61" s="33" t="str">
        <f>IFERROR(MasterData!$I61,"")</f>
        <v/>
      </c>
    </row>
    <row r="62" ht="21.75" customHeight="1">
      <c r="A62" s="61" t="s">
        <v>644</v>
      </c>
      <c r="B62" s="67"/>
      <c r="C62" s="12" t="s">
        <v>645</v>
      </c>
      <c r="D62" s="12" t="s">
        <v>134</v>
      </c>
      <c r="E62" s="34" t="s">
        <v>232</v>
      </c>
      <c r="F62" s="12" t="s">
        <v>306</v>
      </c>
      <c r="G62" s="12" t="s">
        <v>646</v>
      </c>
      <c r="H62" s="63" t="s">
        <v>15</v>
      </c>
      <c r="I62" s="63" t="s">
        <v>78</v>
      </c>
      <c r="J62" s="63" t="s">
        <v>37</v>
      </c>
      <c r="K62" s="48">
        <v>46107.0</v>
      </c>
      <c r="L62" s="64">
        <v>46101.0</v>
      </c>
      <c r="M62" s="64">
        <v>46101.0</v>
      </c>
      <c r="N62" s="66"/>
      <c r="O62" s="66"/>
      <c r="P62" s="33" t="str">
        <f>IFERROR(MasterData!$B62,"")</f>
        <v>Sivako</v>
      </c>
      <c r="Q62" s="33" t="str">
        <f>IFERROR(MasterData!$C62,"")</f>
        <v>Marketing Manager</v>
      </c>
      <c r="R62" s="33" t="str">
        <f>IFERROR(MasterData!$E62,"")</f>
        <v/>
      </c>
      <c r="S62" s="33" t="str">
        <f>IFERROR(MasterData!$G62,"")</f>
        <v/>
      </c>
      <c r="T62" s="33" t="str">
        <f>IFERROR(MasterData!$I62,"")</f>
        <v/>
      </c>
    </row>
    <row r="63" ht="21.75" customHeight="1">
      <c r="A63" s="75" t="s">
        <v>647</v>
      </c>
      <c r="B63" s="77"/>
      <c r="C63" s="18" t="s">
        <v>648</v>
      </c>
      <c r="D63" s="18" t="s">
        <v>649</v>
      </c>
      <c r="E63" s="34" t="s">
        <v>235</v>
      </c>
      <c r="F63" s="18" t="s">
        <v>192</v>
      </c>
      <c r="G63" s="18" t="s">
        <v>650</v>
      </c>
      <c r="H63" s="42" t="s">
        <v>59</v>
      </c>
      <c r="I63" s="42" t="s">
        <v>17</v>
      </c>
      <c r="J63" s="42" t="s">
        <v>19</v>
      </c>
      <c r="K63" s="54">
        <v>46108.0</v>
      </c>
      <c r="L63" s="49"/>
      <c r="M63" s="49"/>
      <c r="N63" s="53"/>
      <c r="O63" s="53"/>
      <c r="P63" s="33" t="str">
        <f>IFERROR(MasterData!$B63,"")</f>
        <v>Slink and Bardot</v>
      </c>
      <c r="Q63" s="33" t="str">
        <f>IFERROR(MasterData!$C63,"")</f>
        <v>Mixologist</v>
      </c>
      <c r="R63" s="33" t="str">
        <f>IFERROR(MasterData!$E63,"")</f>
        <v/>
      </c>
      <c r="S63" s="33" t="str">
        <f>IFERROR(MasterData!$G63,"")</f>
        <v/>
      </c>
      <c r="T63" s="33" t="str">
        <f>IFERROR(MasterData!$I63,"")</f>
        <v/>
      </c>
    </row>
    <row r="64" ht="21.75" customHeight="1">
      <c r="A64" s="61" t="s">
        <v>651</v>
      </c>
      <c r="B64" s="67"/>
      <c r="C64" s="12" t="s">
        <v>652</v>
      </c>
      <c r="D64" s="12" t="s">
        <v>98</v>
      </c>
      <c r="E64" s="34" t="s">
        <v>238</v>
      </c>
      <c r="F64" s="12" t="s">
        <v>129</v>
      </c>
      <c r="G64" s="12" t="s">
        <v>653</v>
      </c>
      <c r="H64" s="63" t="s">
        <v>15</v>
      </c>
      <c r="I64" s="63" t="s">
        <v>44</v>
      </c>
      <c r="J64" s="63" t="s">
        <v>54</v>
      </c>
      <c r="K64" s="64">
        <v>46108.0</v>
      </c>
      <c r="L64" s="64">
        <v>46112.0</v>
      </c>
      <c r="M64" s="64">
        <v>46113.0</v>
      </c>
      <c r="N64" s="66"/>
      <c r="O64" s="66"/>
      <c r="P64" s="33" t="str">
        <f>IFERROR(MasterData!$B64,"")</f>
        <v>Speciality</v>
      </c>
      <c r="Q64" s="33" t="str">
        <f>IFERROR(MasterData!$C64,"")</f>
        <v>OTA</v>
      </c>
      <c r="R64" s="33" t="str">
        <f>IFERROR(MasterData!$E64,"")</f>
        <v/>
      </c>
      <c r="S64" s="33" t="str">
        <f>IFERROR(MasterData!$G64,"")</f>
        <v/>
      </c>
      <c r="T64" s="33" t="str">
        <f>IFERROR(MasterData!$I64,"")</f>
        <v/>
      </c>
    </row>
    <row r="65" ht="21.75" customHeight="1">
      <c r="A65" s="75" t="s">
        <v>654</v>
      </c>
      <c r="B65" s="58"/>
      <c r="C65" s="78" t="s">
        <v>655</v>
      </c>
      <c r="D65" s="18" t="s">
        <v>239</v>
      </c>
      <c r="E65" s="34" t="s">
        <v>241</v>
      </c>
      <c r="F65" s="18" t="s">
        <v>117</v>
      </c>
      <c r="G65" s="18" t="s">
        <v>490</v>
      </c>
      <c r="H65" s="42" t="s">
        <v>89</v>
      </c>
      <c r="I65" s="42" t="s">
        <v>78</v>
      </c>
      <c r="J65" s="42" t="s">
        <v>54</v>
      </c>
      <c r="K65" s="54">
        <v>46108.0</v>
      </c>
      <c r="L65" s="54">
        <v>46119.0</v>
      </c>
      <c r="M65" s="54">
        <v>46119.0</v>
      </c>
      <c r="N65" s="53"/>
      <c r="O65" s="53"/>
      <c r="P65" s="33" t="str">
        <f>IFERROR(MasterData!$B65,"")</f>
        <v>Splendour</v>
      </c>
      <c r="Q65" s="33" t="str">
        <f>IFERROR(MasterData!$C65,"")</f>
        <v>Operations Head</v>
      </c>
      <c r="R65" s="33" t="str">
        <f>IFERROR(MasterData!$E65,"")</f>
        <v/>
      </c>
      <c r="S65" s="33" t="str">
        <f>IFERROR(MasterData!$G65,"")</f>
        <v/>
      </c>
      <c r="T65" s="33" t="str">
        <f>IFERROR(MasterData!$I65,"")</f>
        <v/>
      </c>
    </row>
    <row r="66" ht="21.75" customHeight="1">
      <c r="A66" s="61" t="s">
        <v>656</v>
      </c>
      <c r="B66" s="79" t="str">
        <f>IF(C66="","","CAN-"&amp;TEXT(66,"000"))</f>
        <v>CAN-066</v>
      </c>
      <c r="C66" s="80" t="s">
        <v>657</v>
      </c>
      <c r="D66" s="12" t="s">
        <v>173</v>
      </c>
      <c r="E66" s="34" t="s">
        <v>244</v>
      </c>
      <c r="F66" s="12" t="s">
        <v>135</v>
      </c>
      <c r="G66" s="12" t="s">
        <v>658</v>
      </c>
      <c r="H66" s="63" t="s">
        <v>15</v>
      </c>
      <c r="I66" s="63" t="s">
        <v>44</v>
      </c>
      <c r="J66" s="63" t="s">
        <v>54</v>
      </c>
      <c r="K66" s="64">
        <v>46108.0</v>
      </c>
      <c r="L66" s="64">
        <v>46111.0</v>
      </c>
      <c r="M66" s="64">
        <v>46113.0</v>
      </c>
      <c r="N66" s="66"/>
      <c r="O66" s="66"/>
      <c r="P66" s="33" t="str">
        <f>IFERROR(MasterData!$B66,"")</f>
        <v>TAB</v>
      </c>
      <c r="Q66" s="33" t="str">
        <f>IFERROR(MasterData!$C66,"")</f>
        <v>Operations Manager</v>
      </c>
      <c r="R66" s="33" t="str">
        <f>IFERROR(MasterData!$E66,"")</f>
        <v/>
      </c>
      <c r="S66" s="33" t="str">
        <f>IFERROR(MasterData!$G66,"")</f>
        <v/>
      </c>
      <c r="T66" s="33" t="str">
        <f>IFERROR(MasterData!$I66,"")</f>
        <v/>
      </c>
    </row>
    <row r="67" ht="21.75" customHeight="1">
      <c r="A67" s="75" t="s">
        <v>659</v>
      </c>
      <c r="B67" s="58"/>
      <c r="C67" s="78" t="s">
        <v>660</v>
      </c>
      <c r="D67" s="18" t="s">
        <v>48</v>
      </c>
      <c r="E67" s="34" t="s">
        <v>247</v>
      </c>
      <c r="F67" s="18" t="s">
        <v>306</v>
      </c>
      <c r="G67" s="18" t="s">
        <v>490</v>
      </c>
      <c r="H67" s="42" t="s">
        <v>15</v>
      </c>
      <c r="I67" s="42" t="s">
        <v>53</v>
      </c>
      <c r="J67" s="42" t="s">
        <v>54</v>
      </c>
      <c r="K67" s="54">
        <v>46108.0</v>
      </c>
      <c r="L67" s="54">
        <v>46114.0</v>
      </c>
      <c r="M67" s="54">
        <v>46115.0</v>
      </c>
      <c r="N67" s="53"/>
      <c r="O67" s="18" t="s">
        <v>661</v>
      </c>
      <c r="P67" s="33" t="str">
        <f>IFERROR(MasterData!$B67,"")</f>
        <v>TAT</v>
      </c>
      <c r="Q67" s="33" t="str">
        <f>IFERROR(MasterData!$C67,"")</f>
        <v>Other</v>
      </c>
      <c r="R67" s="33" t="str">
        <f>IFERROR(MasterData!$E67,"")</f>
        <v/>
      </c>
      <c r="S67" s="33" t="str">
        <f>IFERROR(MasterData!$G67,"")</f>
        <v/>
      </c>
      <c r="T67" s="33" t="str">
        <f>IFERROR(MasterData!$I67,"")</f>
        <v/>
      </c>
    </row>
    <row r="68" ht="21.75" customHeight="1">
      <c r="A68" s="74" t="s">
        <v>662</v>
      </c>
      <c r="B68" s="81" t="str">
        <f>IF(C68="","","CAN-"&amp;TEXT(78,"000"))</f>
        <v>CAN-078</v>
      </c>
      <c r="C68" s="13" t="s">
        <v>663</v>
      </c>
      <c r="D68" s="13" t="s">
        <v>101</v>
      </c>
      <c r="E68" s="82" t="s">
        <v>100</v>
      </c>
      <c r="F68" s="13" t="s">
        <v>102</v>
      </c>
      <c r="G68" s="13" t="s">
        <v>664</v>
      </c>
      <c r="H68" s="44" t="s">
        <v>33</v>
      </c>
      <c r="I68" s="44" t="s">
        <v>26</v>
      </c>
      <c r="J68" s="44" t="s">
        <v>19</v>
      </c>
      <c r="K68" s="50">
        <v>46110.0</v>
      </c>
      <c r="L68" s="51"/>
      <c r="M68" s="65"/>
      <c r="N68" s="66"/>
      <c r="O68" s="66"/>
      <c r="P68" s="33" t="str">
        <f>IFERROR(MasterData!$B68,"")</f>
        <v>The Hummingtree</v>
      </c>
      <c r="Q68" s="33" t="str">
        <f>IFERROR(MasterData!$C68,"")</f>
        <v>Outlet Manager</v>
      </c>
      <c r="R68" s="33" t="str">
        <f>IFERROR(MasterData!$E68,"")</f>
        <v/>
      </c>
      <c r="S68" s="33" t="str">
        <f>IFERROR(MasterData!$G68,"")</f>
        <v/>
      </c>
      <c r="T68" s="33" t="str">
        <f>IFERROR(MasterData!$I68,"")</f>
        <v/>
      </c>
    </row>
    <row r="69" ht="21.75" customHeight="1">
      <c r="A69" s="75" t="s">
        <v>665</v>
      </c>
      <c r="B69" s="77" t="str">
        <f>IF(C69="","","CAN-"&amp;TEXT(79,"000"))</f>
        <v>CAN-079</v>
      </c>
      <c r="C69" s="18" t="s">
        <v>666</v>
      </c>
      <c r="D69" s="18" t="s">
        <v>101</v>
      </c>
      <c r="E69" s="83" t="s">
        <v>100</v>
      </c>
      <c r="F69" s="18" t="s">
        <v>296</v>
      </c>
      <c r="G69" s="18" t="s">
        <v>667</v>
      </c>
      <c r="H69" s="42" t="s">
        <v>33</v>
      </c>
      <c r="I69" s="42" t="s">
        <v>17</v>
      </c>
      <c r="J69" s="42" t="s">
        <v>19</v>
      </c>
      <c r="K69" s="48">
        <v>46110.0</v>
      </c>
      <c r="L69" s="49"/>
      <c r="M69" s="49"/>
      <c r="N69" s="53"/>
      <c r="O69" s="53"/>
      <c r="P69" s="33" t="str">
        <f>IFERROR(MasterData!$B69,"")</f>
        <v>The Kin Hotel</v>
      </c>
      <c r="Q69" s="33" t="str">
        <f>IFERROR(MasterData!$C69,"")</f>
        <v>Outlet Supervisor</v>
      </c>
      <c r="R69" s="33" t="str">
        <f>IFERROR(MasterData!$E69,"")</f>
        <v/>
      </c>
      <c r="S69" s="33" t="str">
        <f>IFERROR(MasterData!$G69,"")</f>
        <v/>
      </c>
      <c r="T69" s="33" t="str">
        <f>IFERROR(MasterData!$I69,"")</f>
        <v/>
      </c>
    </row>
    <row r="70" ht="21.75" customHeight="1">
      <c r="A70" s="74" t="s">
        <v>668</v>
      </c>
      <c r="B70" s="81" t="str">
        <f>IF(C70="","","CAN-"&amp;TEXT(80,"000"))</f>
        <v>CAN-080</v>
      </c>
      <c r="C70" s="13" t="s">
        <v>669</v>
      </c>
      <c r="D70" s="13" t="s">
        <v>101</v>
      </c>
      <c r="E70" s="82" t="s">
        <v>100</v>
      </c>
      <c r="F70" s="13" t="s">
        <v>117</v>
      </c>
      <c r="G70" s="12" t="s">
        <v>670</v>
      </c>
      <c r="H70" s="63" t="s">
        <v>33</v>
      </c>
      <c r="I70" s="63" t="s">
        <v>17</v>
      </c>
      <c r="J70" s="63" t="s">
        <v>19</v>
      </c>
      <c r="K70" s="64">
        <v>46110.0</v>
      </c>
      <c r="L70" s="65"/>
      <c r="M70" s="65"/>
      <c r="N70" s="66"/>
      <c r="O70" s="66"/>
      <c r="P70" s="33" t="str">
        <f>IFERROR(MasterData!$B70,"")</f>
        <v>The Nest</v>
      </c>
      <c r="Q70" s="33" t="str">
        <f>IFERROR(MasterData!$C70,"")</f>
        <v>PR</v>
      </c>
      <c r="R70" s="33" t="str">
        <f>IFERROR(MasterData!$E70,"")</f>
        <v/>
      </c>
      <c r="S70" s="33" t="str">
        <f>IFERROR(MasterData!$G70,"")</f>
        <v/>
      </c>
      <c r="T70" s="33" t="str">
        <f>IFERROR(MasterData!$I70,"")</f>
        <v/>
      </c>
    </row>
    <row r="71" ht="21.75" customHeight="1">
      <c r="A71" s="75" t="s">
        <v>671</v>
      </c>
      <c r="B71" s="77" t="str">
        <f>IF(C71="","","CAN-"&amp;TEXT(81,"000"))</f>
        <v>CAN-081</v>
      </c>
      <c r="C71" s="18" t="s">
        <v>672</v>
      </c>
      <c r="D71" s="18" t="s">
        <v>12</v>
      </c>
      <c r="E71" s="83" t="s">
        <v>169</v>
      </c>
      <c r="F71" s="18" t="s">
        <v>129</v>
      </c>
      <c r="G71" s="18" t="s">
        <v>673</v>
      </c>
      <c r="H71" s="42" t="s">
        <v>15</v>
      </c>
      <c r="I71" s="42" t="s">
        <v>72</v>
      </c>
      <c r="J71" s="42" t="s">
        <v>19</v>
      </c>
      <c r="K71" s="48">
        <v>46110.0</v>
      </c>
      <c r="L71" s="49"/>
      <c r="M71" s="49"/>
      <c r="N71" s="53"/>
      <c r="O71" s="53"/>
      <c r="P71" s="33" t="str">
        <f>IFERROR(MasterData!$B71,"")</f>
        <v>The Ranch</v>
      </c>
      <c r="Q71" s="33" t="str">
        <f>IFERROR(MasterData!$C71,"")</f>
        <v>PR Executive</v>
      </c>
      <c r="R71" s="33" t="str">
        <f>IFERROR(MasterData!$E71,"")</f>
        <v/>
      </c>
      <c r="S71" s="33" t="str">
        <f>IFERROR(MasterData!$G71,"")</f>
        <v/>
      </c>
      <c r="T71" s="33" t="str">
        <f>IFERROR(MasterData!$I71,"")</f>
        <v/>
      </c>
    </row>
    <row r="72" ht="21.75" customHeight="1">
      <c r="A72" s="74" t="s">
        <v>674</v>
      </c>
      <c r="B72" s="81" t="str">
        <f>IF(C72="","","CAN-"&amp;TEXT(82,"000"))</f>
        <v>CAN-082</v>
      </c>
      <c r="C72" s="12" t="s">
        <v>675</v>
      </c>
      <c r="D72" s="12" t="s">
        <v>149</v>
      </c>
      <c r="E72" s="82" t="s">
        <v>148</v>
      </c>
      <c r="F72" s="12" t="s">
        <v>117</v>
      </c>
      <c r="G72" s="12" t="s">
        <v>676</v>
      </c>
      <c r="H72" s="63" t="s">
        <v>15</v>
      </c>
      <c r="I72" s="63" t="s">
        <v>17</v>
      </c>
      <c r="J72" s="63" t="s">
        <v>19</v>
      </c>
      <c r="K72" s="64">
        <v>46110.0</v>
      </c>
      <c r="L72" s="65"/>
      <c r="M72" s="65"/>
      <c r="N72" s="66"/>
      <c r="O72" s="66"/>
      <c r="P72" s="33" t="str">
        <f>IFERROR(MasterData!$B72,"")</f>
        <v>Tropicool</v>
      </c>
      <c r="Q72" s="33" t="str">
        <f>IFERROR(MasterData!$C72,"")</f>
        <v>Packaging Assistant</v>
      </c>
      <c r="R72" s="33" t="str">
        <f>IFERROR(MasterData!$E72,"")</f>
        <v/>
      </c>
      <c r="S72" s="33" t="str">
        <f>IFERROR(MasterData!$G72,"")</f>
        <v/>
      </c>
      <c r="T72" s="33" t="str">
        <f>IFERROR(MasterData!$I72,"")</f>
        <v/>
      </c>
    </row>
    <row r="73" ht="21.75" customHeight="1">
      <c r="A73" s="61" t="s">
        <v>677</v>
      </c>
      <c r="B73" s="84" t="str">
        <f>IF(C73="","","CAN-"&amp;TEXT(83,"000"))</f>
        <v>CAN-083</v>
      </c>
      <c r="C73" s="18" t="s">
        <v>678</v>
      </c>
      <c r="D73" s="18" t="s">
        <v>286</v>
      </c>
      <c r="E73" s="22" t="s">
        <v>285</v>
      </c>
      <c r="F73" s="18" t="s">
        <v>75</v>
      </c>
      <c r="G73" s="18" t="s">
        <v>679</v>
      </c>
      <c r="H73" s="42" t="s">
        <v>59</v>
      </c>
      <c r="I73" s="42" t="s">
        <v>26</v>
      </c>
      <c r="J73" s="42" t="s">
        <v>37</v>
      </c>
      <c r="K73" s="48">
        <v>46111.0</v>
      </c>
      <c r="L73" s="48">
        <v>46111.0</v>
      </c>
      <c r="M73" s="48">
        <v>46111.0</v>
      </c>
      <c r="N73" s="53"/>
      <c r="O73" s="53"/>
      <c r="P73" s="33" t="str">
        <f>IFERROR(MasterData!$B73,"")</f>
        <v>True palate</v>
      </c>
      <c r="Q73" s="33" t="str">
        <f>IFERROR(MasterData!$C73,"")</f>
        <v>Payroll</v>
      </c>
      <c r="R73" s="33" t="str">
        <f>IFERROR(MasterData!$E73,"")</f>
        <v/>
      </c>
      <c r="S73" s="33" t="str">
        <f>IFERROR(MasterData!$G73,"")</f>
        <v/>
      </c>
      <c r="T73" s="33" t="str">
        <f>IFERROR(MasterData!$I73,"")</f>
        <v/>
      </c>
    </row>
    <row r="74" ht="21.75" customHeight="1">
      <c r="A74" s="75" t="s">
        <v>680</v>
      </c>
      <c r="B74" s="79" t="str">
        <f>IF(C74="","","CAN-"&amp;TEXT(84,"000"))</f>
        <v>CAN-084</v>
      </c>
      <c r="C74" s="12" t="s">
        <v>681</v>
      </c>
      <c r="D74" s="12" t="s">
        <v>286</v>
      </c>
      <c r="E74" s="22" t="s">
        <v>285</v>
      </c>
      <c r="F74" s="12" t="s">
        <v>102</v>
      </c>
      <c r="G74" s="12" t="s">
        <v>682</v>
      </c>
      <c r="H74" s="63" t="s">
        <v>59</v>
      </c>
      <c r="I74" s="63" t="s">
        <v>35</v>
      </c>
      <c r="J74" s="63" t="s">
        <v>37</v>
      </c>
      <c r="K74" s="64">
        <v>46111.0</v>
      </c>
      <c r="L74" s="64">
        <v>46111.0</v>
      </c>
      <c r="M74" s="64">
        <v>46111.0</v>
      </c>
      <c r="N74" s="66"/>
      <c r="O74" s="66"/>
      <c r="P74" s="33" t="str">
        <f>IFERROR(MasterData!$B74,"")</f>
        <v>UGIPL</v>
      </c>
      <c r="Q74" s="33" t="str">
        <f>IFERROR(MasterData!$C74,"")</f>
        <v>Purchase</v>
      </c>
      <c r="R74" s="33" t="str">
        <f>IFERROR(MasterData!$E74,"")</f>
        <v/>
      </c>
      <c r="S74" s="33" t="str">
        <f>IFERROR(MasterData!$G74,"")</f>
        <v/>
      </c>
      <c r="T74" s="33" t="str">
        <f>IFERROR(MasterData!$I74,"")</f>
        <v/>
      </c>
    </row>
    <row r="75" ht="21.75" customHeight="1">
      <c r="A75" s="61" t="s">
        <v>683</v>
      </c>
      <c r="B75" s="42" t="s">
        <v>684</v>
      </c>
      <c r="C75" s="18" t="s">
        <v>685</v>
      </c>
      <c r="D75" s="18" t="s">
        <v>286</v>
      </c>
      <c r="E75" s="22" t="s">
        <v>285</v>
      </c>
      <c r="F75" s="18" t="s">
        <v>300</v>
      </c>
      <c r="G75" s="18" t="s">
        <v>686</v>
      </c>
      <c r="H75" s="42" t="s">
        <v>24</v>
      </c>
      <c r="I75" s="42" t="s">
        <v>26</v>
      </c>
      <c r="J75" s="42" t="s">
        <v>37</v>
      </c>
      <c r="K75" s="48">
        <v>46111.0</v>
      </c>
      <c r="L75" s="48">
        <v>46111.0</v>
      </c>
      <c r="M75" s="48">
        <v>46111.0</v>
      </c>
      <c r="N75" s="53"/>
      <c r="O75" s="53"/>
      <c r="P75" s="33" t="str">
        <f>IFERROR(MasterData!$B75,"")</f>
        <v>Zima</v>
      </c>
      <c r="Q75" s="33" t="str">
        <f>IFERROR(MasterData!$C75,"")</f>
        <v>QC</v>
      </c>
      <c r="R75" s="33" t="str">
        <f>IFERROR(MasterData!$E75,"")</f>
        <v/>
      </c>
      <c r="S75" s="33" t="str">
        <f>IFERROR(MasterData!$G75,"")</f>
        <v/>
      </c>
      <c r="T75" s="33" t="str">
        <f>IFERROR(MasterData!$I75,"")</f>
        <v/>
      </c>
    </row>
    <row r="76" ht="21.75" customHeight="1">
      <c r="A76" s="61" t="s">
        <v>687</v>
      </c>
      <c r="B76" s="84" t="str">
        <f>IF(C76="","","CAN-"&amp;TEXT(89,"000"))</f>
        <v>CAN-089</v>
      </c>
      <c r="C76" s="85" t="s">
        <v>688</v>
      </c>
      <c r="D76" s="12" t="s">
        <v>48</v>
      </c>
      <c r="E76" s="68"/>
      <c r="F76" s="12" t="s">
        <v>198</v>
      </c>
      <c r="G76" s="12" t="s">
        <v>490</v>
      </c>
      <c r="H76" s="63" t="s">
        <v>15</v>
      </c>
      <c r="I76" s="63" t="s">
        <v>60</v>
      </c>
      <c r="J76" s="63" t="s">
        <v>54</v>
      </c>
      <c r="K76" s="64">
        <v>46111.0</v>
      </c>
      <c r="L76" s="64">
        <v>46120.0</v>
      </c>
      <c r="M76" s="64">
        <v>46121.0</v>
      </c>
      <c r="N76" s="66"/>
      <c r="O76" s="12" t="s">
        <v>689</v>
      </c>
      <c r="P76" s="33" t="str">
        <f>IFERROR(MasterData!$B76,"")</f>
        <v>HNH Salad</v>
      </c>
      <c r="Q76" s="33" t="str">
        <f>IFERROR(MasterData!$C76,"")</f>
        <v>RM</v>
      </c>
      <c r="R76" s="33" t="str">
        <f>IFERROR(MasterData!$E76,"")</f>
        <v/>
      </c>
      <c r="S76" s="33" t="str">
        <f>IFERROR(MasterData!$G76,"")</f>
        <v/>
      </c>
      <c r="T76" s="33" t="str">
        <f>IFERROR(MasterData!$I76,"")</f>
        <v/>
      </c>
    </row>
    <row r="77" ht="21.75" customHeight="1">
      <c r="A77" s="61" t="s">
        <v>690</v>
      </c>
      <c r="B77" s="84" t="str">
        <f>IF(C77="","","CAN-"&amp;TEXT(91,"000"))</f>
        <v>CAN-091</v>
      </c>
      <c r="C77" s="18" t="s">
        <v>691</v>
      </c>
      <c r="D77" s="18" t="s">
        <v>280</v>
      </c>
      <c r="E77" s="56"/>
      <c r="F77" s="18" t="s">
        <v>198</v>
      </c>
      <c r="G77" s="18" t="s">
        <v>692</v>
      </c>
      <c r="H77" s="42" t="s">
        <v>15</v>
      </c>
      <c r="I77" s="42" t="s">
        <v>53</v>
      </c>
      <c r="J77" s="42" t="s">
        <v>54</v>
      </c>
      <c r="K77" s="48">
        <v>46111.0</v>
      </c>
      <c r="L77" s="48">
        <v>46119.0</v>
      </c>
      <c r="M77" s="48">
        <v>46120.0</v>
      </c>
      <c r="N77" s="53"/>
      <c r="O77" s="18" t="s">
        <v>693</v>
      </c>
      <c r="P77" s="33" t="str">
        <f>IFERROR(MasterData!$B77,"")</f>
        <v>Apero by Malvika</v>
      </c>
      <c r="Q77" s="33" t="str">
        <f>IFERROR(MasterData!$C77,"")</f>
        <v>Receptionist</v>
      </c>
      <c r="R77" s="33" t="str">
        <f>IFERROR(MasterData!$E77,"")</f>
        <v/>
      </c>
      <c r="S77" s="33" t="str">
        <f>IFERROR(MasterData!$G77,"")</f>
        <v/>
      </c>
      <c r="T77" s="33" t="str">
        <f>IFERROR(MasterData!$I77,"")</f>
        <v/>
      </c>
    </row>
    <row r="78" ht="21.75" customHeight="1">
      <c r="A78" s="68"/>
      <c r="B78" s="67"/>
      <c r="C78" s="12" t="s">
        <v>694</v>
      </c>
      <c r="D78" s="12" t="s">
        <v>173</v>
      </c>
      <c r="E78" s="68"/>
      <c r="F78" s="12" t="s">
        <v>129</v>
      </c>
      <c r="G78" s="12" t="s">
        <v>490</v>
      </c>
      <c r="H78" s="63" t="s">
        <v>15</v>
      </c>
      <c r="I78" s="63" t="s">
        <v>53</v>
      </c>
      <c r="J78" s="63" t="s">
        <v>46</v>
      </c>
      <c r="K78" s="64">
        <v>46111.0</v>
      </c>
      <c r="L78" s="65"/>
      <c r="M78" s="65"/>
      <c r="N78" s="66"/>
      <c r="O78" s="66"/>
      <c r="P78" s="33" t="str">
        <f>IFERROR(MasterData!$B78,"")</f>
        <v>Bastian</v>
      </c>
      <c r="Q78" s="33" t="str">
        <f>IFERROR(MasterData!$C78,"")</f>
        <v>Room Sales</v>
      </c>
      <c r="R78" s="33" t="str">
        <f>IFERROR(MasterData!$E78,"")</f>
        <v/>
      </c>
      <c r="S78" s="33" t="str">
        <f>IFERROR(MasterData!$G78,"")</f>
        <v/>
      </c>
      <c r="T78" s="33" t="str">
        <f>IFERROR(MasterData!$I78,"")</f>
        <v/>
      </c>
    </row>
    <row r="79" ht="21.75" customHeight="1">
      <c r="A79" s="56"/>
      <c r="B79" s="58"/>
      <c r="C79" s="18" t="s">
        <v>695</v>
      </c>
      <c r="D79" s="18" t="s">
        <v>98</v>
      </c>
      <c r="E79" s="56"/>
      <c r="F79" s="18" t="s">
        <v>186</v>
      </c>
      <c r="G79" s="18" t="s">
        <v>490</v>
      </c>
      <c r="H79" s="42" t="s">
        <v>15</v>
      </c>
      <c r="I79" s="42" t="s">
        <v>84</v>
      </c>
      <c r="J79" s="42" t="s">
        <v>46</v>
      </c>
      <c r="K79" s="48">
        <v>46132.0</v>
      </c>
      <c r="L79" s="49"/>
      <c r="M79" s="49"/>
      <c r="N79" s="53"/>
      <c r="O79" s="53"/>
      <c r="P79" s="33" t="str">
        <f>IFERROR(MasterData!$B79,"")</f>
        <v>Green Gains</v>
      </c>
      <c r="Q79" s="33" t="str">
        <f>IFERROR(MasterData!$C79,"")</f>
        <v>SCM Head</v>
      </c>
      <c r="R79" s="33" t="str">
        <f>IFERROR(MasterData!$E79,"")</f>
        <v/>
      </c>
      <c r="S79" s="33" t="str">
        <f>IFERROR(MasterData!$G79,"")</f>
        <v/>
      </c>
      <c r="T79" s="33" t="str">
        <f>IFERROR(MasterData!$I79,"")</f>
        <v/>
      </c>
    </row>
    <row r="80" ht="21.75" customHeight="1">
      <c r="A80" s="68"/>
      <c r="B80" s="67"/>
      <c r="C80" s="12" t="s">
        <v>696</v>
      </c>
      <c r="D80" s="12" t="s">
        <v>98</v>
      </c>
      <c r="E80" s="68"/>
      <c r="F80" s="12" t="s">
        <v>290</v>
      </c>
      <c r="G80" s="12" t="s">
        <v>490</v>
      </c>
      <c r="H80" s="63" t="s">
        <v>15</v>
      </c>
      <c r="I80" s="63" t="s">
        <v>84</v>
      </c>
      <c r="J80" s="63" t="s">
        <v>46</v>
      </c>
      <c r="K80" s="64">
        <v>46111.0</v>
      </c>
      <c r="L80" s="65"/>
      <c r="M80" s="65"/>
      <c r="N80" s="66"/>
      <c r="O80" s="66"/>
      <c r="P80" s="33" t="str">
        <f>IFERROR(MasterData!$B80,"")</f>
        <v>SLH</v>
      </c>
      <c r="Q80" s="33" t="str">
        <f>IFERROR(MasterData!$C80,"")</f>
        <v>Sales</v>
      </c>
      <c r="R80" s="33" t="str">
        <f>IFERROR(MasterData!$E80,"")</f>
        <v/>
      </c>
      <c r="S80" s="33" t="str">
        <f>IFERROR(MasterData!$G80,"")</f>
        <v/>
      </c>
      <c r="T80" s="33" t="str">
        <f>IFERROR(MasterData!$I80,"")</f>
        <v/>
      </c>
    </row>
    <row r="81" ht="21.75" customHeight="1">
      <c r="A81" s="56"/>
      <c r="B81" s="58"/>
      <c r="C81" s="18" t="s">
        <v>697</v>
      </c>
      <c r="D81" s="18" t="s">
        <v>173</v>
      </c>
      <c r="E81" s="56"/>
      <c r="F81" s="18" t="s">
        <v>251</v>
      </c>
      <c r="G81" s="18" t="s">
        <v>490</v>
      </c>
      <c r="H81" s="42" t="s">
        <v>15</v>
      </c>
      <c r="I81" s="42" t="s">
        <v>26</v>
      </c>
      <c r="J81" s="42" t="s">
        <v>46</v>
      </c>
      <c r="K81" s="48">
        <v>46111.0</v>
      </c>
      <c r="L81" s="49"/>
      <c r="M81" s="49"/>
      <c r="N81" s="53"/>
      <c r="O81" s="53"/>
      <c r="P81" s="33" t="str">
        <f>IFERROR(MasterData!$B81,"")</f>
        <v>Niko</v>
      </c>
      <c r="Q81" s="33" t="str">
        <f>IFERROR(MasterData!$C81,"")</f>
        <v>Senior Barista</v>
      </c>
      <c r="R81" s="33" t="str">
        <f>IFERROR(MasterData!$E81,"")</f>
        <v/>
      </c>
      <c r="S81" s="33" t="str">
        <f>IFERROR(MasterData!$G81,"")</f>
        <v/>
      </c>
      <c r="T81" s="33" t="str">
        <f>IFERROR(MasterData!$I81,"")</f>
        <v/>
      </c>
    </row>
    <row r="82" ht="21.75" customHeight="1">
      <c r="A82" s="68"/>
      <c r="B82" s="67"/>
      <c r="C82" s="12" t="s">
        <v>698</v>
      </c>
      <c r="D82" s="12" t="s">
        <v>149</v>
      </c>
      <c r="E82" s="68"/>
      <c r="F82" s="12" t="s">
        <v>309</v>
      </c>
      <c r="G82" s="12" t="s">
        <v>699</v>
      </c>
      <c r="H82" s="63" t="s">
        <v>15</v>
      </c>
      <c r="I82" s="63" t="s">
        <v>53</v>
      </c>
      <c r="J82" s="63" t="s">
        <v>46</v>
      </c>
      <c r="K82" s="64">
        <v>46111.0</v>
      </c>
      <c r="L82" s="65"/>
      <c r="M82" s="65"/>
      <c r="N82" s="66"/>
      <c r="O82" s="66"/>
      <c r="P82" s="33" t="str">
        <f>IFERROR(MasterData!$B82,"")</f>
        <v>Courtside</v>
      </c>
      <c r="Q82" s="33" t="str">
        <f>IFERROR(MasterData!$C82,"")</f>
        <v>Senior Bartender</v>
      </c>
      <c r="R82" s="33" t="str">
        <f>IFERROR(MasterData!$E82,"")</f>
        <v/>
      </c>
      <c r="S82" s="33" t="str">
        <f>IFERROR(MasterData!$G82,"")</f>
        <v/>
      </c>
      <c r="T82" s="33" t="str">
        <f>IFERROR(MasterData!$I82,"")</f>
        <v/>
      </c>
    </row>
    <row r="83" ht="21.75" customHeight="1">
      <c r="A83" s="56"/>
      <c r="B83" s="58"/>
      <c r="C83" s="18" t="s">
        <v>700</v>
      </c>
      <c r="D83" s="18" t="s">
        <v>48</v>
      </c>
      <c r="E83" s="56"/>
      <c r="F83" s="18" t="s">
        <v>102</v>
      </c>
      <c r="G83" s="18" t="s">
        <v>490</v>
      </c>
      <c r="H83" s="42" t="s">
        <v>15</v>
      </c>
      <c r="I83" s="42" t="s">
        <v>84</v>
      </c>
      <c r="J83" s="42" t="s">
        <v>54</v>
      </c>
      <c r="K83" s="48">
        <v>46112.0</v>
      </c>
      <c r="L83" s="48">
        <v>46114.0</v>
      </c>
      <c r="M83" s="48">
        <v>46114.0</v>
      </c>
      <c r="N83" s="53"/>
      <c r="O83" s="18" t="s">
        <v>535</v>
      </c>
      <c r="P83" s="33" t="str">
        <f>IFERROR(MasterData!$B83,"")</f>
        <v>Penang Table</v>
      </c>
      <c r="Q83" s="33" t="str">
        <f>IFERROR(MasterData!$C83,"")</f>
        <v>Senior CDP</v>
      </c>
      <c r="R83" s="33" t="str">
        <f>IFERROR(MasterData!$E83,"")</f>
        <v/>
      </c>
      <c r="S83" s="33" t="str">
        <f>IFERROR(MasterData!$G83,"")</f>
        <v/>
      </c>
      <c r="T83" s="33" t="str">
        <f>IFERROR(MasterData!$I83,"")</f>
        <v/>
      </c>
    </row>
    <row r="84" ht="21.75" customHeight="1">
      <c r="A84" s="56"/>
      <c r="B84" s="86" t="str">
        <f>IF(C84="","","CAN-"&amp;TEXT(100,"000"))</f>
        <v>CAN-100</v>
      </c>
      <c r="C84" s="87" t="s">
        <v>701</v>
      </c>
      <c r="D84" s="18" t="s">
        <v>48</v>
      </c>
      <c r="E84" s="56"/>
      <c r="F84" s="18" t="s">
        <v>117</v>
      </c>
      <c r="G84" s="18" t="s">
        <v>702</v>
      </c>
      <c r="H84" s="42" t="s">
        <v>15</v>
      </c>
      <c r="I84" s="42" t="s">
        <v>84</v>
      </c>
      <c r="J84" s="42" t="s">
        <v>54</v>
      </c>
      <c r="K84" s="48">
        <v>46112.0</v>
      </c>
      <c r="L84" s="48">
        <v>46114.0</v>
      </c>
      <c r="M84" s="48">
        <v>46113.0</v>
      </c>
      <c r="N84" s="53"/>
      <c r="O84" s="18" t="s">
        <v>535</v>
      </c>
      <c r="P84" s="33" t="str">
        <f>IFERROR(MasterData!$B85,"")</f>
        <v>Corleone's</v>
      </c>
      <c r="Q84" s="33" t="str">
        <f>IFERROR(MasterData!$C85,"")</f>
        <v>Senior GRE</v>
      </c>
      <c r="R84" s="33" t="str">
        <f>IFERROR(MasterData!$E85,"")</f>
        <v/>
      </c>
      <c r="S84" s="33" t="str">
        <f>IFERROR(MasterData!$G85,"")</f>
        <v/>
      </c>
      <c r="T84" s="33" t="str">
        <f>IFERROR(MasterData!$I85,"")</f>
        <v/>
      </c>
    </row>
    <row r="85" ht="21.75" customHeight="1">
      <c r="A85" s="68"/>
      <c r="B85" s="67"/>
      <c r="C85" s="12" t="s">
        <v>703</v>
      </c>
      <c r="D85" s="12" t="s">
        <v>12</v>
      </c>
      <c r="E85" s="68"/>
      <c r="F85" s="12" t="s">
        <v>304</v>
      </c>
      <c r="G85" s="12" t="s">
        <v>280</v>
      </c>
      <c r="H85" s="63" t="s">
        <v>15</v>
      </c>
      <c r="I85" s="63" t="s">
        <v>53</v>
      </c>
      <c r="J85" s="63" t="s">
        <v>54</v>
      </c>
      <c r="K85" s="64">
        <v>46112.0</v>
      </c>
      <c r="L85" s="64">
        <v>46112.0</v>
      </c>
      <c r="M85" s="64">
        <v>46113.0</v>
      </c>
      <c r="N85" s="66"/>
      <c r="O85" s="12" t="s">
        <v>704</v>
      </c>
      <c r="P85" s="33" t="str">
        <f>IFERROR(MasterData!$B86,"")</f>
        <v>Nenapu</v>
      </c>
      <c r="Q85" s="33" t="str">
        <f>IFERROR(MasterData!$C86,"")</f>
        <v>Senior Sous Chef</v>
      </c>
      <c r="R85" s="33" t="str">
        <f>IFERROR(MasterData!$E86,"")</f>
        <v/>
      </c>
      <c r="S85" s="33" t="str">
        <f>IFERROR(MasterData!$G86,"")</f>
        <v/>
      </c>
      <c r="T85" s="33" t="str">
        <f>IFERROR(MasterData!$I86,"")</f>
        <v/>
      </c>
    </row>
    <row r="86" ht="21.75" customHeight="1">
      <c r="A86" s="56"/>
      <c r="B86" s="58"/>
      <c r="C86" s="18" t="s">
        <v>705</v>
      </c>
      <c r="D86" s="18" t="s">
        <v>98</v>
      </c>
      <c r="E86" s="56"/>
      <c r="F86" s="18" t="s">
        <v>165</v>
      </c>
      <c r="G86" s="18" t="s">
        <v>490</v>
      </c>
      <c r="H86" s="42" t="s">
        <v>15</v>
      </c>
      <c r="I86" s="42" t="s">
        <v>53</v>
      </c>
      <c r="J86" s="42" t="s">
        <v>46</v>
      </c>
      <c r="K86" s="48">
        <v>46112.0</v>
      </c>
      <c r="L86" s="49"/>
      <c r="M86" s="49"/>
      <c r="N86" s="53"/>
      <c r="O86" s="53"/>
      <c r="P86" s="33" t="str">
        <f>IFERROR(MasterData!$B87,"")</f>
        <v/>
      </c>
      <c r="Q86" s="33" t="str">
        <f>IFERROR(MasterData!$C87,"")</f>
        <v>Senior Steward</v>
      </c>
      <c r="R86" s="33" t="str">
        <f>IFERROR(MasterData!$E87,"")</f>
        <v/>
      </c>
      <c r="S86" s="33" t="str">
        <f>IFERROR(MasterData!$G87,"")</f>
        <v/>
      </c>
      <c r="T86" s="33" t="str">
        <f>IFERROR(MasterData!$I87,"")</f>
        <v/>
      </c>
    </row>
    <row r="87" ht="21.75" customHeight="1">
      <c r="A87" s="68"/>
      <c r="B87" s="67"/>
      <c r="C87" s="12" t="s">
        <v>706</v>
      </c>
      <c r="D87" s="12" t="s">
        <v>98</v>
      </c>
      <c r="E87" s="68"/>
      <c r="F87" s="12" t="s">
        <v>296</v>
      </c>
      <c r="G87" s="12" t="s">
        <v>490</v>
      </c>
      <c r="H87" s="63" t="s">
        <v>15</v>
      </c>
      <c r="I87" s="63" t="s">
        <v>26</v>
      </c>
      <c r="J87" s="63" t="s">
        <v>46</v>
      </c>
      <c r="K87" s="88">
        <v>46112.0</v>
      </c>
      <c r="L87" s="65"/>
      <c r="M87" s="65"/>
      <c r="N87" s="66"/>
      <c r="O87" s="66"/>
      <c r="P87" s="33" t="str">
        <f>IFERROR(MasterData!$B88,"")</f>
        <v/>
      </c>
      <c r="Q87" s="33" t="str">
        <f>IFERROR(MasterData!$C88,"")</f>
        <v>Social Media Manager</v>
      </c>
      <c r="R87" s="33" t="str">
        <f>IFERROR(MasterData!$E88,"")</f>
        <v/>
      </c>
      <c r="S87" s="33" t="str">
        <f>IFERROR(MasterData!$G88,"")</f>
        <v/>
      </c>
      <c r="T87" s="33" t="str">
        <f>IFERROR(MasterData!$I88,"")</f>
        <v/>
      </c>
    </row>
    <row r="88" ht="21.75" customHeight="1">
      <c r="A88" s="56"/>
      <c r="B88" s="58"/>
      <c r="C88" s="18" t="s">
        <v>467</v>
      </c>
      <c r="D88" s="18" t="s">
        <v>98</v>
      </c>
      <c r="E88" s="56"/>
      <c r="F88" s="18" t="s">
        <v>306</v>
      </c>
      <c r="G88" s="18" t="s">
        <v>707</v>
      </c>
      <c r="H88" s="42" t="s">
        <v>15</v>
      </c>
      <c r="I88" s="42" t="s">
        <v>78</v>
      </c>
      <c r="J88" s="42" t="s">
        <v>54</v>
      </c>
      <c r="K88" s="48">
        <v>46113.0</v>
      </c>
      <c r="L88" s="48">
        <v>46114.0</v>
      </c>
      <c r="M88" s="48">
        <v>46115.0</v>
      </c>
      <c r="N88" s="53"/>
      <c r="O88" s="53"/>
      <c r="P88" s="33" t="str">
        <f>IFERROR(MasterData!$B89,"")</f>
        <v/>
      </c>
      <c r="Q88" s="33" t="str">
        <f>IFERROR(MasterData!$C89,"")</f>
        <v>Sommelier</v>
      </c>
      <c r="R88" s="33" t="str">
        <f>IFERROR(MasterData!$E89,"")</f>
        <v/>
      </c>
      <c r="S88" s="33" t="str">
        <f>IFERROR(MasterData!$G89,"")</f>
        <v/>
      </c>
      <c r="T88" s="33" t="str">
        <f>IFERROR(MasterData!$I89,"")</f>
        <v/>
      </c>
    </row>
    <row r="89" ht="21.75" customHeight="1">
      <c r="A89" s="68"/>
      <c r="B89" s="67"/>
      <c r="C89" s="87" t="s">
        <v>708</v>
      </c>
      <c r="D89" s="12" t="s">
        <v>98</v>
      </c>
      <c r="E89" s="68"/>
      <c r="F89" s="12" t="s">
        <v>306</v>
      </c>
      <c r="G89" s="12" t="s">
        <v>490</v>
      </c>
      <c r="H89" s="63" t="s">
        <v>15</v>
      </c>
      <c r="I89" s="63" t="s">
        <v>84</v>
      </c>
      <c r="J89" s="63" t="s">
        <v>54</v>
      </c>
      <c r="K89" s="88">
        <v>46113.0</v>
      </c>
      <c r="L89" s="88">
        <v>46113.0</v>
      </c>
      <c r="M89" s="88">
        <v>46114.0</v>
      </c>
      <c r="N89" s="66"/>
      <c r="O89" s="66"/>
      <c r="P89" s="33" t="str">
        <f>IFERROR(MasterData!$B90,"")</f>
        <v/>
      </c>
      <c r="Q89" s="33" t="str">
        <f>IFERROR(MasterData!$C90,"")</f>
        <v>Sous Chef</v>
      </c>
      <c r="R89" s="33" t="str">
        <f>IFERROR(MasterData!$E90,"")</f>
        <v/>
      </c>
      <c r="S89" s="33" t="str">
        <f>IFERROR(MasterData!$G90,"")</f>
        <v/>
      </c>
      <c r="T89" s="33" t="str">
        <f>IFERROR(MasterData!$I90,"")</f>
        <v/>
      </c>
    </row>
    <row r="90" ht="21.75" customHeight="1">
      <c r="A90" s="56"/>
      <c r="B90" s="58"/>
      <c r="C90" s="89" t="s">
        <v>709</v>
      </c>
      <c r="D90" s="18" t="s">
        <v>98</v>
      </c>
      <c r="E90" s="56"/>
      <c r="F90" s="18" t="s">
        <v>216</v>
      </c>
      <c r="G90" s="18" t="s">
        <v>710</v>
      </c>
      <c r="H90" s="42" t="s">
        <v>15</v>
      </c>
      <c r="I90" s="42" t="s">
        <v>84</v>
      </c>
      <c r="J90" s="42" t="s">
        <v>54</v>
      </c>
      <c r="K90" s="48">
        <v>46113.0</v>
      </c>
      <c r="L90" s="48">
        <v>46113.0</v>
      </c>
      <c r="M90" s="48">
        <v>46114.0</v>
      </c>
      <c r="N90" s="53"/>
      <c r="O90" s="53"/>
      <c r="P90" s="33" t="str">
        <f>IFERROR(MasterData!$B91,"")</f>
        <v/>
      </c>
      <c r="Q90" s="33" t="str">
        <f>IFERROR(MasterData!$C91,"")</f>
        <v>Sr. Duty Manager</v>
      </c>
      <c r="R90" s="33" t="str">
        <f>IFERROR(MasterData!$E91,"")</f>
        <v/>
      </c>
      <c r="S90" s="33" t="str">
        <f>IFERROR(MasterData!$G91,"")</f>
        <v/>
      </c>
      <c r="T90" s="33" t="str">
        <f>IFERROR(MasterData!$I91,"")</f>
        <v/>
      </c>
    </row>
    <row r="91" ht="21.75" customHeight="1">
      <c r="A91" s="68"/>
      <c r="B91" s="67"/>
      <c r="C91" s="85" t="s">
        <v>711</v>
      </c>
      <c r="D91" s="12" t="s">
        <v>283</v>
      </c>
      <c r="E91" s="68"/>
      <c r="F91" s="12" t="s">
        <v>225</v>
      </c>
      <c r="G91" s="12" t="s">
        <v>712</v>
      </c>
      <c r="H91" s="63" t="s">
        <v>15</v>
      </c>
      <c r="I91" s="63" t="s">
        <v>60</v>
      </c>
      <c r="J91" s="63" t="s">
        <v>54</v>
      </c>
      <c r="K91" s="88">
        <v>46114.0</v>
      </c>
      <c r="L91" s="88">
        <v>46114.0</v>
      </c>
      <c r="M91" s="88">
        <v>46114.0</v>
      </c>
      <c r="N91" s="66"/>
      <c r="O91" s="66"/>
      <c r="P91" s="33" t="str">
        <f>IFERROR(MasterData!$B92,"")</f>
        <v/>
      </c>
      <c r="Q91" s="33" t="str">
        <f>IFERROR(MasterData!$C92,"")</f>
        <v>Steward</v>
      </c>
      <c r="R91" s="33" t="str">
        <f>IFERROR(MasterData!$E92,"")</f>
        <v/>
      </c>
      <c r="S91" s="33" t="str">
        <f>IFERROR(MasterData!$G92,"")</f>
        <v/>
      </c>
      <c r="T91" s="33" t="str">
        <f>IFERROR(MasterData!$I92,"")</f>
        <v/>
      </c>
    </row>
    <row r="92" ht="21.75" customHeight="1">
      <c r="A92" s="56"/>
      <c r="B92" s="58"/>
      <c r="C92" s="18" t="s">
        <v>713</v>
      </c>
      <c r="D92" s="18" t="s">
        <v>12</v>
      </c>
      <c r="E92" s="56"/>
      <c r="F92" s="18" t="s">
        <v>132</v>
      </c>
      <c r="G92" s="18" t="s">
        <v>490</v>
      </c>
      <c r="H92" s="42" t="s">
        <v>15</v>
      </c>
      <c r="I92" s="42" t="s">
        <v>84</v>
      </c>
      <c r="J92" s="42" t="s">
        <v>54</v>
      </c>
      <c r="K92" s="48">
        <v>46114.0</v>
      </c>
      <c r="L92" s="48">
        <v>46119.0</v>
      </c>
      <c r="M92" s="48">
        <v>46115.0</v>
      </c>
      <c r="N92" s="53"/>
      <c r="O92" s="53"/>
      <c r="P92" s="33" t="str">
        <f>IFERROR(MasterData!$B93,"")</f>
        <v/>
      </c>
      <c r="Q92" s="33" t="str">
        <f>IFERROR(MasterData!$C93,"")</f>
        <v>Store Manager</v>
      </c>
      <c r="R92" s="33" t="str">
        <f>IFERROR(MasterData!$E93,"")</f>
        <v/>
      </c>
      <c r="S92" s="33" t="str">
        <f>IFERROR(MasterData!$G93,"")</f>
        <v/>
      </c>
      <c r="T92" s="33" t="str">
        <f>IFERROR(MasterData!$I93,"")</f>
        <v/>
      </c>
    </row>
    <row r="93" ht="21.75" customHeight="1">
      <c r="A93" s="68"/>
      <c r="B93" s="67"/>
      <c r="C93" s="12" t="s">
        <v>714</v>
      </c>
      <c r="D93" s="12" t="s">
        <v>12</v>
      </c>
      <c r="E93" s="68"/>
      <c r="F93" s="12" t="s">
        <v>132</v>
      </c>
      <c r="G93" s="12" t="s">
        <v>715</v>
      </c>
      <c r="H93" s="63" t="s">
        <v>15</v>
      </c>
      <c r="I93" s="63" t="s">
        <v>84</v>
      </c>
      <c r="J93" s="63" t="s">
        <v>54</v>
      </c>
      <c r="K93" s="88">
        <v>46114.0</v>
      </c>
      <c r="L93" s="88">
        <v>46115.0</v>
      </c>
      <c r="M93" s="88">
        <v>46117.0</v>
      </c>
      <c r="N93" s="66"/>
      <c r="O93" s="66"/>
      <c r="P93" s="33" t="str">
        <f>IFERROR(MasterData!$B94,"")</f>
        <v/>
      </c>
      <c r="Q93" s="33" t="str">
        <f>IFERROR(MasterData!$C94,"")</f>
        <v>Stores Manager</v>
      </c>
      <c r="R93" s="33" t="str">
        <f>IFERROR(MasterData!$E94,"")</f>
        <v/>
      </c>
      <c r="S93" s="33" t="str">
        <f>IFERROR(MasterData!$G94,"")</f>
        <v/>
      </c>
      <c r="T93" s="33" t="str">
        <f>IFERROR(MasterData!$I94,"")</f>
        <v/>
      </c>
    </row>
    <row r="94" ht="21.75" customHeight="1">
      <c r="A94" s="56"/>
      <c r="B94" s="58"/>
      <c r="C94" s="18" t="s">
        <v>716</v>
      </c>
      <c r="D94" s="18" t="s">
        <v>12</v>
      </c>
      <c r="E94" s="56"/>
      <c r="F94" s="18" t="s">
        <v>129</v>
      </c>
      <c r="G94" s="18" t="s">
        <v>715</v>
      </c>
      <c r="H94" s="42" t="s">
        <v>15</v>
      </c>
      <c r="I94" s="42" t="s">
        <v>84</v>
      </c>
      <c r="J94" s="42" t="s">
        <v>54</v>
      </c>
      <c r="K94" s="48">
        <v>46114.0</v>
      </c>
      <c r="L94" s="48">
        <v>46114.0</v>
      </c>
      <c r="M94" s="48">
        <v>46117.0</v>
      </c>
      <c r="N94" s="53"/>
      <c r="O94" s="53"/>
      <c r="P94" s="33" t="str">
        <f>IFERROR(MasterData!$B95,"")</f>
        <v/>
      </c>
      <c r="Q94" s="33" t="str">
        <f>IFERROR(MasterData!$C95,"")</f>
        <v>Supervisor</v>
      </c>
      <c r="R94" s="33" t="str">
        <f>IFERROR(MasterData!$E95,"")</f>
        <v/>
      </c>
      <c r="S94" s="33" t="str">
        <f>IFERROR(MasterData!$G95,"")</f>
        <v/>
      </c>
      <c r="T94" s="33" t="str">
        <f>IFERROR(MasterData!$I95,"")</f>
        <v/>
      </c>
    </row>
    <row r="95" ht="21.75" customHeight="1">
      <c r="A95" s="68"/>
      <c r="B95" s="67"/>
      <c r="C95" s="12" t="s">
        <v>717</v>
      </c>
      <c r="D95" s="12" t="s">
        <v>48</v>
      </c>
      <c r="E95" s="68"/>
      <c r="F95" s="12" t="s">
        <v>117</v>
      </c>
      <c r="G95" s="12" t="s">
        <v>490</v>
      </c>
      <c r="H95" s="63" t="s">
        <v>15</v>
      </c>
      <c r="I95" s="63" t="s">
        <v>84</v>
      </c>
      <c r="J95" s="63" t="s">
        <v>54</v>
      </c>
      <c r="K95" s="88">
        <v>46114.0</v>
      </c>
      <c r="L95" s="88">
        <v>46119.0</v>
      </c>
      <c r="M95" s="88">
        <v>46119.0</v>
      </c>
      <c r="N95" s="66"/>
      <c r="O95" s="66"/>
      <c r="P95" s="33" t="str">
        <f>IFERROR(MasterData!$B96,"")</f>
        <v/>
      </c>
      <c r="Q95" s="33" t="str">
        <f>IFERROR(MasterData!$C96,"")</f>
        <v>Supply Chain</v>
      </c>
      <c r="R95" s="33" t="str">
        <f>IFERROR(MasterData!$E96,"")</f>
        <v/>
      </c>
      <c r="S95" s="33" t="str">
        <f>IFERROR(MasterData!$G96,"")</f>
        <v/>
      </c>
      <c r="T95" s="33" t="str">
        <f>IFERROR(MasterData!$I96,"")</f>
        <v/>
      </c>
    </row>
    <row r="96" ht="21.75" customHeight="1">
      <c r="A96" s="56"/>
      <c r="B96" s="58"/>
      <c r="C96" s="18" t="s">
        <v>718</v>
      </c>
      <c r="D96" s="18" t="s">
        <v>12</v>
      </c>
      <c r="E96" s="56"/>
      <c r="F96" s="18" t="s">
        <v>186</v>
      </c>
      <c r="G96" s="18" t="s">
        <v>490</v>
      </c>
      <c r="H96" s="42" t="s">
        <v>15</v>
      </c>
      <c r="I96" s="42" t="s">
        <v>35</v>
      </c>
      <c r="J96" s="42" t="s">
        <v>46</v>
      </c>
      <c r="K96" s="48">
        <v>46115.0</v>
      </c>
      <c r="L96" s="49"/>
      <c r="M96" s="49"/>
      <c r="N96" s="53"/>
      <c r="O96" s="53"/>
      <c r="P96" s="33" t="str">
        <f>IFERROR(MasterData!$B97,"")</f>
        <v/>
      </c>
      <c r="Q96" s="33" t="str">
        <f>IFERROR(MasterData!$C97,"")</f>
        <v>Team Leader</v>
      </c>
      <c r="R96" s="33" t="str">
        <f>IFERROR(MasterData!$E97,"")</f>
        <v/>
      </c>
      <c r="S96" s="33" t="str">
        <f>IFERROR(MasterData!$G97,"")</f>
        <v/>
      </c>
      <c r="T96" s="33" t="str">
        <f>IFERROR(MasterData!$I97,"")</f>
        <v/>
      </c>
    </row>
    <row r="97" ht="21.75" customHeight="1">
      <c r="A97" s="68"/>
      <c r="B97" s="67"/>
      <c r="C97" s="12" t="s">
        <v>719</v>
      </c>
      <c r="D97" s="12" t="s">
        <v>98</v>
      </c>
      <c r="E97" s="68"/>
      <c r="F97" s="12" t="s">
        <v>162</v>
      </c>
      <c r="G97" s="12" t="s">
        <v>95</v>
      </c>
      <c r="H97" s="63" t="s">
        <v>15</v>
      </c>
      <c r="I97" s="63" t="s">
        <v>53</v>
      </c>
      <c r="J97" s="63" t="s">
        <v>46</v>
      </c>
      <c r="K97" s="48">
        <v>46114.0</v>
      </c>
      <c r="L97" s="65"/>
      <c r="M97" s="65"/>
      <c r="N97" s="66"/>
      <c r="O97" s="66"/>
      <c r="P97" s="33" t="str">
        <f>IFERROR(MasterData!$B98,"")</f>
        <v/>
      </c>
      <c r="Q97" s="33" t="str">
        <f>IFERROR(MasterData!$C98,"")</f>
        <v>Trainee Captain</v>
      </c>
      <c r="R97" s="33" t="str">
        <f>IFERROR(MasterData!$E98,"")</f>
        <v/>
      </c>
      <c r="S97" s="33" t="str">
        <f>IFERROR(MasterData!$G98,"")</f>
        <v/>
      </c>
      <c r="T97" s="33" t="str">
        <f>IFERROR(MasterData!$I98,"")</f>
        <v/>
      </c>
    </row>
    <row r="98" ht="21.75" customHeight="1">
      <c r="A98" s="56"/>
      <c r="B98" s="58"/>
      <c r="C98" s="18" t="s">
        <v>720</v>
      </c>
      <c r="D98" s="18" t="s">
        <v>98</v>
      </c>
      <c r="E98" s="56"/>
      <c r="F98" s="18" t="s">
        <v>162</v>
      </c>
      <c r="G98" s="18" t="s">
        <v>490</v>
      </c>
      <c r="H98" s="42" t="s">
        <v>15</v>
      </c>
      <c r="I98" s="42" t="s">
        <v>53</v>
      </c>
      <c r="J98" s="42" t="s">
        <v>46</v>
      </c>
      <c r="K98" s="48">
        <v>46114.0</v>
      </c>
      <c r="L98" s="49"/>
      <c r="M98" s="49"/>
      <c r="N98" s="53"/>
      <c r="O98" s="53"/>
      <c r="P98" s="33" t="str">
        <f>IFERROR(MasterData!$B99,"")</f>
        <v/>
      </c>
      <c r="Q98" s="33" t="str">
        <f>IFERROR(MasterData!$C99,"")</f>
        <v>Training Manager</v>
      </c>
      <c r="R98" s="33" t="str">
        <f>IFERROR(MasterData!$E99,"")</f>
        <v/>
      </c>
      <c r="S98" s="33" t="str">
        <f>IFERROR(MasterData!$G99,"")</f>
        <v/>
      </c>
      <c r="T98" s="33" t="str">
        <f>IFERROR(MasterData!$I99,"")</f>
        <v/>
      </c>
    </row>
    <row r="99" ht="21.75" customHeight="1">
      <c r="A99" s="68"/>
      <c r="B99" s="67"/>
      <c r="C99" s="12" t="s">
        <v>492</v>
      </c>
      <c r="D99" s="12" t="s">
        <v>113</v>
      </c>
      <c r="E99" s="68"/>
      <c r="F99" s="12" t="s">
        <v>132</v>
      </c>
      <c r="G99" s="12" t="s">
        <v>490</v>
      </c>
      <c r="H99" s="63" t="s">
        <v>15</v>
      </c>
      <c r="I99" s="63" t="s">
        <v>84</v>
      </c>
      <c r="J99" s="63" t="s">
        <v>46</v>
      </c>
      <c r="K99" s="48">
        <v>46114.0</v>
      </c>
      <c r="L99" s="65"/>
      <c r="M99" s="65"/>
      <c r="N99" s="66"/>
      <c r="O99" s="66"/>
      <c r="P99" s="33" t="str">
        <f>IFERROR(MasterData!$B100,"")</f>
        <v/>
      </c>
      <c r="Q99" s="33" t="str">
        <f>IFERROR(MasterData!$C100,"")</f>
        <v>Waiter</v>
      </c>
      <c r="R99" s="33" t="str">
        <f>IFERROR(MasterData!$E100,"")</f>
        <v/>
      </c>
      <c r="S99" s="33" t="str">
        <f>IFERROR(MasterData!$G100,"")</f>
        <v/>
      </c>
      <c r="T99" s="33" t="str">
        <f>IFERROR(MasterData!$I100,"")</f>
        <v/>
      </c>
    </row>
    <row r="100" ht="21.75" customHeight="1">
      <c r="A100" s="56"/>
      <c r="B100" s="58"/>
      <c r="C100" s="18" t="s">
        <v>721</v>
      </c>
      <c r="D100" s="18" t="s">
        <v>98</v>
      </c>
      <c r="E100" s="56"/>
      <c r="F100" s="18" t="s">
        <v>306</v>
      </c>
      <c r="G100" s="18" t="s">
        <v>490</v>
      </c>
      <c r="H100" s="42" t="s">
        <v>15</v>
      </c>
      <c r="I100" s="42" t="s">
        <v>84</v>
      </c>
      <c r="J100" s="42" t="s">
        <v>46</v>
      </c>
      <c r="K100" s="42" t="s">
        <v>722</v>
      </c>
      <c r="L100" s="49"/>
      <c r="M100" s="49"/>
      <c r="N100" s="53"/>
      <c r="O100" s="53"/>
      <c r="P100" s="33" t="str">
        <f>IFERROR(MasterData!$B101,"")</f>
        <v/>
      </c>
      <c r="Q100" s="33" t="str">
        <f>IFERROR(MasterData!$C101,"")</f>
        <v>Aggregator Manager</v>
      </c>
      <c r="R100" s="33" t="str">
        <f>IFERROR(MasterData!$E101,"")</f>
        <v/>
      </c>
      <c r="S100" s="33" t="str">
        <f>IFERROR(MasterData!$G101,"")</f>
        <v/>
      </c>
      <c r="T100" s="33" t="str">
        <f>IFERROR(MasterData!$I101,"")</f>
        <v/>
      </c>
    </row>
    <row r="101" ht="21.75" customHeight="1">
      <c r="A101" s="68"/>
      <c r="B101" s="67"/>
      <c r="C101" s="12" t="s">
        <v>723</v>
      </c>
      <c r="D101" s="12" t="s">
        <v>12</v>
      </c>
      <c r="E101" s="68"/>
      <c r="F101" s="12" t="s">
        <v>306</v>
      </c>
      <c r="G101" s="12" t="s">
        <v>658</v>
      </c>
      <c r="H101" s="63" t="s">
        <v>15</v>
      </c>
      <c r="I101" s="63" t="s">
        <v>84</v>
      </c>
      <c r="J101" s="63" t="s">
        <v>46</v>
      </c>
      <c r="K101" s="64">
        <v>46118.0</v>
      </c>
      <c r="L101" s="65"/>
      <c r="M101" s="65"/>
      <c r="N101" s="66"/>
      <c r="O101" s="66"/>
      <c r="P101" s="33" t="str">
        <f>IFERROR(MasterData!$B102,"")</f>
        <v/>
      </c>
      <c r="Q101" s="33" t="str">
        <f>IFERROR(MasterData!$C102,"")</f>
        <v>Graphic Designer</v>
      </c>
      <c r="R101" s="33" t="str">
        <f>IFERROR(MasterData!$E102,"")</f>
        <v/>
      </c>
      <c r="S101" s="33" t="str">
        <f>IFERROR(MasterData!$G102,"")</f>
        <v/>
      </c>
      <c r="T101" s="33" t="str">
        <f>IFERROR(MasterData!$I102,"")</f>
        <v/>
      </c>
    </row>
    <row r="102" ht="21.75" customHeight="1">
      <c r="A102" s="56"/>
      <c r="B102" s="58"/>
      <c r="C102" s="18" t="s">
        <v>724</v>
      </c>
      <c r="D102" s="18" t="s">
        <v>256</v>
      </c>
      <c r="E102" s="56"/>
      <c r="F102" s="18" t="s">
        <v>105</v>
      </c>
      <c r="G102" s="18" t="s">
        <v>725</v>
      </c>
      <c r="H102" s="42" t="s">
        <v>15</v>
      </c>
      <c r="I102" s="42" t="s">
        <v>26</v>
      </c>
      <c r="J102" s="42" t="s">
        <v>46</v>
      </c>
      <c r="K102" s="64">
        <v>46141.0</v>
      </c>
      <c r="L102" s="48">
        <v>46141.0</v>
      </c>
      <c r="M102" s="48">
        <v>46146.0</v>
      </c>
      <c r="N102" s="53"/>
      <c r="O102" s="53"/>
      <c r="P102" s="33" t="str">
        <f>IFERROR(MasterData!$B103,"")</f>
        <v/>
      </c>
      <c r="Q102" s="33" t="str">
        <f>IFERROR(MasterData!$C103,"")</f>
        <v>Barista</v>
      </c>
      <c r="R102" s="33" t="str">
        <f>IFERROR(MasterData!$E103,"")</f>
        <v/>
      </c>
      <c r="S102" s="33" t="str">
        <f>IFERROR(MasterData!$G103,"")</f>
        <v/>
      </c>
      <c r="T102" s="33" t="str">
        <f>IFERROR(MasterData!$I103,"")</f>
        <v/>
      </c>
    </row>
    <row r="103" ht="21.75" customHeight="1">
      <c r="A103" s="74" t="s">
        <v>674</v>
      </c>
      <c r="B103" s="77" t="str">
        <f>IF(C103="","","CAN-"&amp;TEXT(82,"000"))</f>
        <v>CAN-082</v>
      </c>
      <c r="C103" s="12" t="s">
        <v>675</v>
      </c>
      <c r="D103" s="12" t="s">
        <v>149</v>
      </c>
      <c r="E103" s="68"/>
      <c r="F103" s="12" t="s">
        <v>117</v>
      </c>
      <c r="G103" s="12" t="s">
        <v>676</v>
      </c>
      <c r="H103" s="63" t="s">
        <v>15</v>
      </c>
      <c r="I103" s="63" t="s">
        <v>17</v>
      </c>
      <c r="J103" s="63"/>
      <c r="K103" s="64"/>
      <c r="L103" s="64"/>
      <c r="M103" s="65"/>
      <c r="N103" s="66"/>
      <c r="O103" s="66"/>
      <c r="P103" s="33" t="str">
        <f>IFERROR(MasterData!$B104,"")</f>
        <v/>
      </c>
      <c r="Q103" s="33" t="str">
        <f>IFERROR(MasterData!$C104,"")</f>
        <v/>
      </c>
      <c r="R103" s="33" t="str">
        <f>IFERROR(MasterData!$E104,"")</f>
        <v/>
      </c>
      <c r="S103" s="33" t="str">
        <f>IFERROR(MasterData!$G104,"")</f>
        <v/>
      </c>
      <c r="T103" s="33" t="str">
        <f>IFERROR(MasterData!$I104,"")</f>
        <v/>
      </c>
    </row>
    <row r="104" ht="21.75" customHeight="1">
      <c r="A104" s="56"/>
      <c r="B104" s="58"/>
      <c r="C104" s="90" t="s">
        <v>726</v>
      </c>
      <c r="D104" s="18" t="s">
        <v>293</v>
      </c>
      <c r="E104" s="56"/>
      <c r="F104" s="18" t="s">
        <v>102</v>
      </c>
      <c r="G104" s="18" t="s">
        <v>727</v>
      </c>
      <c r="H104" s="42" t="s">
        <v>15</v>
      </c>
      <c r="I104" s="42" t="s">
        <v>26</v>
      </c>
      <c r="J104" s="42" t="s">
        <v>54</v>
      </c>
      <c r="K104" s="48">
        <v>46118.0</v>
      </c>
      <c r="L104" s="48">
        <v>46160.0</v>
      </c>
      <c r="M104" s="48">
        <v>46163.0</v>
      </c>
      <c r="N104" s="53"/>
      <c r="O104" s="53"/>
      <c r="P104" s="33" t="str">
        <f>IFERROR(MasterData!$B105,"")</f>
        <v/>
      </c>
      <c r="Q104" s="33" t="str">
        <f>IFERROR(MasterData!$C105,"")</f>
        <v/>
      </c>
      <c r="R104" s="33" t="str">
        <f>IFERROR(MasterData!$E105,"")</f>
        <v/>
      </c>
      <c r="S104" s="33" t="str">
        <f>IFERROR(MasterData!$G105,"")</f>
        <v/>
      </c>
      <c r="T104" s="33" t="str">
        <f>IFERROR(MasterData!$I105,"")</f>
        <v/>
      </c>
    </row>
    <row r="105" ht="21.75" customHeight="1">
      <c r="A105" s="68"/>
      <c r="B105" s="67"/>
      <c r="C105" s="87" t="s">
        <v>728</v>
      </c>
      <c r="D105" s="12" t="s">
        <v>48</v>
      </c>
      <c r="E105" s="68"/>
      <c r="F105" s="12" t="s">
        <v>22</v>
      </c>
      <c r="G105" s="12" t="s">
        <v>490</v>
      </c>
      <c r="H105" s="63" t="s">
        <v>15</v>
      </c>
      <c r="I105" s="63" t="s">
        <v>84</v>
      </c>
      <c r="J105" s="63" t="s">
        <v>54</v>
      </c>
      <c r="K105" s="64">
        <v>46118.0</v>
      </c>
      <c r="L105" s="64">
        <v>46118.0</v>
      </c>
      <c r="M105" s="64">
        <v>46119.0</v>
      </c>
      <c r="N105" s="66"/>
      <c r="O105" s="66"/>
      <c r="P105" s="33" t="str">
        <f>IFERROR(MasterData!$B106,"")</f>
        <v/>
      </c>
      <c r="Q105" s="33" t="str">
        <f>IFERROR(MasterData!$C106,"")</f>
        <v/>
      </c>
      <c r="R105" s="33" t="str">
        <f>IFERROR(MasterData!$E106,"")</f>
        <v/>
      </c>
      <c r="S105" s="33" t="str">
        <f>IFERROR(MasterData!$G106,"")</f>
        <v/>
      </c>
      <c r="T105" s="33" t="str">
        <f>IFERROR(MasterData!$I106,"")</f>
        <v/>
      </c>
    </row>
    <row r="106" ht="21.75" customHeight="1">
      <c r="A106" s="56"/>
      <c r="B106" s="58"/>
      <c r="C106" s="89" t="s">
        <v>729</v>
      </c>
      <c r="D106" s="18" t="s">
        <v>173</v>
      </c>
      <c r="E106" s="56"/>
      <c r="F106" s="18" t="s">
        <v>129</v>
      </c>
      <c r="G106" s="18" t="s">
        <v>730</v>
      </c>
      <c r="H106" s="42" t="s">
        <v>15</v>
      </c>
      <c r="I106" s="42" t="s">
        <v>26</v>
      </c>
      <c r="J106" s="42" t="s">
        <v>54</v>
      </c>
      <c r="K106" s="48">
        <v>46118.0</v>
      </c>
      <c r="L106" s="48">
        <v>46118.0</v>
      </c>
      <c r="M106" s="48">
        <v>46123.0</v>
      </c>
      <c r="N106" s="53"/>
      <c r="O106" s="53"/>
      <c r="P106" s="33" t="str">
        <f>IFERROR(MasterData!$B107,"")</f>
        <v/>
      </c>
      <c r="Q106" s="33" t="str">
        <f>IFERROR(MasterData!$C107,"")</f>
        <v/>
      </c>
      <c r="R106" s="33" t="str">
        <f>IFERROR(MasterData!$E107,"")</f>
        <v/>
      </c>
      <c r="S106" s="33" t="str">
        <f>IFERROR(MasterData!$G107,"")</f>
        <v/>
      </c>
      <c r="T106" s="33" t="str">
        <f>IFERROR(MasterData!$I107,"")</f>
        <v/>
      </c>
    </row>
    <row r="107" ht="21.75" customHeight="1">
      <c r="A107" s="68"/>
      <c r="B107" s="67"/>
      <c r="C107" s="90" t="s">
        <v>731</v>
      </c>
      <c r="D107" s="12" t="s">
        <v>98</v>
      </c>
      <c r="E107" s="68"/>
      <c r="F107" s="12" t="s">
        <v>129</v>
      </c>
      <c r="G107" s="12" t="s">
        <v>490</v>
      </c>
      <c r="H107" s="63" t="s">
        <v>15</v>
      </c>
      <c r="I107" s="63" t="s">
        <v>17</v>
      </c>
      <c r="J107" s="63" t="s">
        <v>54</v>
      </c>
      <c r="K107" s="64">
        <v>46118.0</v>
      </c>
      <c r="L107" s="64">
        <v>46118.0</v>
      </c>
      <c r="M107" s="64">
        <v>46118.0</v>
      </c>
      <c r="N107" s="66"/>
      <c r="O107" s="66"/>
      <c r="P107" s="33" t="str">
        <f>IFERROR(MasterData!$B108,"")</f>
        <v/>
      </c>
      <c r="Q107" s="33" t="str">
        <f>IFERROR(MasterData!$C108,"")</f>
        <v/>
      </c>
      <c r="R107" s="33" t="str">
        <f>IFERROR(MasterData!$E108,"")</f>
        <v/>
      </c>
      <c r="S107" s="33" t="str">
        <f>IFERROR(MasterData!$G108,"")</f>
        <v/>
      </c>
      <c r="T107" s="33" t="str">
        <f>IFERROR(MasterData!$I108,"")</f>
        <v/>
      </c>
    </row>
    <row r="108" ht="21.75" customHeight="1">
      <c r="A108" s="56"/>
      <c r="B108" s="58"/>
      <c r="C108" s="90" t="s">
        <v>732</v>
      </c>
      <c r="D108" s="18" t="s">
        <v>283</v>
      </c>
      <c r="E108" s="56"/>
      <c r="F108" s="18" t="s">
        <v>165</v>
      </c>
      <c r="G108" s="18" t="s">
        <v>733</v>
      </c>
      <c r="H108" s="42" t="s">
        <v>15</v>
      </c>
      <c r="I108" s="42" t="s">
        <v>84</v>
      </c>
      <c r="J108" s="42" t="s">
        <v>54</v>
      </c>
      <c r="K108" s="48">
        <v>46118.0</v>
      </c>
      <c r="L108" s="48">
        <v>46118.0</v>
      </c>
      <c r="M108" s="48">
        <v>46119.0</v>
      </c>
      <c r="N108" s="53"/>
      <c r="O108" s="53"/>
      <c r="P108" s="33" t="str">
        <f>IFERROR(MasterData!$B109,"")</f>
        <v/>
      </c>
      <c r="Q108" s="33" t="str">
        <f>IFERROR(MasterData!$C109,"")</f>
        <v/>
      </c>
      <c r="R108" s="33" t="str">
        <f>IFERROR(MasterData!$E109,"")</f>
        <v/>
      </c>
      <c r="S108" s="33" t="str">
        <f>IFERROR(MasterData!$G109,"")</f>
        <v/>
      </c>
      <c r="T108" s="33" t="str">
        <f>IFERROR(MasterData!$I109,"")</f>
        <v/>
      </c>
    </row>
    <row r="109" ht="21.75" customHeight="1">
      <c r="A109" s="68"/>
      <c r="B109" s="67"/>
      <c r="C109" s="85" t="s">
        <v>734</v>
      </c>
      <c r="D109" s="12" t="s">
        <v>98</v>
      </c>
      <c r="E109" s="68"/>
      <c r="F109" s="12" t="s">
        <v>92</v>
      </c>
      <c r="G109" s="12" t="s">
        <v>735</v>
      </c>
      <c r="H109" s="63" t="s">
        <v>15</v>
      </c>
      <c r="I109" s="63" t="s">
        <v>44</v>
      </c>
      <c r="J109" s="63" t="s">
        <v>54</v>
      </c>
      <c r="K109" s="64">
        <v>46118.0</v>
      </c>
      <c r="L109" s="64">
        <v>46119.0</v>
      </c>
      <c r="M109" s="64">
        <v>46120.0</v>
      </c>
      <c r="N109" s="66"/>
      <c r="O109" s="66"/>
      <c r="P109" s="33" t="str">
        <f>IFERROR(MasterData!$B110,"")</f>
        <v/>
      </c>
      <c r="Q109" s="33" t="str">
        <f>IFERROR(MasterData!$C110,"")</f>
        <v/>
      </c>
      <c r="R109" s="33" t="str">
        <f>IFERROR(MasterData!$E110,"")</f>
        <v/>
      </c>
      <c r="S109" s="33" t="str">
        <f>IFERROR(MasterData!$G110,"")</f>
        <v/>
      </c>
      <c r="T109" s="33" t="str">
        <f>IFERROR(MasterData!$I110,"")</f>
        <v/>
      </c>
    </row>
    <row r="110" ht="21.75" customHeight="1">
      <c r="A110" s="56"/>
      <c r="B110" s="58"/>
      <c r="C110" s="18" t="s">
        <v>736</v>
      </c>
      <c r="D110" s="18" t="s">
        <v>48</v>
      </c>
      <c r="E110" s="56"/>
      <c r="F110" s="18" t="s">
        <v>117</v>
      </c>
      <c r="G110" s="18" t="s">
        <v>737</v>
      </c>
      <c r="H110" s="42" t="s">
        <v>15</v>
      </c>
      <c r="I110" s="42" t="s">
        <v>78</v>
      </c>
      <c r="J110" s="42" t="s">
        <v>54</v>
      </c>
      <c r="K110" s="48">
        <v>46119.0</v>
      </c>
      <c r="L110" s="48">
        <v>46119.0</v>
      </c>
      <c r="M110" s="48">
        <v>46120.0</v>
      </c>
      <c r="N110" s="53"/>
      <c r="O110" s="53"/>
      <c r="P110" s="33" t="str">
        <f>IFERROR(MasterData!$B111,"")</f>
        <v/>
      </c>
      <c r="Q110" s="33" t="str">
        <f>IFERROR(MasterData!$C111,"")</f>
        <v/>
      </c>
      <c r="R110" s="33" t="str">
        <f>IFERROR(MasterData!$E111,"")</f>
        <v/>
      </c>
      <c r="S110" s="33" t="str">
        <f>IFERROR(MasterData!$G111,"")</f>
        <v/>
      </c>
      <c r="T110" s="33" t="str">
        <f>IFERROR(MasterData!$I111,"")</f>
        <v/>
      </c>
    </row>
    <row r="111" ht="21.75" customHeight="1">
      <c r="A111" s="68"/>
      <c r="B111" s="67"/>
      <c r="C111" s="90" t="s">
        <v>738</v>
      </c>
      <c r="D111" s="12" t="s">
        <v>104</v>
      </c>
      <c r="E111" s="68"/>
      <c r="F111" s="12" t="s">
        <v>287</v>
      </c>
      <c r="G111" s="12" t="s">
        <v>490</v>
      </c>
      <c r="H111" s="63" t="s">
        <v>15</v>
      </c>
      <c r="I111" s="63" t="s">
        <v>26</v>
      </c>
      <c r="J111" s="63" t="s">
        <v>54</v>
      </c>
      <c r="K111" s="64">
        <v>46119.0</v>
      </c>
      <c r="L111" s="64">
        <v>46119.0</v>
      </c>
      <c r="M111" s="64">
        <v>46121.0</v>
      </c>
      <c r="N111" s="66"/>
      <c r="O111" s="66"/>
      <c r="P111" s="33" t="str">
        <f>IFERROR(MasterData!$B112,"")</f>
        <v/>
      </c>
      <c r="Q111" s="33" t="str">
        <f>IFERROR(MasterData!$C112,"")</f>
        <v/>
      </c>
      <c r="R111" s="33" t="str">
        <f>IFERROR(MasterData!$E112,"")</f>
        <v/>
      </c>
      <c r="S111" s="33" t="str">
        <f>IFERROR(MasterData!$G112,"")</f>
        <v/>
      </c>
      <c r="T111" s="33" t="str">
        <f>IFERROR(MasterData!$I112,"")</f>
        <v/>
      </c>
    </row>
    <row r="112" ht="21.75" customHeight="1">
      <c r="A112" s="56"/>
      <c r="B112" s="58"/>
      <c r="C112" s="90" t="s">
        <v>739</v>
      </c>
      <c r="D112" s="18" t="s">
        <v>104</v>
      </c>
      <c r="E112" s="56"/>
      <c r="F112" s="18" t="s">
        <v>171</v>
      </c>
      <c r="G112" s="18" t="s">
        <v>490</v>
      </c>
      <c r="H112" s="42" t="s">
        <v>15</v>
      </c>
      <c r="I112" s="42" t="s">
        <v>84</v>
      </c>
      <c r="J112" s="42" t="s">
        <v>54</v>
      </c>
      <c r="K112" s="48">
        <v>46119.0</v>
      </c>
      <c r="L112" s="48">
        <v>46119.0</v>
      </c>
      <c r="M112" s="48">
        <v>46121.0</v>
      </c>
      <c r="N112" s="53"/>
      <c r="O112" s="53"/>
      <c r="P112" s="33" t="str">
        <f>IFERROR(MasterData!$B113,"")</f>
        <v/>
      </c>
      <c r="Q112" s="33" t="str">
        <f>IFERROR(MasterData!$C113,"")</f>
        <v/>
      </c>
      <c r="R112" s="33" t="str">
        <f>IFERROR(MasterData!$E113,"")</f>
        <v/>
      </c>
      <c r="S112" s="33" t="str">
        <f>IFERROR(MasterData!$G113,"")</f>
        <v/>
      </c>
      <c r="T112" s="33" t="str">
        <f>IFERROR(MasterData!$I113,"")</f>
        <v/>
      </c>
    </row>
    <row r="113" ht="21.75" customHeight="1">
      <c r="A113" s="68"/>
      <c r="B113" s="67"/>
      <c r="C113" s="12" t="s">
        <v>740</v>
      </c>
      <c r="D113" s="12" t="s">
        <v>104</v>
      </c>
      <c r="E113" s="68"/>
      <c r="F113" s="12" t="s">
        <v>171</v>
      </c>
      <c r="G113" s="12" t="s">
        <v>490</v>
      </c>
      <c r="H113" s="63" t="s">
        <v>15</v>
      </c>
      <c r="I113" s="63" t="s">
        <v>84</v>
      </c>
      <c r="J113" s="63" t="s">
        <v>54</v>
      </c>
      <c r="K113" s="64">
        <v>46119.0</v>
      </c>
      <c r="L113" s="64">
        <v>46119.0</v>
      </c>
      <c r="M113" s="64">
        <v>46121.0</v>
      </c>
      <c r="N113" s="66"/>
      <c r="O113" s="66"/>
      <c r="P113" s="33" t="str">
        <f>IFERROR(MasterData!$B114,"")</f>
        <v/>
      </c>
      <c r="Q113" s="33" t="str">
        <f>IFERROR(MasterData!$C114,"")</f>
        <v/>
      </c>
      <c r="R113" s="33" t="str">
        <f>IFERROR(MasterData!$E114,"")</f>
        <v/>
      </c>
      <c r="S113" s="33" t="str">
        <f>IFERROR(MasterData!$G114,"")</f>
        <v/>
      </c>
      <c r="T113" s="33" t="str">
        <f>IFERROR(MasterData!$I114,"")</f>
        <v/>
      </c>
    </row>
    <row r="114" ht="21.75" customHeight="1">
      <c r="A114" s="56"/>
      <c r="B114" s="58"/>
      <c r="C114" s="18" t="s">
        <v>741</v>
      </c>
      <c r="D114" s="18" t="s">
        <v>297</v>
      </c>
      <c r="E114" s="56"/>
      <c r="F114" s="18" t="s">
        <v>275</v>
      </c>
      <c r="G114" s="18" t="s">
        <v>742</v>
      </c>
      <c r="H114" s="42" t="s">
        <v>15</v>
      </c>
      <c r="I114" s="42" t="s">
        <v>17</v>
      </c>
      <c r="J114" s="42" t="s">
        <v>54</v>
      </c>
      <c r="K114" s="48">
        <v>46119.0</v>
      </c>
      <c r="L114" s="48">
        <v>46147.0</v>
      </c>
      <c r="M114" s="48">
        <v>46147.0</v>
      </c>
      <c r="N114" s="53"/>
      <c r="O114" s="53"/>
      <c r="P114" s="33" t="str">
        <f>IFERROR(MasterData!$B115,"")</f>
        <v/>
      </c>
      <c r="Q114" s="33" t="str">
        <f>IFERROR(MasterData!$C115,"")</f>
        <v/>
      </c>
      <c r="R114" s="33" t="str">
        <f>IFERROR(MasterData!$E115,"")</f>
        <v/>
      </c>
      <c r="S114" s="33" t="str">
        <f>IFERROR(MasterData!$G115,"")</f>
        <v/>
      </c>
      <c r="T114" s="33" t="str">
        <f>IFERROR(MasterData!$I115,"")</f>
        <v/>
      </c>
    </row>
    <row r="115" ht="21.75" customHeight="1">
      <c r="A115" s="68"/>
      <c r="B115" s="67"/>
      <c r="C115" s="90" t="s">
        <v>743</v>
      </c>
      <c r="D115" s="12" t="s">
        <v>48</v>
      </c>
      <c r="E115" s="68"/>
      <c r="F115" s="12" t="s">
        <v>117</v>
      </c>
      <c r="G115" s="12" t="s">
        <v>490</v>
      </c>
      <c r="H115" s="63" t="s">
        <v>15</v>
      </c>
      <c r="I115" s="63" t="s">
        <v>84</v>
      </c>
      <c r="J115" s="63" t="s">
        <v>54</v>
      </c>
      <c r="K115" s="64">
        <v>46119.0</v>
      </c>
      <c r="L115" s="64">
        <v>46119.0</v>
      </c>
      <c r="M115" s="64">
        <v>46120.0</v>
      </c>
      <c r="N115" s="66"/>
      <c r="O115" s="12"/>
      <c r="P115" s="33" t="str">
        <f>IFERROR(MasterData!$B116,"")</f>
        <v/>
      </c>
      <c r="Q115" s="33" t="str">
        <f>IFERROR(MasterData!$C116,"")</f>
        <v/>
      </c>
      <c r="R115" s="33" t="str">
        <f>IFERROR(MasterData!$E116,"")</f>
        <v/>
      </c>
      <c r="S115" s="33" t="str">
        <f>IFERROR(MasterData!$G116,"")</f>
        <v/>
      </c>
      <c r="T115" s="33" t="str">
        <f>IFERROR(MasterData!$I116,"")</f>
        <v/>
      </c>
    </row>
    <row r="116" ht="21.75" customHeight="1">
      <c r="A116" s="56"/>
      <c r="B116" s="58"/>
      <c r="C116" s="18" t="s">
        <v>744</v>
      </c>
      <c r="D116" s="18" t="s">
        <v>173</v>
      </c>
      <c r="E116" s="56"/>
      <c r="F116" s="18" t="s">
        <v>92</v>
      </c>
      <c r="G116" s="18" t="s">
        <v>745</v>
      </c>
      <c r="H116" s="42" t="s">
        <v>15</v>
      </c>
      <c r="I116" s="42" t="s">
        <v>84</v>
      </c>
      <c r="J116" s="42" t="s">
        <v>46</v>
      </c>
      <c r="K116" s="48">
        <v>46120.0</v>
      </c>
      <c r="L116" s="49"/>
      <c r="M116" s="49"/>
      <c r="N116" s="53"/>
      <c r="O116" s="53"/>
      <c r="P116" s="33" t="str">
        <f>IFERROR(MasterData!$B117,"")</f>
        <v/>
      </c>
      <c r="Q116" s="33" t="str">
        <f>IFERROR(MasterData!$C117,"")</f>
        <v/>
      </c>
      <c r="R116" s="33" t="str">
        <f>IFERROR(MasterData!$E117,"")</f>
        <v/>
      </c>
      <c r="S116" s="33" t="str">
        <f>IFERROR(MasterData!$G117,"")</f>
        <v/>
      </c>
      <c r="T116" s="33" t="str">
        <f>IFERROR(MasterData!$I117,"")</f>
        <v/>
      </c>
    </row>
    <row r="117" ht="21.75" customHeight="1">
      <c r="A117" s="68"/>
      <c r="B117" s="67"/>
      <c r="C117" s="12" t="s">
        <v>746</v>
      </c>
      <c r="D117" s="12" t="s">
        <v>173</v>
      </c>
      <c r="E117" s="68"/>
      <c r="F117" s="12" t="s">
        <v>290</v>
      </c>
      <c r="G117" s="12" t="s">
        <v>747</v>
      </c>
      <c r="H117" s="63" t="s">
        <v>15</v>
      </c>
      <c r="I117" s="63" t="s">
        <v>78</v>
      </c>
      <c r="J117" s="63" t="s">
        <v>46</v>
      </c>
      <c r="K117" s="48">
        <v>46120.0</v>
      </c>
      <c r="L117" s="65"/>
      <c r="M117" s="65"/>
      <c r="N117" s="66"/>
      <c r="O117" s="66"/>
      <c r="P117" s="33" t="str">
        <f>IFERROR(MasterData!$B118,"")</f>
        <v/>
      </c>
      <c r="Q117" s="33" t="str">
        <f>IFERROR(MasterData!$C118,"")</f>
        <v/>
      </c>
      <c r="R117" s="33" t="str">
        <f>IFERROR(MasterData!$E118,"")</f>
        <v/>
      </c>
      <c r="S117" s="33" t="str">
        <f>IFERROR(MasterData!$G118,"")</f>
        <v/>
      </c>
      <c r="T117" s="33" t="str">
        <f>IFERROR(MasterData!$I118,"")</f>
        <v/>
      </c>
    </row>
    <row r="118" ht="21.75" customHeight="1">
      <c r="A118" s="56"/>
      <c r="B118" s="58"/>
      <c r="C118" s="18" t="s">
        <v>748</v>
      </c>
      <c r="D118" s="18" t="s">
        <v>149</v>
      </c>
      <c r="E118" s="56"/>
      <c r="F118" s="18" t="s">
        <v>132</v>
      </c>
      <c r="G118" s="18" t="s">
        <v>725</v>
      </c>
      <c r="H118" s="42" t="s">
        <v>15</v>
      </c>
      <c r="I118" s="42" t="s">
        <v>84</v>
      </c>
      <c r="J118" s="42" t="s">
        <v>46</v>
      </c>
      <c r="K118" s="48">
        <v>46120.0</v>
      </c>
      <c r="L118" s="49"/>
      <c r="M118" s="49"/>
      <c r="N118" s="53"/>
      <c r="O118" s="53"/>
      <c r="P118" s="33" t="str">
        <f>IFERROR(MasterData!$B119,"")</f>
        <v/>
      </c>
      <c r="Q118" s="33" t="str">
        <f>IFERROR(MasterData!$C119,"")</f>
        <v/>
      </c>
      <c r="R118" s="33" t="str">
        <f>IFERROR(MasterData!$E119,"")</f>
        <v/>
      </c>
      <c r="S118" s="33" t="str">
        <f>IFERROR(MasterData!$G119,"")</f>
        <v/>
      </c>
      <c r="T118" s="33" t="str">
        <f>IFERROR(MasterData!$I119,"")</f>
        <v/>
      </c>
    </row>
    <row r="119" ht="21.75" customHeight="1">
      <c r="A119" s="68"/>
      <c r="B119" s="67"/>
      <c r="C119" s="12" t="s">
        <v>749</v>
      </c>
      <c r="D119" s="12" t="s">
        <v>95</v>
      </c>
      <c r="E119" s="68"/>
      <c r="F119" s="12" t="s">
        <v>138</v>
      </c>
      <c r="G119" s="12" t="s">
        <v>750</v>
      </c>
      <c r="H119" s="42" t="s">
        <v>15</v>
      </c>
      <c r="I119" s="63" t="s">
        <v>17</v>
      </c>
      <c r="J119" s="63" t="s">
        <v>46</v>
      </c>
      <c r="K119" s="48">
        <v>46120.0</v>
      </c>
      <c r="L119" s="65"/>
      <c r="M119" s="65"/>
      <c r="N119" s="66"/>
      <c r="O119" s="66"/>
      <c r="P119" s="33" t="str">
        <f>IFERROR(MasterData!$B120,"")</f>
        <v/>
      </c>
      <c r="Q119" s="33" t="str">
        <f>IFERROR(MasterData!$C120,"")</f>
        <v/>
      </c>
      <c r="R119" s="33" t="str">
        <f>IFERROR(MasterData!$E120,"")</f>
        <v/>
      </c>
      <c r="S119" s="33" t="str">
        <f>IFERROR(MasterData!$G120,"")</f>
        <v/>
      </c>
      <c r="T119" s="33" t="str">
        <f>IFERROR(MasterData!$I120,"")</f>
        <v/>
      </c>
    </row>
    <row r="120" ht="21.75" customHeight="1">
      <c r="A120" s="56"/>
      <c r="B120" s="58"/>
      <c r="C120" s="18" t="s">
        <v>751</v>
      </c>
      <c r="D120" s="18" t="s">
        <v>98</v>
      </c>
      <c r="E120" s="56"/>
      <c r="F120" s="18" t="s">
        <v>92</v>
      </c>
      <c r="G120" s="12" t="s">
        <v>747</v>
      </c>
      <c r="H120" s="42" t="s">
        <v>15</v>
      </c>
      <c r="I120" s="42" t="s">
        <v>84</v>
      </c>
      <c r="J120" s="42" t="s">
        <v>46</v>
      </c>
      <c r="K120" s="48">
        <v>46120.0</v>
      </c>
      <c r="L120" s="49"/>
      <c r="M120" s="49"/>
      <c r="N120" s="53"/>
      <c r="O120" s="53"/>
      <c r="P120" s="33" t="str">
        <f>IFERROR(MasterData!$B121,"")</f>
        <v/>
      </c>
      <c r="Q120" s="33" t="str">
        <f>IFERROR(MasterData!$C121,"")</f>
        <v/>
      </c>
      <c r="R120" s="33" t="str">
        <f>IFERROR(MasterData!$E121,"")</f>
        <v/>
      </c>
      <c r="S120" s="33" t="str">
        <f>IFERROR(MasterData!$G121,"")</f>
        <v/>
      </c>
      <c r="T120" s="33" t="str">
        <f>IFERROR(MasterData!$I121,"")</f>
        <v/>
      </c>
    </row>
    <row r="121" ht="21.75" customHeight="1">
      <c r="A121" s="68"/>
      <c r="B121" s="67"/>
      <c r="C121" s="12" t="s">
        <v>752</v>
      </c>
      <c r="D121" s="12" t="s">
        <v>116</v>
      </c>
      <c r="E121" s="68"/>
      <c r="F121" s="12" t="s">
        <v>306</v>
      </c>
      <c r="G121" s="12" t="s">
        <v>753</v>
      </c>
      <c r="H121" s="63" t="s">
        <v>83</v>
      </c>
      <c r="I121" s="63" t="s">
        <v>53</v>
      </c>
      <c r="J121" s="63" t="s">
        <v>54</v>
      </c>
      <c r="K121" s="64">
        <v>46121.0</v>
      </c>
      <c r="L121" s="64">
        <v>46121.0</v>
      </c>
      <c r="M121" s="64">
        <v>46121.0</v>
      </c>
      <c r="N121" s="66"/>
      <c r="O121" s="66"/>
      <c r="P121" s="33" t="str">
        <f>IFERROR(MasterData!$B122,"")</f>
        <v/>
      </c>
      <c r="Q121" s="33" t="str">
        <f>IFERROR(MasterData!$C122,"")</f>
        <v/>
      </c>
      <c r="R121" s="33" t="str">
        <f>IFERROR(MasterData!$E122,"")</f>
        <v/>
      </c>
      <c r="S121" s="33" t="str">
        <f>IFERROR(MasterData!$G122,"")</f>
        <v/>
      </c>
      <c r="T121" s="33" t="str">
        <f>IFERROR(MasterData!$I122,"")</f>
        <v/>
      </c>
    </row>
    <row r="122" ht="21.75" customHeight="1">
      <c r="A122" s="91" t="s">
        <v>754</v>
      </c>
      <c r="B122" s="77" t="str">
        <f>IF(C122="","","CAN-"&amp;TEXT(187,"000"))</f>
        <v>CAN-187</v>
      </c>
      <c r="C122" s="18" t="s">
        <v>755</v>
      </c>
      <c r="D122" s="18" t="s">
        <v>110</v>
      </c>
      <c r="E122" s="81" t="str">
        <f>IF(F122="","","CID-"&amp;TEXT(18,"000"))</f>
        <v>CID-018</v>
      </c>
      <c r="F122" s="18" t="s">
        <v>186</v>
      </c>
      <c r="G122" s="18" t="s">
        <v>756</v>
      </c>
      <c r="H122" s="42" t="s">
        <v>24</v>
      </c>
      <c r="I122" s="42" t="s">
        <v>26</v>
      </c>
      <c r="J122" s="42" t="s">
        <v>19</v>
      </c>
      <c r="K122" s="48">
        <v>46121.0</v>
      </c>
      <c r="L122" s="49"/>
      <c r="M122" s="49"/>
      <c r="N122" s="53"/>
      <c r="O122" s="53"/>
      <c r="P122" s="33" t="str">
        <f>IFERROR(MasterData!$B123,"")</f>
        <v/>
      </c>
      <c r="Q122" s="33" t="str">
        <f>IFERROR(MasterData!$C123,"")</f>
        <v/>
      </c>
      <c r="R122" s="33" t="str">
        <f>IFERROR(MasterData!$E123,"")</f>
        <v/>
      </c>
      <c r="S122" s="33" t="str">
        <f>IFERROR(MasterData!$G123,"")</f>
        <v/>
      </c>
      <c r="T122" s="33" t="str">
        <f>IFERROR(MasterData!$I123,"")</f>
        <v/>
      </c>
    </row>
    <row r="123" ht="21.75" customHeight="1">
      <c r="A123" s="91" t="s">
        <v>757</v>
      </c>
      <c r="B123" s="84" t="str">
        <f>IF(C123="","","CAN-"&amp;TEXT(189,"000"))</f>
        <v>CAN-189</v>
      </c>
      <c r="C123" s="12" t="s">
        <v>758</v>
      </c>
      <c r="D123" s="12" t="s">
        <v>134</v>
      </c>
      <c r="E123" s="81" t="str">
        <f>IF(F123="","","CID-"&amp;TEXT(26,"000"))</f>
        <v>CID-026</v>
      </c>
      <c r="F123" s="12" t="s">
        <v>306</v>
      </c>
      <c r="G123" s="12" t="s">
        <v>759</v>
      </c>
      <c r="H123" s="63" t="s">
        <v>15</v>
      </c>
      <c r="I123" s="63" t="s">
        <v>26</v>
      </c>
      <c r="J123" s="63" t="s">
        <v>19</v>
      </c>
      <c r="K123" s="64">
        <v>46121.0</v>
      </c>
      <c r="L123" s="65"/>
      <c r="M123" s="65"/>
      <c r="N123" s="66"/>
      <c r="O123" s="66"/>
      <c r="P123" s="33" t="str">
        <f>IFERROR(MasterData!$B124,"")</f>
        <v/>
      </c>
      <c r="Q123" s="33" t="str">
        <f>IFERROR(MasterData!$C124,"")</f>
        <v/>
      </c>
      <c r="R123" s="33" t="str">
        <f>IFERROR(MasterData!$E124,"")</f>
        <v/>
      </c>
      <c r="S123" s="33" t="str">
        <f>IFERROR(MasterData!$G124,"")</f>
        <v/>
      </c>
      <c r="T123" s="33" t="str">
        <f>IFERROR(MasterData!$I124,"")</f>
        <v/>
      </c>
    </row>
    <row r="124" ht="21.75" customHeight="1">
      <c r="A124" s="56"/>
      <c r="B124" s="92" t="str">
        <f>IF(C124="","","CAN-"&amp;TEXT(159,"000"))</f>
        <v>CAN-159</v>
      </c>
      <c r="C124" s="18" t="s">
        <v>760</v>
      </c>
      <c r="D124" s="18" t="s">
        <v>12</v>
      </c>
      <c r="E124" s="56"/>
      <c r="F124" s="18" t="s">
        <v>105</v>
      </c>
      <c r="G124" s="18" t="s">
        <v>761</v>
      </c>
      <c r="H124" s="42" t="s">
        <v>15</v>
      </c>
      <c r="I124" s="42" t="s">
        <v>17</v>
      </c>
      <c r="J124" s="42" t="s">
        <v>54</v>
      </c>
      <c r="K124" s="48">
        <v>46121.0</v>
      </c>
      <c r="L124" s="48">
        <v>46121.0</v>
      </c>
      <c r="M124" s="48">
        <v>46121.0</v>
      </c>
      <c r="N124" s="53"/>
      <c r="O124" s="53"/>
      <c r="P124" s="33" t="str">
        <f>IFERROR(MasterData!$B125,"")</f>
        <v/>
      </c>
      <c r="Q124" s="33" t="str">
        <f>IFERROR(MasterData!$C125,"")</f>
        <v/>
      </c>
      <c r="R124" s="33" t="str">
        <f>IFERROR(MasterData!$E125,"")</f>
        <v/>
      </c>
      <c r="S124" s="33" t="str">
        <f>IFERROR(MasterData!$G125,"")</f>
        <v/>
      </c>
      <c r="T124" s="33" t="str">
        <f>IFERROR(MasterData!$I125,"")</f>
        <v/>
      </c>
    </row>
    <row r="125" ht="21.75" customHeight="1">
      <c r="A125" s="68"/>
      <c r="B125" s="86" t="str">
        <f>IF(C125="","","CAN-"&amp;TEXT(160,"000"))</f>
        <v>CAN-160</v>
      </c>
      <c r="C125" s="12" t="s">
        <v>762</v>
      </c>
      <c r="D125" s="12" t="s">
        <v>98</v>
      </c>
      <c r="E125" s="68"/>
      <c r="F125" s="12" t="s">
        <v>290</v>
      </c>
      <c r="G125" s="12" t="s">
        <v>490</v>
      </c>
      <c r="H125" s="63" t="s">
        <v>15</v>
      </c>
      <c r="I125" s="63" t="s">
        <v>78</v>
      </c>
      <c r="J125" s="63" t="s">
        <v>46</v>
      </c>
      <c r="K125" s="48">
        <v>46121.0</v>
      </c>
      <c r="L125" s="65"/>
      <c r="M125" s="65"/>
      <c r="N125" s="66"/>
      <c r="O125" s="66"/>
      <c r="P125" s="33" t="str">
        <f>IFERROR(MasterData!$B126,"")</f>
        <v/>
      </c>
      <c r="Q125" s="33" t="str">
        <f>IFERROR(MasterData!$C126,"")</f>
        <v/>
      </c>
      <c r="R125" s="33" t="str">
        <f>IFERROR(MasterData!$E126,"")</f>
        <v/>
      </c>
      <c r="S125" s="33" t="str">
        <f>IFERROR(MasterData!$G126,"")</f>
        <v/>
      </c>
      <c r="T125" s="33" t="str">
        <f>IFERROR(MasterData!$I126,"")</f>
        <v/>
      </c>
    </row>
    <row r="126" ht="21.75" customHeight="1">
      <c r="A126" s="56"/>
      <c r="B126" s="92" t="str">
        <f>IF(C126="","","CAN-"&amp;TEXT(161,"000"))</f>
        <v>CAN-161</v>
      </c>
      <c r="C126" s="18" t="s">
        <v>763</v>
      </c>
      <c r="D126" s="18" t="s">
        <v>173</v>
      </c>
      <c r="E126" s="56"/>
      <c r="F126" s="18" t="s">
        <v>92</v>
      </c>
      <c r="G126" s="18" t="s">
        <v>747</v>
      </c>
      <c r="H126" s="42" t="s">
        <v>15</v>
      </c>
      <c r="I126" s="42" t="s">
        <v>84</v>
      </c>
      <c r="J126" s="42" t="s">
        <v>46</v>
      </c>
      <c r="K126" s="48">
        <v>46121.0</v>
      </c>
      <c r="L126" s="49"/>
      <c r="M126" s="49"/>
      <c r="N126" s="53"/>
      <c r="O126" s="53"/>
      <c r="P126" s="33" t="str">
        <f>IFERROR(MasterData!$B127,"")</f>
        <v/>
      </c>
      <c r="Q126" s="33" t="str">
        <f>IFERROR(MasterData!$C127,"")</f>
        <v/>
      </c>
      <c r="R126" s="33" t="str">
        <f>IFERROR(MasterData!$E127,"")</f>
        <v/>
      </c>
      <c r="S126" s="33" t="str">
        <f>IFERROR(MasterData!$G127,"")</f>
        <v/>
      </c>
      <c r="T126" s="33" t="str">
        <f>IFERROR(MasterData!$I127,"")</f>
        <v/>
      </c>
    </row>
    <row r="127" ht="21.75" customHeight="1">
      <c r="A127" s="68"/>
      <c r="B127" s="86" t="str">
        <f>IF(C127="","","CAN-"&amp;TEXT(162,"000"))</f>
        <v>CAN-162</v>
      </c>
      <c r="C127" s="89" t="s">
        <v>764</v>
      </c>
      <c r="D127" s="12" t="s">
        <v>95</v>
      </c>
      <c r="E127" s="68"/>
      <c r="F127" s="12" t="s">
        <v>275</v>
      </c>
      <c r="G127" s="12" t="s">
        <v>765</v>
      </c>
      <c r="H127" s="63" t="s">
        <v>15</v>
      </c>
      <c r="I127" s="63" t="s">
        <v>26</v>
      </c>
      <c r="J127" s="63" t="s">
        <v>37</v>
      </c>
      <c r="K127" s="93">
        <v>46119.0</v>
      </c>
      <c r="L127" s="94">
        <v>46121.0</v>
      </c>
      <c r="M127" s="65"/>
      <c r="N127" s="66"/>
      <c r="O127" s="66"/>
      <c r="P127" s="33" t="str">
        <f>IFERROR(MasterData!$B128,"")</f>
        <v/>
      </c>
      <c r="Q127" s="33" t="str">
        <f>IFERROR(MasterData!$C128,"")</f>
        <v/>
      </c>
      <c r="R127" s="33" t="str">
        <f>IFERROR(MasterData!$E128,"")</f>
        <v/>
      </c>
      <c r="S127" s="33" t="str">
        <f>IFERROR(MasterData!$G128,"")</f>
        <v/>
      </c>
      <c r="T127" s="33" t="str">
        <f>IFERROR(MasterData!$I128,"")</f>
        <v/>
      </c>
    </row>
    <row r="128" ht="21.75" customHeight="1">
      <c r="A128" s="56"/>
      <c r="B128" s="92" t="str">
        <f>IF(C128="","","CAN-"&amp;TEXT(163,"000"))</f>
        <v>CAN-163</v>
      </c>
      <c r="C128" s="87" t="s">
        <v>766</v>
      </c>
      <c r="D128" s="18" t="s">
        <v>170</v>
      </c>
      <c r="E128" s="56"/>
      <c r="F128" s="18" t="s">
        <v>180</v>
      </c>
      <c r="G128" s="18" t="s">
        <v>765</v>
      </c>
      <c r="H128" s="42" t="s">
        <v>15</v>
      </c>
      <c r="I128" s="42" t="s">
        <v>78</v>
      </c>
      <c r="J128" s="42" t="s">
        <v>37</v>
      </c>
      <c r="K128" s="95">
        <v>46119.0</v>
      </c>
      <c r="L128" s="96">
        <v>46121.0</v>
      </c>
      <c r="M128" s="49"/>
      <c r="N128" s="53"/>
      <c r="O128" s="53"/>
      <c r="P128" s="33" t="str">
        <f>IFERROR(MasterData!$B129,"")</f>
        <v/>
      </c>
      <c r="Q128" s="33" t="str">
        <f>IFERROR(MasterData!$C129,"")</f>
        <v/>
      </c>
      <c r="R128" s="33" t="str">
        <f>IFERROR(MasterData!$E129,"")</f>
        <v/>
      </c>
      <c r="S128" s="33" t="str">
        <f>IFERROR(MasterData!$G129,"")</f>
        <v/>
      </c>
      <c r="T128" s="33" t="str">
        <f>IFERROR(MasterData!$I129,"")</f>
        <v/>
      </c>
    </row>
    <row r="129" ht="21.75" customHeight="1">
      <c r="A129" s="68"/>
      <c r="B129" s="86" t="str">
        <f>IF(C129="","","CAN-"&amp;TEXT(164,"000"))</f>
        <v>CAN-164</v>
      </c>
      <c r="C129" s="89" t="s">
        <v>767</v>
      </c>
      <c r="D129" s="12" t="s">
        <v>12</v>
      </c>
      <c r="E129" s="68"/>
      <c r="F129" s="12" t="s">
        <v>132</v>
      </c>
      <c r="G129" s="12" t="s">
        <v>768</v>
      </c>
      <c r="H129" s="63" t="s">
        <v>15</v>
      </c>
      <c r="I129" s="63" t="s">
        <v>53</v>
      </c>
      <c r="J129" s="63" t="s">
        <v>37</v>
      </c>
      <c r="K129" s="93">
        <v>46119.0</v>
      </c>
      <c r="L129" s="94">
        <v>46121.0</v>
      </c>
      <c r="M129" s="65"/>
      <c r="N129" s="66"/>
      <c r="O129" s="66"/>
      <c r="P129" s="33" t="str">
        <f>IFERROR(MasterData!$B130,"")</f>
        <v/>
      </c>
      <c r="Q129" s="33" t="str">
        <f>IFERROR(MasterData!$C130,"")</f>
        <v/>
      </c>
      <c r="R129" s="33" t="str">
        <f>IFERROR(MasterData!$E130,"")</f>
        <v/>
      </c>
      <c r="S129" s="33" t="str">
        <f>IFERROR(MasterData!$G130,"")</f>
        <v/>
      </c>
      <c r="T129" s="33" t="str">
        <f>IFERROR(MasterData!$I130,"")</f>
        <v/>
      </c>
    </row>
    <row r="130" ht="21.75" customHeight="1">
      <c r="A130" s="56"/>
      <c r="B130" s="92" t="str">
        <f>IF(C130="","","CAN-"&amp;TEXT(165,"000"))</f>
        <v>CAN-165</v>
      </c>
      <c r="C130" s="87" t="s">
        <v>769</v>
      </c>
      <c r="D130" s="18" t="s">
        <v>104</v>
      </c>
      <c r="E130" s="56"/>
      <c r="F130" s="18" t="s">
        <v>171</v>
      </c>
      <c r="G130" s="18" t="s">
        <v>770</v>
      </c>
      <c r="H130" s="42" t="s">
        <v>15</v>
      </c>
      <c r="I130" s="42" t="s">
        <v>26</v>
      </c>
      <c r="J130" s="42" t="s">
        <v>37</v>
      </c>
      <c r="K130" s="95">
        <v>46119.0</v>
      </c>
      <c r="L130" s="94">
        <v>46121.0</v>
      </c>
      <c r="M130" s="49"/>
      <c r="N130" s="53"/>
      <c r="O130" s="53"/>
      <c r="P130" s="33" t="str">
        <f>IFERROR(MasterData!$B131,"")</f>
        <v/>
      </c>
      <c r="Q130" s="33" t="str">
        <f>IFERROR(MasterData!$C131,"")</f>
        <v/>
      </c>
      <c r="R130" s="33" t="str">
        <f>IFERROR(MasterData!$E131,"")</f>
        <v/>
      </c>
      <c r="S130" s="33" t="str">
        <f>IFERROR(MasterData!$G131,"")</f>
        <v/>
      </c>
      <c r="T130" s="33" t="str">
        <f>IFERROR(MasterData!$I131,"")</f>
        <v/>
      </c>
    </row>
    <row r="131" ht="21.75" customHeight="1">
      <c r="A131" s="68"/>
      <c r="B131" s="86" t="str">
        <f>IF(C131="","","CAN-"&amp;TEXT(166,"000"))</f>
        <v>CAN-166</v>
      </c>
      <c r="C131" s="89" t="s">
        <v>771</v>
      </c>
      <c r="D131" s="12" t="s">
        <v>286</v>
      </c>
      <c r="E131" s="68"/>
      <c r="F131" s="12" t="s">
        <v>102</v>
      </c>
      <c r="G131" s="12" t="s">
        <v>772</v>
      </c>
      <c r="H131" s="63" t="s">
        <v>59</v>
      </c>
      <c r="I131" s="63" t="s">
        <v>26</v>
      </c>
      <c r="J131" s="63" t="s">
        <v>37</v>
      </c>
      <c r="K131" s="93">
        <v>46119.0</v>
      </c>
      <c r="L131" s="96">
        <v>46121.0</v>
      </c>
      <c r="M131" s="65"/>
      <c r="N131" s="66"/>
      <c r="O131" s="66"/>
      <c r="P131" s="33" t="str">
        <f>IFERROR(MasterData!$B132,"")</f>
        <v/>
      </c>
      <c r="Q131" s="33" t="str">
        <f>IFERROR(MasterData!$C132,"")</f>
        <v/>
      </c>
      <c r="R131" s="33" t="str">
        <f>IFERROR(MasterData!$E132,"")</f>
        <v/>
      </c>
      <c r="S131" s="33" t="str">
        <f>IFERROR(MasterData!$G132,"")</f>
        <v/>
      </c>
      <c r="T131" s="33" t="str">
        <f>IFERROR(MasterData!$I132,"")</f>
        <v/>
      </c>
    </row>
    <row r="132" ht="21.75" customHeight="1">
      <c r="A132" s="56"/>
      <c r="B132" s="92" t="str">
        <f>IF(C132="","","CAN-"&amp;TEXT(167,"000"))</f>
        <v>CAN-167</v>
      </c>
      <c r="C132" s="87" t="s">
        <v>773</v>
      </c>
      <c r="D132" s="18" t="s">
        <v>12</v>
      </c>
      <c r="E132" s="56"/>
      <c r="F132" s="18" t="s">
        <v>301</v>
      </c>
      <c r="G132" s="18" t="s">
        <v>765</v>
      </c>
      <c r="H132" s="42" t="s">
        <v>15</v>
      </c>
      <c r="I132" s="42" t="s">
        <v>35</v>
      </c>
      <c r="J132" s="42" t="s">
        <v>37</v>
      </c>
      <c r="K132" s="95">
        <v>46119.0</v>
      </c>
      <c r="L132" s="94">
        <v>46121.0</v>
      </c>
      <c r="M132" s="49"/>
      <c r="N132" s="53"/>
      <c r="O132" s="53"/>
      <c r="P132" s="33" t="str">
        <f>IFERROR(MasterData!$B133,"")</f>
        <v/>
      </c>
      <c r="Q132" s="33" t="str">
        <f>IFERROR(MasterData!$C133,"")</f>
        <v/>
      </c>
      <c r="R132" s="33" t="str">
        <f>IFERROR(MasterData!$E133,"")</f>
        <v/>
      </c>
      <c r="S132" s="33" t="str">
        <f>IFERROR(MasterData!$G133,"")</f>
        <v/>
      </c>
      <c r="T132" s="33" t="str">
        <f>IFERROR(MasterData!$I133,"")</f>
        <v/>
      </c>
    </row>
    <row r="133" ht="21.75" customHeight="1">
      <c r="A133" s="68"/>
      <c r="B133" s="86" t="str">
        <f>IF(C133="","","CAN-"&amp;TEXT(168,"000"))</f>
        <v>CAN-168</v>
      </c>
      <c r="C133" s="89" t="s">
        <v>774</v>
      </c>
      <c r="D133" s="12" t="s">
        <v>116</v>
      </c>
      <c r="E133" s="68"/>
      <c r="F133" s="12" t="s">
        <v>96</v>
      </c>
      <c r="G133" s="12" t="s">
        <v>775</v>
      </c>
      <c r="H133" s="63" t="s">
        <v>83</v>
      </c>
      <c r="I133" s="63" t="s">
        <v>44</v>
      </c>
      <c r="J133" s="63" t="s">
        <v>37</v>
      </c>
      <c r="K133" s="93">
        <v>46119.0</v>
      </c>
      <c r="L133" s="94">
        <v>46121.0</v>
      </c>
      <c r="M133" s="65"/>
      <c r="N133" s="66"/>
      <c r="O133" s="66"/>
      <c r="P133" s="33" t="str">
        <f>IFERROR(MasterData!$B134,"")</f>
        <v/>
      </c>
      <c r="Q133" s="33" t="str">
        <f>IFERROR(MasterData!$C134,"")</f>
        <v/>
      </c>
      <c r="R133" s="33" t="str">
        <f>IFERROR(MasterData!$E134,"")</f>
        <v/>
      </c>
      <c r="S133" s="33" t="str">
        <f>IFERROR(MasterData!$G134,"")</f>
        <v/>
      </c>
      <c r="T133" s="33" t="str">
        <f>IFERROR(MasterData!$I134,"")</f>
        <v/>
      </c>
    </row>
    <row r="134" ht="21.75" customHeight="1">
      <c r="A134" s="56"/>
      <c r="B134" s="92" t="str">
        <f>IF(C134="","","CAN-"&amp;TEXT(169,"000"))</f>
        <v>CAN-169</v>
      </c>
      <c r="C134" s="87" t="s">
        <v>776</v>
      </c>
      <c r="D134" s="18" t="s">
        <v>116</v>
      </c>
      <c r="E134" s="56"/>
      <c r="F134" s="18" t="s">
        <v>290</v>
      </c>
      <c r="G134" s="18" t="s">
        <v>777</v>
      </c>
      <c r="H134" s="42" t="s">
        <v>83</v>
      </c>
      <c r="I134" s="42" t="s">
        <v>53</v>
      </c>
      <c r="J134" s="42" t="s">
        <v>37</v>
      </c>
      <c r="K134" s="95">
        <v>46119.0</v>
      </c>
      <c r="L134" s="96">
        <v>46121.0</v>
      </c>
      <c r="M134" s="49"/>
      <c r="N134" s="53"/>
      <c r="O134" s="53"/>
      <c r="P134" s="33" t="str">
        <f>IFERROR(MasterData!$B135,"")</f>
        <v/>
      </c>
      <c r="Q134" s="33" t="str">
        <f>IFERROR(MasterData!$C135,"")</f>
        <v/>
      </c>
      <c r="R134" s="33" t="str">
        <f>IFERROR(MasterData!$E135,"")</f>
        <v/>
      </c>
      <c r="S134" s="33" t="str">
        <f>IFERROR(MasterData!$G135,"")</f>
        <v/>
      </c>
      <c r="T134" s="33" t="str">
        <f>IFERROR(MasterData!$I135,"")</f>
        <v/>
      </c>
    </row>
    <row r="135" ht="21.75" customHeight="1">
      <c r="A135" s="68"/>
      <c r="B135" s="86" t="str">
        <f>IF(C135="","","CAN-"&amp;TEXT(170,"000"))</f>
        <v>CAN-170</v>
      </c>
      <c r="C135" s="89" t="s">
        <v>778</v>
      </c>
      <c r="D135" s="12" t="s">
        <v>12</v>
      </c>
      <c r="E135" s="68"/>
      <c r="F135" s="12" t="s">
        <v>135</v>
      </c>
      <c r="G135" s="12" t="s">
        <v>779</v>
      </c>
      <c r="H135" s="63" t="s">
        <v>15</v>
      </c>
      <c r="I135" s="63" t="s">
        <v>26</v>
      </c>
      <c r="J135" s="63" t="s">
        <v>37</v>
      </c>
      <c r="K135" s="93">
        <v>46119.0</v>
      </c>
      <c r="L135" s="94">
        <v>46121.0</v>
      </c>
      <c r="M135" s="65"/>
      <c r="N135" s="66"/>
      <c r="O135" s="66"/>
      <c r="P135" s="33" t="str">
        <f>IFERROR(MasterData!$B136,"")</f>
        <v/>
      </c>
      <c r="Q135" s="33" t="str">
        <f>IFERROR(MasterData!$C136,"")</f>
        <v/>
      </c>
      <c r="R135" s="33" t="str">
        <f>IFERROR(MasterData!$E136,"")</f>
        <v/>
      </c>
      <c r="S135" s="33" t="str">
        <f>IFERROR(MasterData!$G136,"")</f>
        <v/>
      </c>
      <c r="T135" s="33" t="str">
        <f>IFERROR(MasterData!$I136,"")</f>
        <v/>
      </c>
    </row>
    <row r="136" ht="21.75" customHeight="1">
      <c r="A136" s="56"/>
      <c r="B136" s="92" t="str">
        <f>IF(C136="","","CAN-"&amp;TEXT(171,"000"))</f>
        <v>CAN-171</v>
      </c>
      <c r="C136" s="87" t="s">
        <v>780</v>
      </c>
      <c r="D136" s="18" t="s">
        <v>167</v>
      </c>
      <c r="E136" s="56"/>
      <c r="F136" s="18" t="s">
        <v>275</v>
      </c>
      <c r="G136" s="18" t="s">
        <v>781</v>
      </c>
      <c r="H136" s="42" t="s">
        <v>15</v>
      </c>
      <c r="I136" s="42" t="s">
        <v>26</v>
      </c>
      <c r="J136" s="42" t="s">
        <v>37</v>
      </c>
      <c r="K136" s="95">
        <v>46119.0</v>
      </c>
      <c r="L136" s="94">
        <v>46121.0</v>
      </c>
      <c r="M136" s="49"/>
      <c r="N136" s="53"/>
      <c r="O136" s="53"/>
      <c r="P136" s="33" t="str">
        <f>IFERROR(MasterData!$B137,"")</f>
        <v/>
      </c>
      <c r="Q136" s="33" t="str">
        <f>IFERROR(MasterData!$C137,"")</f>
        <v/>
      </c>
      <c r="R136" s="33" t="str">
        <f>IFERROR(MasterData!$E137,"")</f>
        <v/>
      </c>
      <c r="S136" s="33" t="str">
        <f>IFERROR(MasterData!$G137,"")</f>
        <v/>
      </c>
      <c r="T136" s="33" t="str">
        <f>IFERROR(MasterData!$I137,"")</f>
        <v/>
      </c>
    </row>
    <row r="137" ht="21.75" customHeight="1">
      <c r="A137" s="68"/>
      <c r="B137" s="86" t="str">
        <f>IF(C137="","","CAN-"&amp;TEXT(172,"000"))</f>
        <v>CAN-172</v>
      </c>
      <c r="C137" s="89" t="s">
        <v>782</v>
      </c>
      <c r="D137" s="12" t="s">
        <v>167</v>
      </c>
      <c r="E137" s="68"/>
      <c r="F137" s="12" t="s">
        <v>275</v>
      </c>
      <c r="G137" s="12" t="s">
        <v>783</v>
      </c>
      <c r="H137" s="63" t="s">
        <v>15</v>
      </c>
      <c r="I137" s="63" t="s">
        <v>26</v>
      </c>
      <c r="J137" s="63" t="s">
        <v>37</v>
      </c>
      <c r="K137" s="93">
        <v>46119.0</v>
      </c>
      <c r="L137" s="96">
        <v>46121.0</v>
      </c>
      <c r="M137" s="65"/>
      <c r="N137" s="66"/>
      <c r="O137" s="66"/>
      <c r="P137" s="33" t="str">
        <f>IFERROR(MasterData!$B138,"")</f>
        <v/>
      </c>
      <c r="Q137" s="33" t="str">
        <f>IFERROR(MasterData!$C138,"")</f>
        <v/>
      </c>
      <c r="R137" s="33" t="str">
        <f>IFERROR(MasterData!$E138,"")</f>
        <v/>
      </c>
      <c r="S137" s="33" t="str">
        <f>IFERROR(MasterData!$G138,"")</f>
        <v/>
      </c>
      <c r="T137" s="33" t="str">
        <f>IFERROR(MasterData!$I138,"")</f>
        <v/>
      </c>
    </row>
    <row r="138" ht="21.75" customHeight="1">
      <c r="A138" s="56"/>
      <c r="B138" s="92" t="str">
        <f>IF(C138="","","CAN-"&amp;TEXT(173,"000"))</f>
        <v>CAN-173</v>
      </c>
      <c r="C138" s="87" t="s">
        <v>784</v>
      </c>
      <c r="D138" s="18" t="s">
        <v>265</v>
      </c>
      <c r="E138" s="56"/>
      <c r="F138" s="18" t="s">
        <v>234</v>
      </c>
      <c r="G138" s="18" t="s">
        <v>785</v>
      </c>
      <c r="H138" s="42" t="s">
        <v>24</v>
      </c>
      <c r="I138" s="42" t="s">
        <v>35</v>
      </c>
      <c r="J138" s="42" t="s">
        <v>37</v>
      </c>
      <c r="K138" s="95">
        <v>46119.0</v>
      </c>
      <c r="L138" s="94">
        <v>46121.0</v>
      </c>
      <c r="M138" s="49"/>
      <c r="N138" s="53"/>
      <c r="O138" s="53"/>
      <c r="P138" s="33" t="str">
        <f>IFERROR(MasterData!$B139,"")</f>
        <v/>
      </c>
      <c r="Q138" s="33" t="str">
        <f>IFERROR(MasterData!$C139,"")</f>
        <v/>
      </c>
      <c r="R138" s="33" t="str">
        <f>IFERROR(MasterData!$E139,"")</f>
        <v/>
      </c>
      <c r="S138" s="33" t="str">
        <f>IFERROR(MasterData!$G139,"")</f>
        <v/>
      </c>
      <c r="T138" s="33" t="str">
        <f>IFERROR(MasterData!$I139,"")</f>
        <v/>
      </c>
    </row>
    <row r="139" ht="21.75" customHeight="1">
      <c r="A139" s="68"/>
      <c r="B139" s="86" t="str">
        <f>IF(C139="","","CAN-"&amp;TEXT(174,"000"))</f>
        <v>CAN-174</v>
      </c>
      <c r="C139" s="89" t="s">
        <v>786</v>
      </c>
      <c r="D139" s="12" t="s">
        <v>265</v>
      </c>
      <c r="E139" s="68"/>
      <c r="F139" s="12" t="s">
        <v>234</v>
      </c>
      <c r="G139" s="12" t="s">
        <v>787</v>
      </c>
      <c r="H139" s="63" t="s">
        <v>24</v>
      </c>
      <c r="I139" s="63" t="s">
        <v>35</v>
      </c>
      <c r="J139" s="63" t="s">
        <v>37</v>
      </c>
      <c r="K139" s="93">
        <v>46119.0</v>
      </c>
      <c r="L139" s="94">
        <v>46121.0</v>
      </c>
      <c r="M139" s="65"/>
      <c r="N139" s="66"/>
      <c r="O139" s="66"/>
      <c r="P139" s="33" t="str">
        <f>IFERROR(MasterData!$B140,"")</f>
        <v/>
      </c>
      <c r="Q139" s="33" t="str">
        <f>IFERROR(MasterData!$C140,"")</f>
        <v/>
      </c>
      <c r="R139" s="33" t="str">
        <f>IFERROR(MasterData!$E140,"")</f>
        <v/>
      </c>
      <c r="S139" s="33" t="str">
        <f>IFERROR(MasterData!$G140,"")</f>
        <v/>
      </c>
      <c r="T139" s="33" t="str">
        <f>IFERROR(MasterData!$I140,"")</f>
        <v/>
      </c>
    </row>
    <row r="140" ht="21.75" customHeight="1">
      <c r="A140" s="56"/>
      <c r="B140" s="92" t="str">
        <f>IF(C140="","","CAN-"&amp;TEXT(175,"000"))</f>
        <v>CAN-175</v>
      </c>
      <c r="C140" s="87" t="s">
        <v>788</v>
      </c>
      <c r="D140" s="18" t="s">
        <v>239</v>
      </c>
      <c r="E140" s="56"/>
      <c r="F140" s="18" t="s">
        <v>129</v>
      </c>
      <c r="G140" s="18" t="s">
        <v>789</v>
      </c>
      <c r="H140" s="42" t="s">
        <v>15</v>
      </c>
      <c r="I140" s="42" t="s">
        <v>44</v>
      </c>
      <c r="J140" s="42" t="s">
        <v>37</v>
      </c>
      <c r="K140" s="95">
        <v>46119.0</v>
      </c>
      <c r="L140" s="96">
        <v>46121.0</v>
      </c>
      <c r="M140" s="49"/>
      <c r="N140" s="53"/>
      <c r="O140" s="53"/>
      <c r="P140" s="33" t="str">
        <f>IFERROR(MasterData!$B141,"")</f>
        <v/>
      </c>
      <c r="Q140" s="33" t="str">
        <f>IFERROR(MasterData!$C141,"")</f>
        <v/>
      </c>
      <c r="R140" s="33" t="str">
        <f>IFERROR(MasterData!$E141,"")</f>
        <v/>
      </c>
      <c r="S140" s="33" t="str">
        <f>IFERROR(MasterData!$G141,"")</f>
        <v/>
      </c>
      <c r="T140" s="33" t="str">
        <f>IFERROR(MasterData!$I141,"")</f>
        <v/>
      </c>
    </row>
    <row r="141" ht="21.75" customHeight="1">
      <c r="A141" s="68"/>
      <c r="B141" s="86" t="str">
        <f>IF(C141="","","CAN-"&amp;TEXT(176,"000"))</f>
        <v>CAN-176</v>
      </c>
      <c r="C141" s="89" t="s">
        <v>790</v>
      </c>
      <c r="D141" s="12" t="s">
        <v>239</v>
      </c>
      <c r="E141" s="68"/>
      <c r="F141" s="12" t="s">
        <v>132</v>
      </c>
      <c r="G141" s="12" t="s">
        <v>791</v>
      </c>
      <c r="H141" s="63" t="s">
        <v>15</v>
      </c>
      <c r="I141" s="63" t="s">
        <v>72</v>
      </c>
      <c r="J141" s="63" t="s">
        <v>37</v>
      </c>
      <c r="K141" s="93">
        <v>46119.0</v>
      </c>
      <c r="L141" s="94">
        <v>46121.0</v>
      </c>
      <c r="M141" s="65"/>
      <c r="N141" s="66"/>
      <c r="O141" s="66"/>
      <c r="P141" s="33" t="str">
        <f>IFERROR(MasterData!$B142,"")</f>
        <v/>
      </c>
      <c r="Q141" s="33" t="str">
        <f>IFERROR(MasterData!$C142,"")</f>
        <v/>
      </c>
      <c r="R141" s="33" t="str">
        <f>IFERROR(MasterData!$E142,"")</f>
        <v/>
      </c>
      <c r="S141" s="33" t="str">
        <f>IFERROR(MasterData!$G142,"")</f>
        <v/>
      </c>
      <c r="T141" s="33" t="str">
        <f>IFERROR(MasterData!$I142,"")</f>
        <v/>
      </c>
    </row>
    <row r="142" ht="21.75" customHeight="1">
      <c r="A142" s="56"/>
      <c r="B142" s="92" t="str">
        <f>IF(C142="","","CAN-"&amp;TEXT(177,"000"))</f>
        <v>CAN-177</v>
      </c>
      <c r="C142" s="87" t="s">
        <v>792</v>
      </c>
      <c r="D142" s="18" t="s">
        <v>167</v>
      </c>
      <c r="E142" s="56"/>
      <c r="F142" s="18" t="s">
        <v>13</v>
      </c>
      <c r="G142" s="18" t="s">
        <v>770</v>
      </c>
      <c r="H142" s="42" t="s">
        <v>15</v>
      </c>
      <c r="I142" s="42" t="s">
        <v>17</v>
      </c>
      <c r="J142" s="42" t="s">
        <v>37</v>
      </c>
      <c r="K142" s="95">
        <v>46119.0</v>
      </c>
      <c r="L142" s="94">
        <v>46121.0</v>
      </c>
      <c r="M142" s="49"/>
      <c r="N142" s="53"/>
      <c r="O142" s="53"/>
      <c r="P142" s="33" t="str">
        <f>IFERROR(MasterData!$B143,"")</f>
        <v/>
      </c>
      <c r="Q142" s="33" t="str">
        <f>IFERROR(MasterData!$C143,"")</f>
        <v/>
      </c>
      <c r="R142" s="33" t="str">
        <f>IFERROR(MasterData!$E143,"")</f>
        <v/>
      </c>
      <c r="S142" s="33" t="str">
        <f>IFERROR(MasterData!$G143,"")</f>
        <v/>
      </c>
      <c r="T142" s="33" t="str">
        <f>IFERROR(MasterData!$I143,"")</f>
        <v/>
      </c>
    </row>
    <row r="143" ht="21.75" customHeight="1">
      <c r="A143" s="68"/>
      <c r="B143" s="86" t="str">
        <f>IF(C143="","","CAN-"&amp;TEXT(178,"000"))</f>
        <v>CAN-178</v>
      </c>
      <c r="C143" s="89" t="s">
        <v>793</v>
      </c>
      <c r="D143" s="12" t="s">
        <v>98</v>
      </c>
      <c r="E143" s="68"/>
      <c r="F143" s="12" t="s">
        <v>135</v>
      </c>
      <c r="G143" s="12" t="s">
        <v>779</v>
      </c>
      <c r="H143" s="63" t="s">
        <v>15</v>
      </c>
      <c r="I143" s="63" t="s">
        <v>17</v>
      </c>
      <c r="J143" s="63" t="s">
        <v>37</v>
      </c>
      <c r="K143" s="93">
        <v>46119.0</v>
      </c>
      <c r="L143" s="96">
        <v>46121.0</v>
      </c>
      <c r="M143" s="65"/>
      <c r="N143" s="66"/>
      <c r="O143" s="66"/>
      <c r="P143" s="33" t="str">
        <f>IFERROR(MasterData!$B144,"")</f>
        <v/>
      </c>
      <c r="Q143" s="33" t="str">
        <f>IFERROR(MasterData!$C144,"")</f>
        <v/>
      </c>
      <c r="R143" s="33" t="str">
        <f>IFERROR(MasterData!$E144,"")</f>
        <v/>
      </c>
      <c r="S143" s="33" t="str">
        <f>IFERROR(MasterData!$G144,"")</f>
        <v/>
      </c>
      <c r="T143" s="33" t="str">
        <f>IFERROR(MasterData!$I144,"")</f>
        <v/>
      </c>
    </row>
    <row r="144" ht="21.75" customHeight="1">
      <c r="A144" s="56"/>
      <c r="B144" s="92" t="str">
        <f>IF(C144="","","CAN-"&amp;TEXT(179,"000"))</f>
        <v>CAN-179</v>
      </c>
      <c r="C144" s="87" t="s">
        <v>794</v>
      </c>
      <c r="D144" s="18" t="s">
        <v>239</v>
      </c>
      <c r="E144" s="56"/>
      <c r="F144" s="18" t="s">
        <v>117</v>
      </c>
      <c r="G144" s="18" t="s">
        <v>795</v>
      </c>
      <c r="H144" s="42" t="s">
        <v>15</v>
      </c>
      <c r="I144" s="42" t="s">
        <v>17</v>
      </c>
      <c r="J144" s="42" t="s">
        <v>37</v>
      </c>
      <c r="K144" s="95">
        <v>46119.0</v>
      </c>
      <c r="L144" s="94">
        <v>46121.0</v>
      </c>
      <c r="M144" s="49"/>
      <c r="N144" s="53"/>
      <c r="O144" s="53"/>
      <c r="P144" s="33" t="str">
        <f>IFERROR(MasterData!$B145,"")</f>
        <v/>
      </c>
      <c r="Q144" s="33" t="str">
        <f>IFERROR(MasterData!$C145,"")</f>
        <v/>
      </c>
      <c r="R144" s="33" t="str">
        <f>IFERROR(MasterData!$E145,"")</f>
        <v/>
      </c>
      <c r="S144" s="33" t="str">
        <f>IFERROR(MasterData!$G145,"")</f>
        <v/>
      </c>
      <c r="T144" s="33" t="str">
        <f>IFERROR(MasterData!$I145,"")</f>
        <v/>
      </c>
    </row>
    <row r="145" ht="21.75" customHeight="1">
      <c r="A145" s="68"/>
      <c r="B145" s="86" t="str">
        <f>IF(C145="","","CAN-"&amp;TEXT(180,"000"))</f>
        <v>CAN-180</v>
      </c>
      <c r="C145" s="89" t="s">
        <v>796</v>
      </c>
      <c r="D145" s="12" t="s">
        <v>12</v>
      </c>
      <c r="E145" s="68"/>
      <c r="F145" s="12" t="s">
        <v>129</v>
      </c>
      <c r="G145" s="12" t="s">
        <v>797</v>
      </c>
      <c r="H145" s="63" t="s">
        <v>15</v>
      </c>
      <c r="I145" s="63" t="s">
        <v>17</v>
      </c>
      <c r="J145" s="63" t="s">
        <v>37</v>
      </c>
      <c r="K145" s="93">
        <v>46119.0</v>
      </c>
      <c r="L145" s="94">
        <v>46121.0</v>
      </c>
      <c r="M145" s="65"/>
      <c r="N145" s="66"/>
      <c r="O145" s="66"/>
      <c r="P145" s="33" t="str">
        <f>IFERROR(MasterData!$B146,"")</f>
        <v/>
      </c>
      <c r="Q145" s="33" t="str">
        <f>IFERROR(MasterData!$C146,"")</f>
        <v/>
      </c>
      <c r="R145" s="33" t="str">
        <f>IFERROR(MasterData!$E146,"")</f>
        <v/>
      </c>
      <c r="S145" s="33" t="str">
        <f>IFERROR(MasterData!$G146,"")</f>
        <v/>
      </c>
      <c r="T145" s="33" t="str">
        <f>IFERROR(MasterData!$I146,"")</f>
        <v/>
      </c>
    </row>
    <row r="146" ht="21.75" customHeight="1">
      <c r="A146" s="56"/>
      <c r="B146" s="97" t="s">
        <v>798</v>
      </c>
      <c r="C146" s="87" t="s">
        <v>799</v>
      </c>
      <c r="D146" s="18" t="s">
        <v>104</v>
      </c>
      <c r="E146" s="56"/>
      <c r="F146" s="18" t="s">
        <v>174</v>
      </c>
      <c r="G146" s="18" t="s">
        <v>800</v>
      </c>
      <c r="H146" s="42" t="s">
        <v>15</v>
      </c>
      <c r="I146" s="42" t="s">
        <v>17</v>
      </c>
      <c r="J146" s="42" t="s">
        <v>37</v>
      </c>
      <c r="K146" s="95">
        <v>46119.0</v>
      </c>
      <c r="L146" s="96">
        <v>46121.0</v>
      </c>
      <c r="M146" s="49"/>
      <c r="N146" s="53"/>
      <c r="O146" s="53"/>
      <c r="P146" s="33" t="str">
        <f>IFERROR(MasterData!$B147,"")</f>
        <v/>
      </c>
      <c r="Q146" s="33" t="str">
        <f>IFERROR(MasterData!$C147,"")</f>
        <v/>
      </c>
      <c r="R146" s="33" t="str">
        <f>IFERROR(MasterData!$E147,"")</f>
        <v/>
      </c>
      <c r="S146" s="33" t="str">
        <f>IFERROR(MasterData!$G147,"")</f>
        <v/>
      </c>
      <c r="T146" s="33" t="str">
        <f>IFERROR(MasterData!$I147,"")</f>
        <v/>
      </c>
    </row>
    <row r="147" ht="21.75" customHeight="1">
      <c r="A147" s="68"/>
      <c r="B147" s="98" t="s">
        <v>801</v>
      </c>
      <c r="C147" s="89" t="s">
        <v>802</v>
      </c>
      <c r="D147" s="12" t="s">
        <v>170</v>
      </c>
      <c r="E147" s="68"/>
      <c r="F147" s="12" t="s">
        <v>105</v>
      </c>
      <c r="G147" s="12" t="s">
        <v>803</v>
      </c>
      <c r="H147" s="63" t="s">
        <v>15</v>
      </c>
      <c r="I147" s="63" t="s">
        <v>17</v>
      </c>
      <c r="J147" s="63" t="s">
        <v>37</v>
      </c>
      <c r="K147" s="93">
        <v>46119.0</v>
      </c>
      <c r="L147" s="94">
        <v>46121.0</v>
      </c>
      <c r="M147" s="65"/>
      <c r="N147" s="66"/>
      <c r="O147" s="66"/>
      <c r="P147" s="33" t="str">
        <f>IFERROR(MasterData!$B148,"")</f>
        <v/>
      </c>
      <c r="Q147" s="33" t="str">
        <f>IFERROR(MasterData!$C148,"")</f>
        <v/>
      </c>
      <c r="R147" s="33" t="str">
        <f>IFERROR(MasterData!$E148,"")</f>
        <v/>
      </c>
      <c r="S147" s="33" t="str">
        <f>IFERROR(MasterData!$G148,"")</f>
        <v/>
      </c>
      <c r="T147" s="33" t="str">
        <f>IFERROR(MasterData!$I148,"")</f>
        <v/>
      </c>
    </row>
    <row r="148" ht="21.75" customHeight="1">
      <c r="A148" s="56"/>
      <c r="B148" s="97" t="s">
        <v>804</v>
      </c>
      <c r="C148" s="87" t="s">
        <v>805</v>
      </c>
      <c r="D148" s="18" t="s">
        <v>239</v>
      </c>
      <c r="E148" s="56"/>
      <c r="F148" s="18" t="s">
        <v>132</v>
      </c>
      <c r="G148" s="18" t="s">
        <v>779</v>
      </c>
      <c r="H148" s="42" t="s">
        <v>15</v>
      </c>
      <c r="I148" s="42" t="s">
        <v>17</v>
      </c>
      <c r="J148" s="42" t="s">
        <v>37</v>
      </c>
      <c r="K148" s="95">
        <v>46119.0</v>
      </c>
      <c r="L148" s="94">
        <v>46121.0</v>
      </c>
      <c r="M148" s="49"/>
      <c r="N148" s="53"/>
      <c r="O148" s="53"/>
      <c r="P148" s="33" t="str">
        <f>IFERROR(MasterData!$B149,"")</f>
        <v/>
      </c>
      <c r="Q148" s="33" t="str">
        <f>IFERROR(MasterData!$C149,"")</f>
        <v/>
      </c>
      <c r="R148" s="33" t="str">
        <f>IFERROR(MasterData!$E149,"")</f>
        <v/>
      </c>
      <c r="S148" s="33" t="str">
        <f>IFERROR(MasterData!$G149,"")</f>
        <v/>
      </c>
      <c r="T148" s="33" t="str">
        <f>IFERROR(MasterData!$I149,"")</f>
        <v/>
      </c>
    </row>
    <row r="149" ht="21.75" customHeight="1">
      <c r="A149" s="68"/>
      <c r="B149" s="67"/>
      <c r="C149" s="12" t="s">
        <v>806</v>
      </c>
      <c r="D149" s="12" t="s">
        <v>289</v>
      </c>
      <c r="E149" s="68"/>
      <c r="F149" s="12" t="s">
        <v>162</v>
      </c>
      <c r="G149" s="12" t="s">
        <v>807</v>
      </c>
      <c r="H149" s="63" t="s">
        <v>24</v>
      </c>
      <c r="I149" s="63" t="s">
        <v>72</v>
      </c>
      <c r="J149" s="63" t="s">
        <v>37</v>
      </c>
      <c r="K149" s="93">
        <v>46119.0</v>
      </c>
      <c r="L149" s="96">
        <v>46130.0</v>
      </c>
      <c r="M149" s="65"/>
      <c r="N149" s="66"/>
      <c r="O149" s="66"/>
      <c r="P149" s="33" t="str">
        <f>IFERROR(MasterData!$B150,"")</f>
        <v/>
      </c>
      <c r="Q149" s="33" t="str">
        <f>IFERROR(MasterData!$C150,"")</f>
        <v/>
      </c>
      <c r="R149" s="33" t="str">
        <f>IFERROR(MasterData!$E150,"")</f>
        <v/>
      </c>
      <c r="S149" s="33" t="str">
        <f>IFERROR(MasterData!$G150,"")</f>
        <v/>
      </c>
      <c r="T149" s="33" t="str">
        <f>IFERROR(MasterData!$I150,"")</f>
        <v/>
      </c>
    </row>
    <row r="150" ht="21.75" customHeight="1">
      <c r="A150" s="56"/>
      <c r="B150" s="58"/>
      <c r="C150" s="18" t="s">
        <v>808</v>
      </c>
      <c r="D150" s="18" t="s">
        <v>98</v>
      </c>
      <c r="E150" s="56"/>
      <c r="F150" s="18" t="s">
        <v>207</v>
      </c>
      <c r="G150" s="18" t="s">
        <v>809</v>
      </c>
      <c r="H150" s="42" t="s">
        <v>15</v>
      </c>
      <c r="I150" s="42" t="s">
        <v>26</v>
      </c>
      <c r="J150" s="42" t="s">
        <v>46</v>
      </c>
      <c r="K150" s="64">
        <v>46122.0</v>
      </c>
      <c r="L150" s="49"/>
      <c r="M150" s="49"/>
      <c r="N150" s="53"/>
      <c r="O150" s="53"/>
      <c r="P150" s="33" t="str">
        <f>IFERROR(MasterData!$B151,"")</f>
        <v/>
      </c>
      <c r="Q150" s="33" t="str">
        <f>IFERROR(MasterData!$C151,"")</f>
        <v/>
      </c>
      <c r="R150" s="33" t="str">
        <f>IFERROR(MasterData!$E151,"")</f>
        <v/>
      </c>
      <c r="S150" s="33" t="str">
        <f>IFERROR(MasterData!$G151,"")</f>
        <v/>
      </c>
      <c r="T150" s="33" t="str">
        <f>IFERROR(MasterData!$I151,"")</f>
        <v/>
      </c>
    </row>
    <row r="151" ht="21.75" customHeight="1">
      <c r="A151" s="68"/>
      <c r="B151" s="67"/>
      <c r="C151" s="85" t="s">
        <v>810</v>
      </c>
      <c r="D151" s="12" t="s">
        <v>134</v>
      </c>
      <c r="E151" s="68"/>
      <c r="F151" s="12" t="s">
        <v>186</v>
      </c>
      <c r="G151" s="12" t="s">
        <v>811</v>
      </c>
      <c r="H151" s="63" t="s">
        <v>15</v>
      </c>
      <c r="I151" s="63" t="s">
        <v>35</v>
      </c>
      <c r="J151" s="63" t="s">
        <v>54</v>
      </c>
      <c r="K151" s="64">
        <v>46122.0</v>
      </c>
      <c r="L151" s="64">
        <v>46122.0</v>
      </c>
      <c r="M151" s="64">
        <v>46123.0</v>
      </c>
      <c r="N151" s="66"/>
      <c r="O151" s="66"/>
      <c r="P151" s="33" t="str">
        <f>IFERROR(MasterData!$B152,"")</f>
        <v/>
      </c>
      <c r="Q151" s="33" t="str">
        <f>IFERROR(MasterData!$C152,"")</f>
        <v/>
      </c>
      <c r="R151" s="33" t="str">
        <f>IFERROR(MasterData!$E152,"")</f>
        <v/>
      </c>
      <c r="S151" s="33" t="str">
        <f>IFERROR(MasterData!$G152,"")</f>
        <v/>
      </c>
      <c r="T151" s="33" t="str">
        <f>IFERROR(MasterData!$I152,"")</f>
        <v/>
      </c>
    </row>
    <row r="152" ht="21.75" customHeight="1">
      <c r="A152" s="56"/>
      <c r="B152" s="58"/>
      <c r="C152" s="18" t="s">
        <v>812</v>
      </c>
      <c r="D152" s="18" t="s">
        <v>256</v>
      </c>
      <c r="E152" s="56"/>
      <c r="F152" s="18" t="s">
        <v>117</v>
      </c>
      <c r="G152" s="18" t="s">
        <v>490</v>
      </c>
      <c r="H152" s="42" t="s">
        <v>15</v>
      </c>
      <c r="I152" s="42" t="s">
        <v>84</v>
      </c>
      <c r="J152" s="42" t="s">
        <v>54</v>
      </c>
      <c r="K152" s="96">
        <v>46132.0</v>
      </c>
      <c r="L152" s="96">
        <v>46132.0</v>
      </c>
      <c r="M152" s="96">
        <v>46133.0</v>
      </c>
      <c r="N152" s="53"/>
      <c r="O152" s="53"/>
      <c r="P152" s="33" t="str">
        <f>IFERROR(MasterData!$B153,"")</f>
        <v/>
      </c>
      <c r="Q152" s="33" t="str">
        <f>IFERROR(MasterData!$C153,"")</f>
        <v/>
      </c>
      <c r="R152" s="33" t="str">
        <f>IFERROR(MasterData!$E153,"")</f>
        <v/>
      </c>
      <c r="S152" s="33" t="str">
        <f>IFERROR(MasterData!$G153,"")</f>
        <v/>
      </c>
      <c r="T152" s="33" t="str">
        <f>IFERROR(MasterData!$I153,"")</f>
        <v/>
      </c>
    </row>
    <row r="153" ht="21.75" customHeight="1">
      <c r="A153" s="68"/>
      <c r="B153" s="67"/>
      <c r="C153" s="12" t="s">
        <v>813</v>
      </c>
      <c r="D153" s="12" t="s">
        <v>48</v>
      </c>
      <c r="E153" s="68"/>
      <c r="F153" s="12" t="s">
        <v>102</v>
      </c>
      <c r="G153" s="12" t="s">
        <v>814</v>
      </c>
      <c r="H153" s="63" t="s">
        <v>15</v>
      </c>
      <c r="I153" s="63" t="s">
        <v>44</v>
      </c>
      <c r="J153" s="63" t="s">
        <v>54</v>
      </c>
      <c r="K153" s="64">
        <v>46123.0</v>
      </c>
      <c r="L153" s="64">
        <v>46123.0</v>
      </c>
      <c r="M153" s="64">
        <v>46125.0</v>
      </c>
      <c r="N153" s="66"/>
      <c r="O153" s="66"/>
      <c r="P153" s="33" t="str">
        <f>IFERROR(MasterData!$B154,"")</f>
        <v/>
      </c>
      <c r="Q153" s="33" t="str">
        <f>IFERROR(MasterData!$C154,"")</f>
        <v/>
      </c>
      <c r="R153" s="33" t="str">
        <f>IFERROR(MasterData!$E154,"")</f>
        <v/>
      </c>
      <c r="S153" s="33" t="str">
        <f>IFERROR(MasterData!$G154,"")</f>
        <v/>
      </c>
      <c r="T153" s="33" t="str">
        <f>IFERROR(MasterData!$I154,"")</f>
        <v/>
      </c>
    </row>
    <row r="154" ht="21.75" customHeight="1">
      <c r="A154" s="56"/>
      <c r="B154" s="58"/>
      <c r="C154" s="90" t="s">
        <v>815</v>
      </c>
      <c r="D154" s="18" t="s">
        <v>48</v>
      </c>
      <c r="E154" s="56"/>
      <c r="F154" s="18" t="s">
        <v>135</v>
      </c>
      <c r="G154" s="18" t="s">
        <v>490</v>
      </c>
      <c r="H154" s="42" t="s">
        <v>15</v>
      </c>
      <c r="I154" s="42" t="s">
        <v>84</v>
      </c>
      <c r="J154" s="42" t="s">
        <v>54</v>
      </c>
      <c r="K154" s="96">
        <v>46125.0</v>
      </c>
      <c r="L154" s="96">
        <v>46125.0</v>
      </c>
      <c r="M154" s="96">
        <v>46125.0</v>
      </c>
      <c r="N154" s="53"/>
      <c r="O154" s="53"/>
      <c r="P154" s="33" t="str">
        <f>IFERROR(MasterData!$B155,"")</f>
        <v/>
      </c>
      <c r="Q154" s="33" t="str">
        <f>IFERROR(MasterData!$C155,"")</f>
        <v/>
      </c>
      <c r="R154" s="33" t="str">
        <f>IFERROR(MasterData!$E155,"")</f>
        <v/>
      </c>
      <c r="S154" s="33" t="str">
        <f>IFERROR(MasterData!$G155,"")</f>
        <v/>
      </c>
      <c r="T154" s="33" t="str">
        <f>IFERROR(MasterData!$I155,"")</f>
        <v/>
      </c>
    </row>
    <row r="155" ht="21.75" customHeight="1">
      <c r="A155" s="68"/>
      <c r="B155" s="67"/>
      <c r="C155" s="85" t="s">
        <v>816</v>
      </c>
      <c r="D155" s="12" t="s">
        <v>48</v>
      </c>
      <c r="E155" s="68"/>
      <c r="F155" s="12" t="s">
        <v>102</v>
      </c>
      <c r="G155" s="12" t="s">
        <v>490</v>
      </c>
      <c r="H155" s="63" t="s">
        <v>15</v>
      </c>
      <c r="I155" s="63" t="s">
        <v>84</v>
      </c>
      <c r="J155" s="63" t="s">
        <v>54</v>
      </c>
      <c r="K155" s="64">
        <v>46125.0</v>
      </c>
      <c r="L155" s="64">
        <v>46125.0</v>
      </c>
      <c r="M155" s="64">
        <v>46125.0</v>
      </c>
      <c r="N155" s="66"/>
      <c r="O155" s="66"/>
      <c r="P155" s="33" t="str">
        <f>IFERROR(MasterData!$B156,"")</f>
        <v/>
      </c>
      <c r="Q155" s="33" t="str">
        <f>IFERROR(MasterData!$C156,"")</f>
        <v/>
      </c>
      <c r="R155" s="33" t="str">
        <f>IFERROR(MasterData!$E156,"")</f>
        <v/>
      </c>
      <c r="S155" s="33" t="str">
        <f>IFERROR(MasterData!$G156,"")</f>
        <v/>
      </c>
      <c r="T155" s="33" t="str">
        <f>IFERROR(MasterData!$I156,"")</f>
        <v/>
      </c>
    </row>
    <row r="156" ht="21.75" customHeight="1">
      <c r="A156" s="56"/>
      <c r="B156" s="58"/>
      <c r="C156" s="90" t="s">
        <v>817</v>
      </c>
      <c r="D156" s="18" t="s">
        <v>182</v>
      </c>
      <c r="E156" s="56"/>
      <c r="F156" s="18" t="s">
        <v>13</v>
      </c>
      <c r="G156" s="18" t="s">
        <v>797</v>
      </c>
      <c r="H156" s="42" t="s">
        <v>15</v>
      </c>
      <c r="I156" s="42" t="s">
        <v>44</v>
      </c>
      <c r="J156" s="42" t="s">
        <v>54</v>
      </c>
      <c r="K156" s="96">
        <v>46125.0</v>
      </c>
      <c r="L156" s="96">
        <v>46125.0</v>
      </c>
      <c r="M156" s="96">
        <v>46125.0</v>
      </c>
      <c r="N156" s="53"/>
      <c r="O156" s="53"/>
      <c r="P156" s="33" t="str">
        <f>IFERROR(MasterData!$B157,"")</f>
        <v/>
      </c>
      <c r="Q156" s="33" t="str">
        <f>IFERROR(MasterData!$C157,"")</f>
        <v/>
      </c>
      <c r="R156" s="33" t="str">
        <f>IFERROR(MasterData!$E157,"")</f>
        <v/>
      </c>
      <c r="S156" s="33" t="str">
        <f>IFERROR(MasterData!$G157,"")</f>
        <v/>
      </c>
      <c r="T156" s="33" t="str">
        <f>IFERROR(MasterData!$I157,"")</f>
        <v/>
      </c>
    </row>
    <row r="157" ht="21.75" customHeight="1">
      <c r="A157" s="68"/>
      <c r="B157" s="67"/>
      <c r="C157" s="90" t="s">
        <v>818</v>
      </c>
      <c r="D157" s="12" t="s">
        <v>12</v>
      </c>
      <c r="E157" s="68"/>
      <c r="F157" s="12" t="s">
        <v>129</v>
      </c>
      <c r="G157" s="12" t="s">
        <v>819</v>
      </c>
      <c r="H157" s="63" t="s">
        <v>15</v>
      </c>
      <c r="I157" s="63" t="s">
        <v>26</v>
      </c>
      <c r="J157" s="63" t="s">
        <v>54</v>
      </c>
      <c r="K157" s="64">
        <v>46125.0</v>
      </c>
      <c r="L157" s="64">
        <v>46125.0</v>
      </c>
      <c r="M157" s="64">
        <v>46126.0</v>
      </c>
      <c r="N157" s="66"/>
      <c r="O157" s="12" t="s">
        <v>820</v>
      </c>
      <c r="P157" s="33" t="str">
        <f>IFERROR(MasterData!$B158,"")</f>
        <v/>
      </c>
      <c r="Q157" s="33" t="str">
        <f>IFERROR(MasterData!$C158,"")</f>
        <v/>
      </c>
      <c r="R157" s="33" t="str">
        <f>IFERROR(MasterData!$E158,"")</f>
        <v/>
      </c>
      <c r="S157" s="33" t="str">
        <f>IFERROR(MasterData!$G158,"")</f>
        <v/>
      </c>
      <c r="T157" s="33" t="str">
        <f>IFERROR(MasterData!$I158,"")</f>
        <v/>
      </c>
    </row>
    <row r="158" ht="21.75" customHeight="1">
      <c r="A158" s="56"/>
      <c r="B158" s="58"/>
      <c r="C158" s="90" t="s">
        <v>821</v>
      </c>
      <c r="D158" s="18" t="s">
        <v>239</v>
      </c>
      <c r="E158" s="56"/>
      <c r="F158" s="18" t="s">
        <v>105</v>
      </c>
      <c r="G158" s="18" t="s">
        <v>822</v>
      </c>
      <c r="H158" s="42" t="s">
        <v>15</v>
      </c>
      <c r="I158" s="42" t="s">
        <v>84</v>
      </c>
      <c r="J158" s="42" t="s">
        <v>54</v>
      </c>
      <c r="K158" s="96">
        <v>46125.0</v>
      </c>
      <c r="L158" s="96">
        <v>46125.0</v>
      </c>
      <c r="M158" s="96">
        <v>46125.0</v>
      </c>
      <c r="N158" s="53"/>
      <c r="O158" s="53"/>
      <c r="P158" s="33" t="str">
        <f>IFERROR(MasterData!$B159,"")</f>
        <v/>
      </c>
      <c r="Q158" s="33" t="str">
        <f>IFERROR(MasterData!$C159,"")</f>
        <v/>
      </c>
      <c r="R158" s="33" t="str">
        <f>IFERROR(MasterData!$E159,"")</f>
        <v/>
      </c>
      <c r="S158" s="33" t="str">
        <f>IFERROR(MasterData!$G159,"")</f>
        <v/>
      </c>
      <c r="T158" s="33" t="str">
        <f>IFERROR(MasterData!$I159,"")</f>
        <v/>
      </c>
    </row>
    <row r="159" ht="21.75" customHeight="1">
      <c r="A159" s="68"/>
      <c r="B159" s="67"/>
      <c r="C159" s="12" t="s">
        <v>823</v>
      </c>
      <c r="D159" s="12" t="s">
        <v>12</v>
      </c>
      <c r="E159" s="68"/>
      <c r="F159" s="12" t="s">
        <v>105</v>
      </c>
      <c r="G159" s="12" t="s">
        <v>824</v>
      </c>
      <c r="H159" s="63" t="s">
        <v>15</v>
      </c>
      <c r="I159" s="63" t="s">
        <v>26</v>
      </c>
      <c r="J159" s="63" t="s">
        <v>46</v>
      </c>
      <c r="K159" s="64">
        <v>46125.0</v>
      </c>
      <c r="L159" s="65"/>
      <c r="M159" s="65"/>
      <c r="N159" s="66"/>
      <c r="O159" s="66"/>
      <c r="P159" s="33" t="str">
        <f>IFERROR(MasterData!$B160,"")</f>
        <v/>
      </c>
      <c r="Q159" s="33" t="str">
        <f>IFERROR(MasterData!$C160,"")</f>
        <v/>
      </c>
      <c r="R159" s="33" t="str">
        <f>IFERROR(MasterData!$E160,"")</f>
        <v/>
      </c>
      <c r="S159" s="33" t="str">
        <f>IFERROR(MasterData!$G160,"")</f>
        <v/>
      </c>
      <c r="T159" s="33" t="str">
        <f>IFERROR(MasterData!$I160,"")</f>
        <v/>
      </c>
    </row>
    <row r="160" ht="21.75" customHeight="1">
      <c r="A160" s="56"/>
      <c r="B160" s="58"/>
      <c r="C160" s="18" t="s">
        <v>825</v>
      </c>
      <c r="D160" s="18" t="s">
        <v>98</v>
      </c>
      <c r="E160" s="56"/>
      <c r="F160" s="18" t="s">
        <v>92</v>
      </c>
      <c r="G160" s="18" t="s">
        <v>826</v>
      </c>
      <c r="H160" s="42" t="s">
        <v>15</v>
      </c>
      <c r="I160" s="42" t="s">
        <v>26</v>
      </c>
      <c r="J160" s="42" t="s">
        <v>46</v>
      </c>
      <c r="K160" s="48">
        <v>46125.0</v>
      </c>
      <c r="L160" s="49"/>
      <c r="M160" s="49"/>
      <c r="N160" s="53"/>
      <c r="O160" s="53"/>
      <c r="P160" s="33" t="str">
        <f>IFERROR(MasterData!$B161,"")</f>
        <v/>
      </c>
      <c r="Q160" s="33" t="str">
        <f>IFERROR(MasterData!$C161,"")</f>
        <v/>
      </c>
      <c r="R160" s="33" t="str">
        <f>IFERROR(MasterData!$E161,"")</f>
        <v/>
      </c>
      <c r="S160" s="33" t="str">
        <f>IFERROR(MasterData!$G161,"")</f>
        <v/>
      </c>
      <c r="T160" s="33" t="str">
        <f>IFERROR(MasterData!$I161,"")</f>
        <v/>
      </c>
    </row>
    <row r="161" ht="21.75" customHeight="1">
      <c r="A161" s="68"/>
      <c r="B161" s="67"/>
      <c r="C161" s="12" t="s">
        <v>827</v>
      </c>
      <c r="D161" s="12" t="s">
        <v>12</v>
      </c>
      <c r="E161" s="68"/>
      <c r="F161" s="12" t="s">
        <v>147</v>
      </c>
      <c r="G161" s="12" t="s">
        <v>642</v>
      </c>
      <c r="H161" s="63" t="s">
        <v>15</v>
      </c>
      <c r="I161" s="63" t="s">
        <v>26</v>
      </c>
      <c r="J161" s="63" t="s">
        <v>54</v>
      </c>
      <c r="K161" s="64">
        <v>46125.0</v>
      </c>
      <c r="L161" s="64">
        <v>46125.0</v>
      </c>
      <c r="M161" s="64">
        <v>46131.0</v>
      </c>
      <c r="N161" s="66"/>
      <c r="O161" s="66"/>
      <c r="P161" s="33" t="str">
        <f>IFERROR(MasterData!$B162,"")</f>
        <v/>
      </c>
      <c r="Q161" s="33" t="str">
        <f>IFERROR(MasterData!$C162,"")</f>
        <v/>
      </c>
      <c r="R161" s="33" t="str">
        <f>IFERROR(MasterData!$E162,"")</f>
        <v/>
      </c>
      <c r="S161" s="33" t="str">
        <f>IFERROR(MasterData!$G162,"")</f>
        <v/>
      </c>
      <c r="T161" s="33" t="str">
        <f>IFERROR(MasterData!$I162,"")</f>
        <v/>
      </c>
    </row>
    <row r="162" ht="21.75" customHeight="1">
      <c r="A162" s="56"/>
      <c r="B162" s="58"/>
      <c r="C162" s="18" t="s">
        <v>828</v>
      </c>
      <c r="D162" s="18" t="s">
        <v>98</v>
      </c>
      <c r="E162" s="56"/>
      <c r="F162" s="18" t="s">
        <v>117</v>
      </c>
      <c r="G162" s="18" t="s">
        <v>829</v>
      </c>
      <c r="H162" s="42" t="s">
        <v>15</v>
      </c>
      <c r="I162" s="42" t="s">
        <v>72</v>
      </c>
      <c r="J162" s="42" t="s">
        <v>46</v>
      </c>
      <c r="K162" s="64">
        <v>46125.0</v>
      </c>
      <c r="L162" s="49"/>
      <c r="M162" s="49"/>
      <c r="N162" s="53"/>
      <c r="O162" s="53"/>
      <c r="P162" s="33" t="str">
        <f>IFERROR(MasterData!$B163,"")</f>
        <v/>
      </c>
      <c r="Q162" s="33" t="str">
        <f>IFERROR(MasterData!$C163,"")</f>
        <v/>
      </c>
      <c r="R162" s="33" t="str">
        <f>IFERROR(MasterData!$E163,"")</f>
        <v/>
      </c>
      <c r="S162" s="33" t="str">
        <f>IFERROR(MasterData!$G163,"")</f>
        <v/>
      </c>
      <c r="T162" s="33" t="str">
        <f>IFERROR(MasterData!$I163,"")</f>
        <v/>
      </c>
    </row>
    <row r="163" ht="21.75" customHeight="1">
      <c r="A163" s="68"/>
      <c r="B163" s="67"/>
      <c r="C163" s="12" t="s">
        <v>830</v>
      </c>
      <c r="D163" s="12" t="s">
        <v>48</v>
      </c>
      <c r="E163" s="68"/>
      <c r="F163" s="12" t="s">
        <v>198</v>
      </c>
      <c r="G163" s="12" t="s">
        <v>831</v>
      </c>
      <c r="H163" s="63" t="s">
        <v>15</v>
      </c>
      <c r="I163" s="63" t="s">
        <v>26</v>
      </c>
      <c r="J163" s="63" t="s">
        <v>54</v>
      </c>
      <c r="K163" s="64">
        <v>46125.0</v>
      </c>
      <c r="L163" s="64">
        <v>46129.0</v>
      </c>
      <c r="M163" s="64">
        <v>46133.0</v>
      </c>
      <c r="N163" s="66"/>
      <c r="O163" s="66"/>
      <c r="P163" s="33" t="str">
        <f>IFERROR(MasterData!$B164,"")</f>
        <v/>
      </c>
      <c r="Q163" s="33" t="str">
        <f>IFERROR(MasterData!$C164,"")</f>
        <v/>
      </c>
      <c r="R163" s="33" t="str">
        <f>IFERROR(MasterData!$E164,"")</f>
        <v/>
      </c>
      <c r="S163" s="33" t="str">
        <f>IFERROR(MasterData!$G164,"")</f>
        <v/>
      </c>
      <c r="T163" s="33" t="str">
        <f>IFERROR(MasterData!$I164,"")</f>
        <v/>
      </c>
    </row>
    <row r="164" ht="21.75" customHeight="1">
      <c r="A164" s="56"/>
      <c r="B164" s="58"/>
      <c r="C164" s="18" t="s">
        <v>832</v>
      </c>
      <c r="D164" s="18" t="s">
        <v>182</v>
      </c>
      <c r="E164" s="56"/>
      <c r="F164" s="18" t="s">
        <v>13</v>
      </c>
      <c r="G164" s="18" t="s">
        <v>833</v>
      </c>
      <c r="H164" s="42" t="s">
        <v>15</v>
      </c>
      <c r="I164" s="42" t="s">
        <v>26</v>
      </c>
      <c r="J164" s="42" t="s">
        <v>54</v>
      </c>
      <c r="K164" s="48">
        <v>46125.0</v>
      </c>
      <c r="L164" s="48">
        <v>46129.0</v>
      </c>
      <c r="M164" s="48">
        <v>46133.0</v>
      </c>
      <c r="N164" s="53"/>
      <c r="O164" s="53"/>
      <c r="P164" s="33" t="str">
        <f>IFERROR(MasterData!$B165,"")</f>
        <v/>
      </c>
      <c r="Q164" s="33" t="str">
        <f>IFERROR(MasterData!$C165,"")</f>
        <v/>
      </c>
      <c r="R164" s="33" t="str">
        <f>IFERROR(MasterData!$E165,"")</f>
        <v/>
      </c>
      <c r="S164" s="33" t="str">
        <f>IFERROR(MasterData!$G165,"")</f>
        <v/>
      </c>
      <c r="T164" s="33" t="str">
        <f>IFERROR(MasterData!$I165,"")</f>
        <v/>
      </c>
    </row>
    <row r="165" ht="21.75" customHeight="1">
      <c r="A165" s="68"/>
      <c r="B165" s="67"/>
      <c r="C165" s="12" t="s">
        <v>834</v>
      </c>
      <c r="D165" s="12" t="s">
        <v>12</v>
      </c>
      <c r="E165" s="68"/>
      <c r="F165" s="12" t="s">
        <v>186</v>
      </c>
      <c r="G165" s="12" t="s">
        <v>490</v>
      </c>
      <c r="H165" s="63" t="s">
        <v>15</v>
      </c>
      <c r="I165" s="63" t="s">
        <v>84</v>
      </c>
      <c r="J165" s="63" t="s">
        <v>54</v>
      </c>
      <c r="K165" s="64">
        <v>46126.0</v>
      </c>
      <c r="L165" s="64">
        <v>46129.0</v>
      </c>
      <c r="M165" s="64">
        <v>46132.0</v>
      </c>
      <c r="N165" s="66"/>
      <c r="O165" s="12" t="s">
        <v>835</v>
      </c>
      <c r="P165" s="33" t="str">
        <f>IFERROR(MasterData!$B166,"")</f>
        <v/>
      </c>
      <c r="Q165" s="33" t="str">
        <f>IFERROR(MasterData!$C166,"")</f>
        <v/>
      </c>
      <c r="R165" s="33" t="str">
        <f>IFERROR(MasterData!$E166,"")</f>
        <v/>
      </c>
      <c r="S165" s="33" t="str">
        <f>IFERROR(MasterData!$G166,"")</f>
        <v/>
      </c>
      <c r="T165" s="33" t="str">
        <f>IFERROR(MasterData!$I166,"")</f>
        <v/>
      </c>
    </row>
    <row r="166" ht="21.75" customHeight="1">
      <c r="A166" s="56"/>
      <c r="B166" s="58"/>
      <c r="C166" s="18" t="s">
        <v>836</v>
      </c>
      <c r="D166" s="18" t="s">
        <v>48</v>
      </c>
      <c r="E166" s="56"/>
      <c r="F166" s="18" t="s">
        <v>198</v>
      </c>
      <c r="G166" s="18" t="s">
        <v>837</v>
      </c>
      <c r="H166" s="42" t="s">
        <v>15</v>
      </c>
      <c r="I166" s="42" t="s">
        <v>17</v>
      </c>
      <c r="J166" s="42" t="s">
        <v>54</v>
      </c>
      <c r="K166" s="48">
        <v>46126.0</v>
      </c>
      <c r="L166" s="48">
        <v>46126.0</v>
      </c>
      <c r="M166" s="48">
        <v>46138.0</v>
      </c>
      <c r="N166" s="53"/>
      <c r="O166" s="53"/>
      <c r="P166" s="33" t="str">
        <f>IFERROR(MasterData!$B167,"")</f>
        <v/>
      </c>
      <c r="Q166" s="33" t="str">
        <f>IFERROR(MasterData!$C167,"")</f>
        <v/>
      </c>
      <c r="R166" s="33" t="str">
        <f>IFERROR(MasterData!$E167,"")</f>
        <v/>
      </c>
      <c r="S166" s="33" t="str">
        <f>IFERROR(MasterData!$G167,"")</f>
        <v/>
      </c>
      <c r="T166" s="33" t="str">
        <f>IFERROR(MasterData!$I167,"")</f>
        <v/>
      </c>
    </row>
    <row r="167" ht="21.75" customHeight="1">
      <c r="A167" s="68"/>
      <c r="B167" s="67"/>
      <c r="C167" s="12" t="s">
        <v>838</v>
      </c>
      <c r="D167" s="12" t="s">
        <v>12</v>
      </c>
      <c r="E167" s="68"/>
      <c r="F167" s="12" t="s">
        <v>147</v>
      </c>
      <c r="G167" s="12" t="s">
        <v>839</v>
      </c>
      <c r="H167" s="63" t="s">
        <v>15</v>
      </c>
      <c r="I167" s="63" t="s">
        <v>26</v>
      </c>
      <c r="J167" s="63" t="s">
        <v>46</v>
      </c>
      <c r="K167" s="48">
        <v>46126.0</v>
      </c>
      <c r="L167" s="65"/>
      <c r="M167" s="65"/>
      <c r="N167" s="66"/>
      <c r="O167" s="66"/>
      <c r="P167" s="33" t="str">
        <f>IFERROR(MasterData!$B168,"")</f>
        <v/>
      </c>
      <c r="Q167" s="33" t="str">
        <f>IFERROR(MasterData!$C168,"")</f>
        <v/>
      </c>
      <c r="R167" s="33" t="str">
        <f>IFERROR(MasterData!$E168,"")</f>
        <v/>
      </c>
      <c r="S167" s="33" t="str">
        <f>IFERROR(MasterData!$G168,"")</f>
        <v/>
      </c>
      <c r="T167" s="33" t="str">
        <f>IFERROR(MasterData!$I168,"")</f>
        <v/>
      </c>
    </row>
    <row r="168" ht="21.75" customHeight="1">
      <c r="A168" s="56"/>
      <c r="B168" s="58"/>
      <c r="C168" s="18" t="s">
        <v>840</v>
      </c>
      <c r="D168" s="12" t="s">
        <v>12</v>
      </c>
      <c r="E168" s="56"/>
      <c r="F168" s="18" t="s">
        <v>147</v>
      </c>
      <c r="G168" s="18" t="s">
        <v>841</v>
      </c>
      <c r="H168" s="42" t="s">
        <v>15</v>
      </c>
      <c r="I168" s="42" t="s">
        <v>84</v>
      </c>
      <c r="J168" s="42" t="s">
        <v>46</v>
      </c>
      <c r="K168" s="48">
        <v>46126.0</v>
      </c>
      <c r="L168" s="49"/>
      <c r="M168" s="49"/>
      <c r="N168" s="53"/>
      <c r="O168" s="53"/>
      <c r="P168" s="33" t="str">
        <f>IFERROR(MasterData!$B169,"")</f>
        <v/>
      </c>
      <c r="Q168" s="33" t="str">
        <f>IFERROR(MasterData!$C169,"")</f>
        <v/>
      </c>
      <c r="R168" s="33" t="str">
        <f>IFERROR(MasterData!$E169,"")</f>
        <v/>
      </c>
      <c r="S168" s="33" t="str">
        <f>IFERROR(MasterData!$G169,"")</f>
        <v/>
      </c>
      <c r="T168" s="33" t="str">
        <f>IFERROR(MasterData!$I169,"")</f>
        <v/>
      </c>
    </row>
    <row r="169" ht="21.75" customHeight="1">
      <c r="A169" s="68"/>
      <c r="B169" s="67"/>
      <c r="C169" s="12" t="s">
        <v>842</v>
      </c>
      <c r="D169" s="12" t="s">
        <v>98</v>
      </c>
      <c r="E169" s="68"/>
      <c r="F169" s="12" t="s">
        <v>92</v>
      </c>
      <c r="G169" s="12" t="s">
        <v>843</v>
      </c>
      <c r="H169" s="63" t="s">
        <v>15</v>
      </c>
      <c r="I169" s="63" t="s">
        <v>44</v>
      </c>
      <c r="J169" s="63" t="s">
        <v>46</v>
      </c>
      <c r="K169" s="48">
        <v>46126.0</v>
      </c>
      <c r="L169" s="65"/>
      <c r="M169" s="65"/>
      <c r="N169" s="66"/>
      <c r="O169" s="66"/>
      <c r="P169" s="33" t="str">
        <f>IFERROR(MasterData!$B170,"")</f>
        <v/>
      </c>
      <c r="Q169" s="33" t="str">
        <f>IFERROR(MasterData!$C170,"")</f>
        <v/>
      </c>
      <c r="R169" s="33" t="str">
        <f>IFERROR(MasterData!$E170,"")</f>
        <v/>
      </c>
      <c r="S169" s="33" t="str">
        <f>IFERROR(MasterData!$G170,"")</f>
        <v/>
      </c>
      <c r="T169" s="33" t="str">
        <f>IFERROR(MasterData!$I170,"")</f>
        <v/>
      </c>
    </row>
    <row r="170" ht="21.75" customHeight="1">
      <c r="A170" s="56"/>
      <c r="B170" s="58"/>
      <c r="C170" s="18" t="s">
        <v>844</v>
      </c>
      <c r="D170" s="18" t="s">
        <v>48</v>
      </c>
      <c r="E170" s="56"/>
      <c r="F170" s="18" t="s">
        <v>126</v>
      </c>
      <c r="G170" s="18" t="s">
        <v>811</v>
      </c>
      <c r="H170" s="42" t="s">
        <v>15</v>
      </c>
      <c r="I170" s="42" t="s">
        <v>84</v>
      </c>
      <c r="J170" s="42" t="s">
        <v>54</v>
      </c>
      <c r="K170" s="48">
        <v>46129.0</v>
      </c>
      <c r="L170" s="48">
        <v>46129.0</v>
      </c>
      <c r="M170" s="48">
        <v>46129.0</v>
      </c>
      <c r="N170" s="53"/>
      <c r="O170" s="53"/>
      <c r="P170" s="33" t="str">
        <f>IFERROR(MasterData!$B171,"")</f>
        <v/>
      </c>
      <c r="Q170" s="33" t="str">
        <f>IFERROR(MasterData!$C171,"")</f>
        <v/>
      </c>
      <c r="R170" s="33" t="str">
        <f>IFERROR(MasterData!$E171,"")</f>
        <v/>
      </c>
      <c r="S170" s="33" t="str">
        <f>IFERROR(MasterData!$G171,"")</f>
        <v/>
      </c>
      <c r="T170" s="33" t="str">
        <f>IFERROR(MasterData!$I171,"")</f>
        <v/>
      </c>
    </row>
    <row r="171" ht="21.75" customHeight="1">
      <c r="A171" s="68"/>
      <c r="B171" s="67"/>
      <c r="C171" s="12" t="s">
        <v>845</v>
      </c>
      <c r="D171" s="12" t="s">
        <v>280</v>
      </c>
      <c r="E171" s="68"/>
      <c r="F171" s="12" t="s">
        <v>198</v>
      </c>
      <c r="G171" s="12" t="s">
        <v>846</v>
      </c>
      <c r="H171" s="63" t="s">
        <v>15</v>
      </c>
      <c r="I171" s="63" t="s">
        <v>84</v>
      </c>
      <c r="J171" s="63" t="s">
        <v>54</v>
      </c>
      <c r="K171" s="64">
        <v>46129.0</v>
      </c>
      <c r="L171" s="64">
        <v>46129.0</v>
      </c>
      <c r="M171" s="64">
        <v>46130.0</v>
      </c>
      <c r="N171" s="66"/>
      <c r="O171" s="66"/>
      <c r="P171" s="33" t="str">
        <f>IFERROR(MasterData!$B172,"")</f>
        <v/>
      </c>
      <c r="Q171" s="33" t="str">
        <f>IFERROR(MasterData!$C172,"")</f>
        <v/>
      </c>
      <c r="R171" s="33" t="str">
        <f>IFERROR(MasterData!$E172,"")</f>
        <v/>
      </c>
      <c r="S171" s="33" t="str">
        <f>IFERROR(MasterData!$G172,"")</f>
        <v/>
      </c>
      <c r="T171" s="33" t="str">
        <f>IFERROR(MasterData!$I172,"")</f>
        <v/>
      </c>
    </row>
    <row r="172" ht="21.75" customHeight="1">
      <c r="A172" s="56"/>
      <c r="B172" s="58"/>
      <c r="C172" s="18" t="s">
        <v>847</v>
      </c>
      <c r="D172" s="18" t="s">
        <v>12</v>
      </c>
      <c r="E172" s="56"/>
      <c r="F172" s="18" t="s">
        <v>129</v>
      </c>
      <c r="G172" s="18" t="s">
        <v>848</v>
      </c>
      <c r="H172" s="42" t="s">
        <v>15</v>
      </c>
      <c r="I172" s="42" t="s">
        <v>26</v>
      </c>
      <c r="J172" s="42" t="s">
        <v>54</v>
      </c>
      <c r="K172" s="48">
        <v>46129.0</v>
      </c>
      <c r="L172" s="48">
        <v>46129.0</v>
      </c>
      <c r="M172" s="48">
        <v>46134.0</v>
      </c>
      <c r="N172" s="53"/>
      <c r="O172" s="53"/>
      <c r="P172" s="33" t="str">
        <f>IFERROR(MasterData!$B173,"")</f>
        <v/>
      </c>
      <c r="Q172" s="33" t="str">
        <f>IFERROR(MasterData!$C173,"")</f>
        <v/>
      </c>
      <c r="R172" s="33" t="str">
        <f>IFERROR(MasterData!$E173,"")</f>
        <v/>
      </c>
      <c r="S172" s="33" t="str">
        <f>IFERROR(MasterData!$G173,"")</f>
        <v/>
      </c>
      <c r="T172" s="33" t="str">
        <f>IFERROR(MasterData!$I173,"")</f>
        <v/>
      </c>
    </row>
    <row r="173" ht="21.75" customHeight="1">
      <c r="A173" s="68"/>
      <c r="B173" s="67"/>
      <c r="C173" s="12" t="s">
        <v>849</v>
      </c>
      <c r="D173" s="12" t="s">
        <v>98</v>
      </c>
      <c r="E173" s="68"/>
      <c r="F173" s="12" t="s">
        <v>117</v>
      </c>
      <c r="G173" s="12" t="s">
        <v>850</v>
      </c>
      <c r="H173" s="63" t="s">
        <v>15</v>
      </c>
      <c r="I173" s="63" t="s">
        <v>84</v>
      </c>
      <c r="J173" s="63" t="s">
        <v>46</v>
      </c>
      <c r="K173" s="48">
        <v>46129.0</v>
      </c>
      <c r="L173" s="65"/>
      <c r="M173" s="65"/>
      <c r="N173" s="66"/>
      <c r="O173" s="66"/>
      <c r="P173" s="33" t="str">
        <f>IFERROR(MasterData!$B174,"")</f>
        <v/>
      </c>
      <c r="Q173" s="33" t="str">
        <f>IFERROR(MasterData!$C174,"")</f>
        <v/>
      </c>
      <c r="R173" s="33" t="str">
        <f>IFERROR(MasterData!$E174,"")</f>
        <v/>
      </c>
      <c r="S173" s="33" t="str">
        <f>IFERROR(MasterData!$G174,"")</f>
        <v/>
      </c>
      <c r="T173" s="33" t="str">
        <f>IFERROR(MasterData!$I174,"")</f>
        <v/>
      </c>
    </row>
    <row r="174" ht="21.75" customHeight="1">
      <c r="A174" s="56"/>
      <c r="B174" s="58"/>
      <c r="C174" s="18" t="s">
        <v>851</v>
      </c>
      <c r="D174" s="18" t="s">
        <v>95</v>
      </c>
      <c r="E174" s="56"/>
      <c r="F174" s="18" t="s">
        <v>852</v>
      </c>
      <c r="G174" s="18" t="s">
        <v>490</v>
      </c>
      <c r="H174" s="42" t="s">
        <v>15</v>
      </c>
      <c r="I174" s="42" t="s">
        <v>53</v>
      </c>
      <c r="J174" s="42" t="s">
        <v>46</v>
      </c>
      <c r="K174" s="48">
        <v>46129.0</v>
      </c>
      <c r="L174" s="49"/>
      <c r="M174" s="49"/>
      <c r="N174" s="53"/>
      <c r="O174" s="53"/>
      <c r="P174" s="33" t="str">
        <f>IFERROR(MasterData!$B175,"")</f>
        <v/>
      </c>
      <c r="Q174" s="33" t="str">
        <f>IFERROR(MasterData!$C175,"")</f>
        <v/>
      </c>
      <c r="R174" s="33" t="str">
        <f>IFERROR(MasterData!$E175,"")</f>
        <v/>
      </c>
      <c r="S174" s="33" t="str">
        <f>IFERROR(MasterData!$G175,"")</f>
        <v/>
      </c>
      <c r="T174" s="33" t="str">
        <f>IFERROR(MasterData!$I175,"")</f>
        <v/>
      </c>
    </row>
    <row r="175" ht="21.75" customHeight="1">
      <c r="A175" s="68"/>
      <c r="B175" s="67"/>
      <c r="C175" s="12" t="s">
        <v>851</v>
      </c>
      <c r="D175" s="12" t="s">
        <v>182</v>
      </c>
      <c r="E175" s="68"/>
      <c r="F175" s="12" t="s">
        <v>852</v>
      </c>
      <c r="G175" s="12" t="s">
        <v>490</v>
      </c>
      <c r="H175" s="63" t="s">
        <v>15</v>
      </c>
      <c r="I175" s="63" t="s">
        <v>53</v>
      </c>
      <c r="J175" s="63" t="s">
        <v>46</v>
      </c>
      <c r="K175" s="48">
        <v>46129.0</v>
      </c>
      <c r="L175" s="65"/>
      <c r="M175" s="65"/>
      <c r="N175" s="66"/>
      <c r="O175" s="66"/>
      <c r="P175" s="33" t="str">
        <f>IFERROR(MasterData!$B176,"")</f>
        <v/>
      </c>
      <c r="Q175" s="33" t="str">
        <f>IFERROR(MasterData!$C176,"")</f>
        <v/>
      </c>
      <c r="R175" s="33" t="str">
        <f>IFERROR(MasterData!$E176,"")</f>
        <v/>
      </c>
      <c r="S175" s="33" t="str">
        <f>IFERROR(MasterData!$G176,"")</f>
        <v/>
      </c>
      <c r="T175" s="33" t="str">
        <f>IFERROR(MasterData!$I176,"")</f>
        <v/>
      </c>
    </row>
    <row r="176" ht="21.75" customHeight="1">
      <c r="A176" s="56"/>
      <c r="B176" s="58"/>
      <c r="C176" s="18" t="s">
        <v>853</v>
      </c>
      <c r="D176" s="18" t="s">
        <v>173</v>
      </c>
      <c r="E176" s="56"/>
      <c r="F176" s="18" t="s">
        <v>129</v>
      </c>
      <c r="G176" s="18" t="s">
        <v>490</v>
      </c>
      <c r="H176" s="42" t="s">
        <v>15</v>
      </c>
      <c r="I176" s="42" t="s">
        <v>84</v>
      </c>
      <c r="J176" s="42" t="s">
        <v>46</v>
      </c>
      <c r="K176" s="48">
        <v>46129.0</v>
      </c>
      <c r="L176" s="49"/>
      <c r="M176" s="49"/>
      <c r="N176" s="53"/>
      <c r="O176" s="53"/>
      <c r="P176" s="33" t="str">
        <f>IFERROR(MasterData!$B177,"")</f>
        <v/>
      </c>
      <c r="Q176" s="33" t="str">
        <f>IFERROR(MasterData!$C177,"")</f>
        <v/>
      </c>
      <c r="R176" s="33" t="str">
        <f>IFERROR(MasterData!$E177,"")</f>
        <v/>
      </c>
      <c r="S176" s="33" t="str">
        <f>IFERROR(MasterData!$G177,"")</f>
        <v/>
      </c>
      <c r="T176" s="33" t="str">
        <f>IFERROR(MasterData!$I177,"")</f>
        <v/>
      </c>
    </row>
    <row r="177" ht="21.75" customHeight="1">
      <c r="A177" s="68"/>
      <c r="B177" s="67"/>
      <c r="C177" s="12" t="s">
        <v>854</v>
      </c>
      <c r="D177" s="12" t="s">
        <v>98</v>
      </c>
      <c r="E177" s="68"/>
      <c r="F177" s="12" t="s">
        <v>117</v>
      </c>
      <c r="G177" s="12" t="s">
        <v>814</v>
      </c>
      <c r="H177" s="63" t="s">
        <v>15</v>
      </c>
      <c r="I177" s="63" t="s">
        <v>84</v>
      </c>
      <c r="J177" s="63" t="s">
        <v>54</v>
      </c>
      <c r="K177" s="64">
        <v>46129.0</v>
      </c>
      <c r="L177" s="64">
        <v>46129.0</v>
      </c>
      <c r="M177" s="64">
        <v>46130.0</v>
      </c>
      <c r="N177" s="66"/>
      <c r="O177" s="66"/>
      <c r="P177" s="33" t="str">
        <f>IFERROR(MasterData!$B178,"")</f>
        <v/>
      </c>
      <c r="Q177" s="33" t="str">
        <f>IFERROR(MasterData!$C178,"")</f>
        <v/>
      </c>
      <c r="R177" s="33" t="str">
        <f>IFERROR(MasterData!$E178,"")</f>
        <v/>
      </c>
      <c r="S177" s="33" t="str">
        <f>IFERROR(MasterData!$G178,"")</f>
        <v/>
      </c>
      <c r="T177" s="33" t="str">
        <f>IFERROR(MasterData!$I178,"")</f>
        <v/>
      </c>
    </row>
    <row r="178" ht="21.75" customHeight="1">
      <c r="A178" s="56"/>
      <c r="B178" s="58"/>
      <c r="C178" s="18" t="s">
        <v>855</v>
      </c>
      <c r="D178" s="18" t="s">
        <v>12</v>
      </c>
      <c r="E178" s="56"/>
      <c r="F178" s="18" t="s">
        <v>126</v>
      </c>
      <c r="G178" s="18" t="s">
        <v>856</v>
      </c>
      <c r="H178" s="42" t="s">
        <v>15</v>
      </c>
      <c r="I178" s="42" t="s">
        <v>26</v>
      </c>
      <c r="J178" s="42" t="s">
        <v>54</v>
      </c>
      <c r="K178" s="48">
        <v>46129.0</v>
      </c>
      <c r="L178" s="48">
        <v>46129.0</v>
      </c>
      <c r="M178" s="48">
        <v>46130.0</v>
      </c>
      <c r="N178" s="53"/>
      <c r="O178" s="53"/>
      <c r="P178" s="33" t="str">
        <f>IFERROR(MasterData!$B179,"")</f>
        <v/>
      </c>
      <c r="Q178" s="33" t="str">
        <f>IFERROR(MasterData!$C179,"")</f>
        <v/>
      </c>
      <c r="R178" s="33" t="str">
        <f>IFERROR(MasterData!$E179,"")</f>
        <v/>
      </c>
      <c r="S178" s="33" t="str">
        <f>IFERROR(MasterData!$G179,"")</f>
        <v/>
      </c>
      <c r="T178" s="33" t="str">
        <f>IFERROR(MasterData!$I179,"")</f>
        <v/>
      </c>
    </row>
    <row r="179" ht="21.75" customHeight="1">
      <c r="A179" s="68"/>
      <c r="B179" s="67"/>
      <c r="C179" s="12" t="s">
        <v>857</v>
      </c>
      <c r="D179" s="12" t="s">
        <v>48</v>
      </c>
      <c r="E179" s="68"/>
      <c r="F179" s="12" t="s">
        <v>126</v>
      </c>
      <c r="G179" s="12" t="s">
        <v>858</v>
      </c>
      <c r="H179" s="63" t="s">
        <v>15</v>
      </c>
      <c r="I179" s="63" t="s">
        <v>84</v>
      </c>
      <c r="J179" s="63" t="s">
        <v>54</v>
      </c>
      <c r="K179" s="64">
        <v>46129.0</v>
      </c>
      <c r="L179" s="64">
        <v>46129.0</v>
      </c>
      <c r="M179" s="64">
        <v>46130.0</v>
      </c>
      <c r="N179" s="66"/>
      <c r="O179" s="66"/>
      <c r="P179" s="33" t="str">
        <f>IFERROR(MasterData!$B180,"")</f>
        <v/>
      </c>
      <c r="Q179" s="33" t="str">
        <f>IFERROR(MasterData!$C180,"")</f>
        <v/>
      </c>
      <c r="R179" s="33" t="str">
        <f>IFERROR(MasterData!$E180,"")</f>
        <v/>
      </c>
      <c r="S179" s="33" t="str">
        <f>IFERROR(MasterData!$G180,"")</f>
        <v/>
      </c>
      <c r="T179" s="33" t="str">
        <f>IFERROR(MasterData!$I180,"")</f>
        <v/>
      </c>
    </row>
    <row r="180" ht="21.75" customHeight="1">
      <c r="A180" s="56"/>
      <c r="B180" s="58"/>
      <c r="C180" s="18" t="s">
        <v>859</v>
      </c>
      <c r="D180" s="18" t="s">
        <v>98</v>
      </c>
      <c r="E180" s="56"/>
      <c r="F180" s="18" t="s">
        <v>290</v>
      </c>
      <c r="G180" s="18" t="s">
        <v>860</v>
      </c>
      <c r="H180" s="42" t="s">
        <v>15</v>
      </c>
      <c r="I180" s="42" t="s">
        <v>26</v>
      </c>
      <c r="J180" s="42" t="s">
        <v>54</v>
      </c>
      <c r="K180" s="48">
        <v>46129.0</v>
      </c>
      <c r="L180" s="48">
        <v>46129.0</v>
      </c>
      <c r="M180" s="48">
        <v>46130.0</v>
      </c>
      <c r="N180" s="53"/>
      <c r="O180" s="53"/>
      <c r="P180" s="33" t="str">
        <f>IFERROR(MasterData!$B181,"")</f>
        <v/>
      </c>
      <c r="Q180" s="33" t="str">
        <f>IFERROR(MasterData!$C181,"")</f>
        <v/>
      </c>
      <c r="R180" s="33" t="str">
        <f>IFERROR(MasterData!$E181,"")</f>
        <v/>
      </c>
      <c r="S180" s="33" t="str">
        <f>IFERROR(MasterData!$G181,"")</f>
        <v/>
      </c>
      <c r="T180" s="33" t="str">
        <f>IFERROR(MasterData!$I181,"")</f>
        <v/>
      </c>
    </row>
    <row r="181" ht="21.75" customHeight="1">
      <c r="A181" s="68"/>
      <c r="B181" s="67"/>
      <c r="C181" s="12" t="s">
        <v>861</v>
      </c>
      <c r="D181" s="12" t="s">
        <v>98</v>
      </c>
      <c r="E181" s="68"/>
      <c r="F181" s="12" t="s">
        <v>290</v>
      </c>
      <c r="G181" s="12" t="s">
        <v>490</v>
      </c>
      <c r="H181" s="63" t="s">
        <v>15</v>
      </c>
      <c r="I181" s="63" t="s">
        <v>84</v>
      </c>
      <c r="J181" s="63" t="s">
        <v>54</v>
      </c>
      <c r="K181" s="64">
        <v>46129.0</v>
      </c>
      <c r="L181" s="64">
        <v>46129.0</v>
      </c>
      <c r="M181" s="64">
        <v>46130.0</v>
      </c>
      <c r="N181" s="66"/>
      <c r="O181" s="66"/>
      <c r="P181" s="33" t="str">
        <f>IFERROR(MasterData!$B182,"")</f>
        <v/>
      </c>
      <c r="Q181" s="33" t="str">
        <f>IFERROR(MasterData!$C182,"")</f>
        <v/>
      </c>
      <c r="R181" s="33" t="str">
        <f>IFERROR(MasterData!$E182,"")</f>
        <v/>
      </c>
      <c r="S181" s="33" t="str">
        <f>IFERROR(MasterData!$G182,"")</f>
        <v/>
      </c>
      <c r="T181" s="33" t="str">
        <f>IFERROR(MasterData!$I182,"")</f>
        <v/>
      </c>
    </row>
    <row r="182" ht="21.75" customHeight="1">
      <c r="A182" s="56"/>
      <c r="B182" s="58"/>
      <c r="C182" s="18" t="s">
        <v>862</v>
      </c>
      <c r="D182" s="18" t="s">
        <v>98</v>
      </c>
      <c r="E182" s="56"/>
      <c r="F182" s="18" t="s">
        <v>117</v>
      </c>
      <c r="G182" s="18" t="s">
        <v>863</v>
      </c>
      <c r="H182" s="42" t="s">
        <v>15</v>
      </c>
      <c r="I182" s="63" t="s">
        <v>26</v>
      </c>
      <c r="J182" s="42" t="s">
        <v>19</v>
      </c>
      <c r="K182" s="48">
        <v>46132.0</v>
      </c>
      <c r="L182" s="49"/>
      <c r="M182" s="49"/>
      <c r="N182" s="53"/>
      <c r="O182" s="53"/>
      <c r="P182" s="33" t="str">
        <f>IFERROR(MasterData!$B183,"")</f>
        <v/>
      </c>
      <c r="Q182" s="33" t="str">
        <f>IFERROR(MasterData!$C183,"")</f>
        <v/>
      </c>
      <c r="R182" s="33" t="str">
        <f>IFERROR(MasterData!$E183,"")</f>
        <v/>
      </c>
      <c r="S182" s="33" t="str">
        <f>IFERROR(MasterData!$G183,"")</f>
        <v/>
      </c>
      <c r="T182" s="33" t="str">
        <f>IFERROR(MasterData!$I183,"")</f>
        <v/>
      </c>
    </row>
    <row r="183" ht="21.75" customHeight="1">
      <c r="A183" s="68"/>
      <c r="B183" s="67"/>
      <c r="C183" s="12" t="s">
        <v>794</v>
      </c>
      <c r="D183" s="12" t="s">
        <v>256</v>
      </c>
      <c r="E183" s="68"/>
      <c r="F183" s="12" t="s">
        <v>117</v>
      </c>
      <c r="G183" s="12" t="s">
        <v>864</v>
      </c>
      <c r="H183" s="63" t="s">
        <v>15</v>
      </c>
      <c r="I183" s="63" t="s">
        <v>84</v>
      </c>
      <c r="J183" s="63" t="s">
        <v>54</v>
      </c>
      <c r="K183" s="64">
        <v>46132.0</v>
      </c>
      <c r="L183" s="65"/>
      <c r="M183" s="65"/>
      <c r="N183" s="66"/>
      <c r="O183" s="66"/>
      <c r="P183" s="33" t="str">
        <f>IFERROR(MasterData!$B184,"")</f>
        <v/>
      </c>
      <c r="Q183" s="33" t="str">
        <f>IFERROR(MasterData!$C184,"")</f>
        <v/>
      </c>
      <c r="R183" s="33" t="str">
        <f>IFERROR(MasterData!$E184,"")</f>
        <v/>
      </c>
      <c r="S183" s="33" t="str">
        <f>IFERROR(MasterData!$G184,"")</f>
        <v/>
      </c>
      <c r="T183" s="33" t="str">
        <f>IFERROR(MasterData!$I184,"")</f>
        <v/>
      </c>
    </row>
    <row r="184" ht="21.75" customHeight="1">
      <c r="A184" s="56"/>
      <c r="B184" s="58"/>
      <c r="C184" s="18" t="s">
        <v>865</v>
      </c>
      <c r="D184" s="18" t="s">
        <v>98</v>
      </c>
      <c r="E184" s="56"/>
      <c r="F184" s="18" t="s">
        <v>102</v>
      </c>
      <c r="G184" s="18" t="s">
        <v>712</v>
      </c>
      <c r="H184" s="42" t="s">
        <v>15</v>
      </c>
      <c r="I184" s="42" t="s">
        <v>17</v>
      </c>
      <c r="J184" s="42" t="s">
        <v>54</v>
      </c>
      <c r="K184" s="48">
        <v>46133.0</v>
      </c>
      <c r="L184" s="48">
        <v>46133.0</v>
      </c>
      <c r="M184" s="48">
        <v>46134.0</v>
      </c>
      <c r="N184" s="53"/>
      <c r="O184" s="53"/>
      <c r="P184" s="33" t="str">
        <f>IFERROR(MasterData!$B185,"")</f>
        <v/>
      </c>
      <c r="Q184" s="33" t="str">
        <f>IFERROR(MasterData!$C185,"")</f>
        <v/>
      </c>
      <c r="R184" s="33" t="str">
        <f>IFERROR(MasterData!$E185,"")</f>
        <v/>
      </c>
      <c r="S184" s="33" t="str">
        <f>IFERROR(MasterData!$G185,"")</f>
        <v/>
      </c>
      <c r="T184" s="33" t="str">
        <f>IFERROR(MasterData!$I185,"")</f>
        <v/>
      </c>
    </row>
    <row r="185" ht="21.75" customHeight="1">
      <c r="A185" s="68"/>
      <c r="B185" s="67"/>
      <c r="C185" s="12" t="s">
        <v>866</v>
      </c>
      <c r="D185" s="12" t="s">
        <v>98</v>
      </c>
      <c r="E185" s="68"/>
      <c r="F185" s="12" t="s">
        <v>292</v>
      </c>
      <c r="G185" s="12" t="s">
        <v>712</v>
      </c>
      <c r="H185" s="63" t="s">
        <v>15</v>
      </c>
      <c r="I185" s="63" t="s">
        <v>17</v>
      </c>
      <c r="J185" s="63" t="s">
        <v>54</v>
      </c>
      <c r="K185" s="64">
        <v>46133.0</v>
      </c>
      <c r="L185" s="64">
        <v>46133.0</v>
      </c>
      <c r="M185" s="64">
        <v>46134.0</v>
      </c>
      <c r="N185" s="66"/>
      <c r="O185" s="66"/>
      <c r="P185" s="33" t="str">
        <f>IFERROR(MasterData!$B186,"")</f>
        <v/>
      </c>
      <c r="Q185" s="33" t="str">
        <f>IFERROR(MasterData!$C186,"")</f>
        <v/>
      </c>
      <c r="R185" s="33" t="str">
        <f>IFERROR(MasterData!$E186,"")</f>
        <v/>
      </c>
      <c r="S185" s="33" t="str">
        <f>IFERROR(MasterData!$G186,"")</f>
        <v/>
      </c>
      <c r="T185" s="33" t="str">
        <f>IFERROR(MasterData!$I186,"")</f>
        <v/>
      </c>
    </row>
    <row r="186" ht="21.75" customHeight="1">
      <c r="A186" s="56"/>
      <c r="B186" s="58"/>
      <c r="C186" s="18" t="s">
        <v>867</v>
      </c>
      <c r="D186" s="18" t="s">
        <v>48</v>
      </c>
      <c r="E186" s="56"/>
      <c r="F186" s="18" t="s">
        <v>117</v>
      </c>
      <c r="G186" s="18" t="s">
        <v>712</v>
      </c>
      <c r="H186" s="42" t="s">
        <v>15</v>
      </c>
      <c r="I186" s="42" t="s">
        <v>84</v>
      </c>
      <c r="J186" s="42" t="s">
        <v>54</v>
      </c>
      <c r="K186" s="48">
        <v>46133.0</v>
      </c>
      <c r="L186" s="48">
        <v>46133.0</v>
      </c>
      <c r="M186" s="48">
        <v>46133.0</v>
      </c>
      <c r="N186" s="53"/>
      <c r="O186" s="53"/>
      <c r="P186" s="33" t="str">
        <f>IFERROR(MasterData!$B187,"")</f>
        <v/>
      </c>
      <c r="Q186" s="33" t="str">
        <f>IFERROR(MasterData!$C187,"")</f>
        <v/>
      </c>
      <c r="R186" s="33" t="str">
        <f>IFERROR(MasterData!$E187,"")</f>
        <v/>
      </c>
      <c r="S186" s="33" t="str">
        <f>IFERROR(MasterData!$G187,"")</f>
        <v/>
      </c>
      <c r="T186" s="33" t="str">
        <f>IFERROR(MasterData!$I187,"")</f>
        <v/>
      </c>
    </row>
    <row r="187" ht="21.75" customHeight="1">
      <c r="A187" s="68"/>
      <c r="B187" s="67"/>
      <c r="C187" s="12" t="s">
        <v>868</v>
      </c>
      <c r="D187" s="12" t="s">
        <v>48</v>
      </c>
      <c r="E187" s="68"/>
      <c r="F187" s="12" t="s">
        <v>22</v>
      </c>
      <c r="G187" s="12" t="s">
        <v>727</v>
      </c>
      <c r="H187" s="63" t="s">
        <v>15</v>
      </c>
      <c r="I187" s="63" t="s">
        <v>44</v>
      </c>
      <c r="J187" s="63" t="s">
        <v>54</v>
      </c>
      <c r="K187" s="64">
        <v>46133.0</v>
      </c>
      <c r="L187" s="64">
        <v>46133.0</v>
      </c>
      <c r="M187" s="64">
        <v>46135.0</v>
      </c>
      <c r="N187" s="66"/>
      <c r="O187" s="66"/>
      <c r="P187" s="33" t="str">
        <f>IFERROR(MasterData!$B188,"")</f>
        <v/>
      </c>
      <c r="Q187" s="33" t="str">
        <f>IFERROR(MasterData!$C188,"")</f>
        <v/>
      </c>
      <c r="R187" s="33" t="str">
        <f>IFERROR(MasterData!$E188,"")</f>
        <v/>
      </c>
      <c r="S187" s="33" t="str">
        <f>IFERROR(MasterData!$G188,"")</f>
        <v/>
      </c>
      <c r="T187" s="33" t="str">
        <f>IFERROR(MasterData!$I188,"")</f>
        <v/>
      </c>
    </row>
    <row r="188" ht="21.75" customHeight="1">
      <c r="A188" s="56"/>
      <c r="B188" s="58"/>
      <c r="C188" s="18" t="s">
        <v>869</v>
      </c>
      <c r="D188" s="18" t="s">
        <v>48</v>
      </c>
      <c r="E188" s="56"/>
      <c r="F188" s="18" t="s">
        <v>22</v>
      </c>
      <c r="G188" s="18" t="s">
        <v>727</v>
      </c>
      <c r="H188" s="42" t="s">
        <v>15</v>
      </c>
      <c r="I188" s="42" t="s">
        <v>44</v>
      </c>
      <c r="J188" s="42" t="s">
        <v>54</v>
      </c>
      <c r="K188" s="48">
        <v>46133.0</v>
      </c>
      <c r="L188" s="48">
        <v>46133.0</v>
      </c>
      <c r="M188" s="48">
        <v>46135.0</v>
      </c>
      <c r="N188" s="53"/>
      <c r="O188" s="53"/>
      <c r="P188" s="33" t="str">
        <f>IFERROR(MasterData!$B189,"")</f>
        <v/>
      </c>
      <c r="Q188" s="33" t="str">
        <f>IFERROR(MasterData!$C189,"")</f>
        <v/>
      </c>
      <c r="R188" s="33" t="str">
        <f>IFERROR(MasterData!$E189,"")</f>
        <v/>
      </c>
      <c r="S188" s="33" t="str">
        <f>IFERROR(MasterData!$G189,"")</f>
        <v/>
      </c>
      <c r="T188" s="33" t="str">
        <f>IFERROR(MasterData!$I189,"")</f>
        <v/>
      </c>
    </row>
    <row r="189" ht="21.75" customHeight="1">
      <c r="A189" s="68"/>
      <c r="B189" s="67"/>
      <c r="C189" s="12" t="s">
        <v>870</v>
      </c>
      <c r="D189" s="12" t="s">
        <v>104</v>
      </c>
      <c r="E189" s="68"/>
      <c r="F189" s="12" t="s">
        <v>311</v>
      </c>
      <c r="G189" s="12" t="s">
        <v>871</v>
      </c>
      <c r="H189" s="63" t="s">
        <v>15</v>
      </c>
      <c r="I189" s="63" t="s">
        <v>26</v>
      </c>
      <c r="J189" s="63" t="s">
        <v>46</v>
      </c>
      <c r="K189" s="48">
        <v>46133.0</v>
      </c>
      <c r="L189" s="65"/>
      <c r="M189" s="65"/>
      <c r="N189" s="66"/>
      <c r="O189" s="66"/>
      <c r="P189" s="33" t="str">
        <f>IFERROR(MasterData!$B190,"")</f>
        <v/>
      </c>
      <c r="Q189" s="33" t="str">
        <f>IFERROR(MasterData!$C190,"")</f>
        <v/>
      </c>
      <c r="R189" s="33" t="str">
        <f>IFERROR(MasterData!$E190,"")</f>
        <v/>
      </c>
      <c r="S189" s="33" t="str">
        <f>IFERROR(MasterData!$G190,"")</f>
        <v/>
      </c>
      <c r="T189" s="33" t="str">
        <f>IFERROR(MasterData!$I190,"")</f>
        <v/>
      </c>
    </row>
    <row r="190" ht="21.75" customHeight="1">
      <c r="A190" s="56"/>
      <c r="B190" s="58"/>
      <c r="C190" s="18" t="s">
        <v>872</v>
      </c>
      <c r="D190" s="18" t="s">
        <v>182</v>
      </c>
      <c r="E190" s="56"/>
      <c r="F190" s="18" t="s">
        <v>129</v>
      </c>
      <c r="G190" s="18" t="s">
        <v>797</v>
      </c>
      <c r="H190" s="42" t="s">
        <v>15</v>
      </c>
      <c r="I190" s="42" t="s">
        <v>17</v>
      </c>
      <c r="J190" s="42" t="s">
        <v>54</v>
      </c>
      <c r="K190" s="48">
        <v>46134.0</v>
      </c>
      <c r="L190" s="48">
        <v>46134.0</v>
      </c>
      <c r="M190" s="48">
        <v>46134.0</v>
      </c>
      <c r="N190" s="53"/>
      <c r="O190" s="53"/>
      <c r="P190" s="33" t="str">
        <f>IFERROR(MasterData!$B191,"")</f>
        <v/>
      </c>
      <c r="Q190" s="33" t="str">
        <f>IFERROR(MasterData!$C191,"")</f>
        <v/>
      </c>
      <c r="R190" s="33" t="str">
        <f>IFERROR(MasterData!$E191,"")</f>
        <v/>
      </c>
      <c r="S190" s="33" t="str">
        <f>IFERROR(MasterData!$G191,"")</f>
        <v/>
      </c>
      <c r="T190" s="33" t="str">
        <f>IFERROR(MasterData!$I191,"")</f>
        <v/>
      </c>
    </row>
    <row r="191" ht="21.75" customHeight="1">
      <c r="A191" s="68"/>
      <c r="B191" s="67"/>
      <c r="C191" s="12" t="s">
        <v>873</v>
      </c>
      <c r="D191" s="12" t="s">
        <v>48</v>
      </c>
      <c r="E191" s="68"/>
      <c r="F191" s="12" t="s">
        <v>22</v>
      </c>
      <c r="G191" s="12" t="s">
        <v>712</v>
      </c>
      <c r="H191" s="63" t="s">
        <v>15</v>
      </c>
      <c r="I191" s="63" t="s">
        <v>26</v>
      </c>
      <c r="J191" s="63" t="s">
        <v>54</v>
      </c>
      <c r="K191" s="64">
        <v>46134.0</v>
      </c>
      <c r="L191" s="64">
        <v>46134.0</v>
      </c>
      <c r="M191" s="64">
        <v>46134.0</v>
      </c>
      <c r="N191" s="66"/>
      <c r="O191" s="66"/>
      <c r="P191" s="33" t="str">
        <f>IFERROR(MasterData!$B192,"")</f>
        <v/>
      </c>
      <c r="Q191" s="33" t="str">
        <f>IFERROR(MasterData!$C192,"")</f>
        <v/>
      </c>
      <c r="R191" s="33" t="str">
        <f>IFERROR(MasterData!$E192,"")</f>
        <v/>
      </c>
      <c r="S191" s="33" t="str">
        <f>IFERROR(MasterData!$G192,"")</f>
        <v/>
      </c>
      <c r="T191" s="33" t="str">
        <f>IFERROR(MasterData!$I192,"")</f>
        <v/>
      </c>
    </row>
    <row r="192" ht="21.75" customHeight="1">
      <c r="A192" s="56"/>
      <c r="B192" s="58"/>
      <c r="C192" s="18" t="s">
        <v>874</v>
      </c>
      <c r="D192" s="18" t="s">
        <v>293</v>
      </c>
      <c r="E192" s="56"/>
      <c r="F192" s="18" t="s">
        <v>117</v>
      </c>
      <c r="G192" s="18" t="s">
        <v>875</v>
      </c>
      <c r="H192" s="42" t="s">
        <v>15</v>
      </c>
      <c r="I192" s="42" t="s">
        <v>26</v>
      </c>
      <c r="J192" s="42" t="s">
        <v>54</v>
      </c>
      <c r="K192" s="48">
        <v>46134.0</v>
      </c>
      <c r="L192" s="48">
        <v>46160.0</v>
      </c>
      <c r="M192" s="48">
        <v>46163.0</v>
      </c>
      <c r="N192" s="53"/>
      <c r="O192" s="53"/>
      <c r="P192" s="33" t="str">
        <f>IFERROR(MasterData!$B193,"")</f>
        <v/>
      </c>
      <c r="Q192" s="33" t="str">
        <f>IFERROR(MasterData!$C193,"")</f>
        <v/>
      </c>
      <c r="R192" s="33" t="str">
        <f>IFERROR(MasterData!$E193,"")</f>
        <v/>
      </c>
      <c r="S192" s="33" t="str">
        <f>IFERROR(MasterData!$G193,"")</f>
        <v/>
      </c>
      <c r="T192" s="33" t="str">
        <f>IFERROR(MasterData!$I193,"")</f>
        <v/>
      </c>
    </row>
    <row r="193" ht="21.75" customHeight="1">
      <c r="A193" s="68"/>
      <c r="B193" s="67"/>
      <c r="C193" s="12" t="s">
        <v>876</v>
      </c>
      <c r="D193" s="12" t="s">
        <v>98</v>
      </c>
      <c r="E193" s="68"/>
      <c r="F193" s="12" t="s">
        <v>306</v>
      </c>
      <c r="G193" s="12" t="s">
        <v>712</v>
      </c>
      <c r="H193" s="63" t="s">
        <v>15</v>
      </c>
      <c r="I193" s="63" t="s">
        <v>44</v>
      </c>
      <c r="J193" s="63" t="s">
        <v>54</v>
      </c>
      <c r="K193" s="64">
        <v>46134.0</v>
      </c>
      <c r="L193" s="64">
        <v>46134.0</v>
      </c>
      <c r="M193" s="64">
        <v>46135.0</v>
      </c>
      <c r="N193" s="66"/>
      <c r="O193" s="66"/>
      <c r="P193" s="33" t="str">
        <f>IFERROR(MasterData!$B194,"")</f>
        <v/>
      </c>
      <c r="Q193" s="33" t="str">
        <f>IFERROR(MasterData!$C194,"")</f>
        <v/>
      </c>
      <c r="R193" s="33" t="str">
        <f>IFERROR(MasterData!$E194,"")</f>
        <v/>
      </c>
      <c r="S193" s="33" t="str">
        <f>IFERROR(MasterData!$G194,"")</f>
        <v/>
      </c>
      <c r="T193" s="33" t="str">
        <f>IFERROR(MasterData!$I194,"")</f>
        <v/>
      </c>
    </row>
    <row r="194" ht="21.75" customHeight="1">
      <c r="A194" s="68"/>
      <c r="B194" s="67"/>
      <c r="C194" s="85" t="s">
        <v>877</v>
      </c>
      <c r="D194" s="12" t="s">
        <v>182</v>
      </c>
      <c r="E194" s="68"/>
      <c r="F194" s="12" t="s">
        <v>102</v>
      </c>
      <c r="G194" s="12" t="s">
        <v>878</v>
      </c>
      <c r="H194" s="63" t="s">
        <v>15</v>
      </c>
      <c r="I194" s="63" t="s">
        <v>84</v>
      </c>
      <c r="J194" s="63" t="s">
        <v>54</v>
      </c>
      <c r="K194" s="64">
        <v>46135.0</v>
      </c>
      <c r="L194" s="64">
        <v>46135.0</v>
      </c>
      <c r="M194" s="64">
        <v>46135.0</v>
      </c>
      <c r="N194" s="66"/>
      <c r="O194" s="66"/>
      <c r="P194" s="33" t="str">
        <f>IFERROR(MasterData!$B196,"")</f>
        <v/>
      </c>
      <c r="Q194" s="33" t="str">
        <f>IFERROR(MasterData!$C196,"")</f>
        <v/>
      </c>
      <c r="R194" s="33" t="str">
        <f>IFERROR(MasterData!$E196,"")</f>
        <v/>
      </c>
      <c r="S194" s="33" t="str">
        <f>IFERROR(MasterData!$G196,"")</f>
        <v/>
      </c>
      <c r="T194" s="33" t="str">
        <f>IFERROR(MasterData!$I196,"")</f>
        <v/>
      </c>
    </row>
    <row r="195" ht="21.75" customHeight="1">
      <c r="A195" s="56"/>
      <c r="B195" s="58"/>
      <c r="C195" s="18" t="s">
        <v>879</v>
      </c>
      <c r="D195" s="18" t="s">
        <v>170</v>
      </c>
      <c r="E195" s="56"/>
      <c r="F195" s="18" t="s">
        <v>69</v>
      </c>
      <c r="G195" s="18" t="s">
        <v>513</v>
      </c>
      <c r="H195" s="42" t="s">
        <v>15</v>
      </c>
      <c r="I195" s="42" t="s">
        <v>72</v>
      </c>
      <c r="J195" s="42" t="s">
        <v>46</v>
      </c>
      <c r="K195" s="48">
        <v>46135.0</v>
      </c>
      <c r="L195" s="49"/>
      <c r="M195" s="49"/>
      <c r="N195" s="53"/>
      <c r="O195" s="53"/>
      <c r="P195" s="33" t="str">
        <f>IFERROR(MasterData!$B197,"")</f>
        <v/>
      </c>
      <c r="Q195" s="33" t="str">
        <f>IFERROR(MasterData!$C197,"")</f>
        <v/>
      </c>
      <c r="R195" s="33" t="str">
        <f>IFERROR(MasterData!$E197,"")</f>
        <v/>
      </c>
      <c r="S195" s="33" t="str">
        <f>IFERROR(MasterData!$G197,"")</f>
        <v/>
      </c>
      <c r="T195" s="33" t="str">
        <f>IFERROR(MasterData!$I197,"")</f>
        <v/>
      </c>
    </row>
    <row r="196" ht="21.75" customHeight="1">
      <c r="A196" s="68"/>
      <c r="B196" s="67"/>
      <c r="C196" s="12" t="s">
        <v>880</v>
      </c>
      <c r="D196" s="12" t="s">
        <v>98</v>
      </c>
      <c r="E196" s="68"/>
      <c r="F196" s="12" t="s">
        <v>292</v>
      </c>
      <c r="G196" s="12" t="s">
        <v>881</v>
      </c>
      <c r="H196" s="63" t="s">
        <v>15</v>
      </c>
      <c r="I196" s="63" t="s">
        <v>17</v>
      </c>
      <c r="J196" s="63" t="s">
        <v>46</v>
      </c>
      <c r="K196" s="64">
        <v>46135.0</v>
      </c>
      <c r="L196" s="65"/>
      <c r="M196" s="65"/>
      <c r="N196" s="66"/>
      <c r="O196" s="66"/>
      <c r="P196" s="33" t="str">
        <f>IFERROR(MasterData!$B198,"")</f>
        <v/>
      </c>
      <c r="Q196" s="33" t="str">
        <f>IFERROR(MasterData!$C198,"")</f>
        <v/>
      </c>
      <c r="R196" s="33" t="str">
        <f>IFERROR(MasterData!$E198,"")</f>
        <v/>
      </c>
      <c r="S196" s="33" t="str">
        <f>IFERROR(MasterData!$G198,"")</f>
        <v/>
      </c>
      <c r="T196" s="33" t="str">
        <f>IFERROR(MasterData!$I198,"")</f>
        <v/>
      </c>
    </row>
    <row r="197" ht="21.75" customHeight="1">
      <c r="A197" s="56"/>
      <c r="B197" s="58"/>
      <c r="C197" s="18" t="s">
        <v>479</v>
      </c>
      <c r="D197" s="18" t="s">
        <v>182</v>
      </c>
      <c r="E197" s="56"/>
      <c r="F197" s="18" t="s">
        <v>290</v>
      </c>
      <c r="G197" s="18" t="s">
        <v>490</v>
      </c>
      <c r="H197" s="42" t="s">
        <v>15</v>
      </c>
      <c r="I197" s="42" t="s">
        <v>84</v>
      </c>
      <c r="J197" s="42" t="s">
        <v>54</v>
      </c>
      <c r="K197" s="48">
        <v>46136.0</v>
      </c>
      <c r="L197" s="48">
        <v>46136.0</v>
      </c>
      <c r="M197" s="48">
        <v>46137.0</v>
      </c>
      <c r="N197" s="53"/>
      <c r="O197" s="53"/>
      <c r="P197" s="33" t="str">
        <f>IFERROR(MasterData!$B199,"")</f>
        <v/>
      </c>
      <c r="Q197" s="33" t="str">
        <f>IFERROR(MasterData!$C199,"")</f>
        <v/>
      </c>
      <c r="R197" s="33" t="str">
        <f>IFERROR(MasterData!$E199,"")</f>
        <v/>
      </c>
      <c r="S197" s="33" t="str">
        <f>IFERROR(MasterData!$G199,"")</f>
        <v/>
      </c>
      <c r="T197" s="33" t="str">
        <f>IFERROR(MasterData!$I199,"")</f>
        <v/>
      </c>
    </row>
    <row r="198" ht="21.75" customHeight="1">
      <c r="A198" s="68"/>
      <c r="B198" s="67"/>
      <c r="C198" s="12" t="s">
        <v>882</v>
      </c>
      <c r="D198" s="12" t="s">
        <v>236</v>
      </c>
      <c r="E198" s="68"/>
      <c r="F198" s="12" t="s">
        <v>117</v>
      </c>
      <c r="G198" s="12" t="s">
        <v>490</v>
      </c>
      <c r="H198" s="63" t="s">
        <v>15</v>
      </c>
      <c r="I198" s="63" t="s">
        <v>44</v>
      </c>
      <c r="J198" s="63" t="s">
        <v>46</v>
      </c>
      <c r="K198" s="48">
        <v>46136.0</v>
      </c>
      <c r="L198" s="65"/>
      <c r="M198" s="65"/>
      <c r="N198" s="66"/>
      <c r="O198" s="66"/>
      <c r="P198" s="33" t="str">
        <f>IFERROR(MasterData!$B200,"")</f>
        <v/>
      </c>
      <c r="Q198" s="33" t="str">
        <f>IFERROR(MasterData!$C200,"")</f>
        <v/>
      </c>
      <c r="R198" s="33" t="str">
        <f>IFERROR(MasterData!$E200,"")</f>
        <v/>
      </c>
      <c r="S198" s="33" t="str">
        <f>IFERROR(MasterData!$G200,"")</f>
        <v/>
      </c>
      <c r="T198" s="33" t="str">
        <f>IFERROR(MasterData!$I200,"")</f>
        <v/>
      </c>
    </row>
    <row r="199" ht="21.75" customHeight="1">
      <c r="A199" s="56"/>
      <c r="B199" s="58"/>
      <c r="C199" s="18" t="s">
        <v>883</v>
      </c>
      <c r="D199" s="18" t="s">
        <v>98</v>
      </c>
      <c r="E199" s="56"/>
      <c r="F199" s="18" t="s">
        <v>114</v>
      </c>
      <c r="G199" s="18" t="s">
        <v>490</v>
      </c>
      <c r="H199" s="42" t="s">
        <v>15</v>
      </c>
      <c r="I199" s="42" t="s">
        <v>44</v>
      </c>
      <c r="J199" s="42" t="s">
        <v>46</v>
      </c>
      <c r="K199" s="48">
        <v>46136.0</v>
      </c>
      <c r="L199" s="49"/>
      <c r="M199" s="49"/>
      <c r="N199" s="53"/>
      <c r="O199" s="53"/>
      <c r="P199" s="33" t="str">
        <f>IFERROR(MasterData!$B201,"")</f>
        <v/>
      </c>
      <c r="Q199" s="33" t="str">
        <f>IFERROR(MasterData!$C201,"")</f>
        <v/>
      </c>
      <c r="R199" s="33" t="str">
        <f>IFERROR(MasterData!$E201,"")</f>
        <v/>
      </c>
      <c r="S199" s="33" t="str">
        <f>IFERROR(MasterData!$G201,"")</f>
        <v/>
      </c>
      <c r="T199" s="33" t="str">
        <f>IFERROR(MasterData!$I201,"")</f>
        <v/>
      </c>
    </row>
    <row r="200" ht="21.75" customHeight="1">
      <c r="A200" s="68"/>
      <c r="B200" s="67"/>
      <c r="C200" s="12" t="s">
        <v>884</v>
      </c>
      <c r="D200" s="12" t="s">
        <v>98</v>
      </c>
      <c r="E200" s="68"/>
      <c r="F200" s="12" t="s">
        <v>13</v>
      </c>
      <c r="G200" s="12" t="s">
        <v>490</v>
      </c>
      <c r="H200" s="63" t="s">
        <v>15</v>
      </c>
      <c r="I200" s="63" t="s">
        <v>84</v>
      </c>
      <c r="J200" s="63" t="s">
        <v>46</v>
      </c>
      <c r="K200" s="48">
        <v>46136.0</v>
      </c>
      <c r="L200" s="65"/>
      <c r="M200" s="65"/>
      <c r="N200" s="66"/>
      <c r="O200" s="66"/>
      <c r="P200" s="33" t="str">
        <f>IFERROR(MasterData!$B202,"")</f>
        <v/>
      </c>
      <c r="Q200" s="33" t="str">
        <f>IFERROR(MasterData!$C202,"")</f>
        <v/>
      </c>
      <c r="R200" s="33" t="str">
        <f>IFERROR(MasterData!$E202,"")</f>
        <v/>
      </c>
      <c r="S200" s="33" t="str">
        <f>IFERROR(MasterData!$G202,"")</f>
        <v/>
      </c>
      <c r="T200" s="33" t="str">
        <f>IFERROR(MasterData!$I202,"")</f>
        <v/>
      </c>
    </row>
    <row r="201" ht="21.75" customHeight="1">
      <c r="A201" s="56"/>
      <c r="B201" s="58"/>
      <c r="C201" s="18" t="s">
        <v>885</v>
      </c>
      <c r="D201" s="18" t="s">
        <v>98</v>
      </c>
      <c r="E201" s="56"/>
      <c r="F201" s="18" t="s">
        <v>117</v>
      </c>
      <c r="G201" s="18" t="s">
        <v>490</v>
      </c>
      <c r="H201" s="42" t="s">
        <v>15</v>
      </c>
      <c r="I201" s="42" t="s">
        <v>44</v>
      </c>
      <c r="J201" s="42" t="s">
        <v>46</v>
      </c>
      <c r="K201" s="48">
        <v>46136.0</v>
      </c>
      <c r="L201" s="49"/>
      <c r="M201" s="49"/>
      <c r="N201" s="53"/>
      <c r="O201" s="53"/>
      <c r="P201" s="33" t="str">
        <f>IFERROR(MasterData!$B203,"")</f>
        <v/>
      </c>
      <c r="Q201" s="33" t="str">
        <f>IFERROR(MasterData!$C203,"")</f>
        <v/>
      </c>
      <c r="R201" s="33" t="str">
        <f>IFERROR(MasterData!$E203,"")</f>
        <v/>
      </c>
      <c r="S201" s="33" t="str">
        <f>IFERROR(MasterData!$G203,"")</f>
        <v/>
      </c>
      <c r="T201" s="33" t="str">
        <f>IFERROR(MasterData!$I203,"")</f>
        <v/>
      </c>
    </row>
    <row r="202" ht="21.75" customHeight="1">
      <c r="A202" s="68"/>
      <c r="B202" s="67"/>
      <c r="C202" s="12" t="s">
        <v>886</v>
      </c>
      <c r="D202" s="12" t="s">
        <v>291</v>
      </c>
      <c r="E202" s="68"/>
      <c r="F202" s="12" t="s">
        <v>275</v>
      </c>
      <c r="G202" s="12" t="s">
        <v>887</v>
      </c>
      <c r="H202" s="63" t="s">
        <v>15</v>
      </c>
      <c r="I202" s="63" t="s">
        <v>26</v>
      </c>
      <c r="J202" s="63" t="s">
        <v>54</v>
      </c>
      <c r="K202" s="64">
        <v>46139.0</v>
      </c>
      <c r="L202" s="64">
        <v>46139.0</v>
      </c>
      <c r="M202" s="64">
        <v>46139.0</v>
      </c>
      <c r="N202" s="66"/>
      <c r="O202" s="66"/>
      <c r="P202" s="33" t="str">
        <f>IFERROR(MasterData!$B204,"")</f>
        <v/>
      </c>
      <c r="Q202" s="33" t="str">
        <f>IFERROR(MasterData!$C204,"")</f>
        <v/>
      </c>
      <c r="R202" s="33" t="str">
        <f>IFERROR(MasterData!$E204,"")</f>
        <v/>
      </c>
      <c r="S202" s="33" t="str">
        <f>IFERROR(MasterData!$G204,"")</f>
        <v/>
      </c>
      <c r="T202" s="33" t="str">
        <f>IFERROR(MasterData!$I204,"")</f>
        <v/>
      </c>
    </row>
    <row r="203" ht="21.75" customHeight="1">
      <c r="A203" s="56"/>
      <c r="B203" s="58"/>
      <c r="C203" s="18" t="s">
        <v>888</v>
      </c>
      <c r="D203" s="18" t="s">
        <v>12</v>
      </c>
      <c r="E203" s="56"/>
      <c r="F203" s="18" t="s">
        <v>129</v>
      </c>
      <c r="G203" s="18" t="s">
        <v>889</v>
      </c>
      <c r="H203" s="42" t="s">
        <v>15</v>
      </c>
      <c r="I203" s="42" t="s">
        <v>84</v>
      </c>
      <c r="J203" s="42" t="s">
        <v>46</v>
      </c>
      <c r="K203" s="64">
        <v>46139.0</v>
      </c>
      <c r="L203" s="49"/>
      <c r="M203" s="49"/>
      <c r="N203" s="53"/>
      <c r="O203" s="53"/>
      <c r="P203" s="33" t="str">
        <f>IFERROR(MasterData!$B205,"")</f>
        <v/>
      </c>
      <c r="Q203" s="33" t="str">
        <f>IFERROR(MasterData!$C205,"")</f>
        <v/>
      </c>
      <c r="R203" s="33" t="str">
        <f>IFERROR(MasterData!$E205,"")</f>
        <v/>
      </c>
      <c r="S203" s="33" t="str">
        <f>IFERROR(MasterData!$G205,"")</f>
        <v/>
      </c>
      <c r="T203" s="33" t="str">
        <f>IFERROR(MasterData!$I205,"")</f>
        <v/>
      </c>
    </row>
    <row r="204" ht="21.75" customHeight="1">
      <c r="A204" s="68"/>
      <c r="B204" s="67"/>
      <c r="C204" s="12" t="s">
        <v>890</v>
      </c>
      <c r="D204" s="12" t="s">
        <v>98</v>
      </c>
      <c r="E204" s="68"/>
      <c r="F204" s="12" t="s">
        <v>306</v>
      </c>
      <c r="G204" s="12" t="s">
        <v>891</v>
      </c>
      <c r="H204" s="63" t="s">
        <v>15</v>
      </c>
      <c r="I204" s="63" t="s">
        <v>44</v>
      </c>
      <c r="J204" s="63" t="s">
        <v>46</v>
      </c>
      <c r="K204" s="64">
        <v>46139.0</v>
      </c>
      <c r="L204" s="65"/>
      <c r="M204" s="65"/>
      <c r="N204" s="66"/>
      <c r="O204" s="66"/>
      <c r="P204" s="33" t="str">
        <f>IFERROR(MasterData!$B206,"")</f>
        <v/>
      </c>
      <c r="Q204" s="33" t="str">
        <f>IFERROR(MasterData!$C206,"")</f>
        <v/>
      </c>
      <c r="R204" s="33" t="str">
        <f>IFERROR(MasterData!$E206,"")</f>
        <v/>
      </c>
      <c r="S204" s="33" t="str">
        <f>IFERROR(MasterData!$G206,"")</f>
        <v/>
      </c>
      <c r="T204" s="33" t="str">
        <f>IFERROR(MasterData!$I206,"")</f>
        <v/>
      </c>
    </row>
    <row r="205" ht="21.75" customHeight="1">
      <c r="A205" s="56"/>
      <c r="B205" s="58"/>
      <c r="C205" s="18" t="s">
        <v>892</v>
      </c>
      <c r="D205" s="18" t="s">
        <v>98</v>
      </c>
      <c r="E205" s="56"/>
      <c r="F205" s="18" t="s">
        <v>306</v>
      </c>
      <c r="G205" s="18" t="s">
        <v>858</v>
      </c>
      <c r="H205" s="42" t="s">
        <v>15</v>
      </c>
      <c r="I205" s="42" t="s">
        <v>26</v>
      </c>
      <c r="J205" s="42" t="s">
        <v>54</v>
      </c>
      <c r="K205" s="48">
        <v>46139.0</v>
      </c>
      <c r="L205" s="48">
        <v>46139.0</v>
      </c>
      <c r="M205" s="48">
        <v>46144.0</v>
      </c>
      <c r="N205" s="53"/>
      <c r="O205" s="53"/>
      <c r="P205" s="33" t="str">
        <f>IFERROR(MasterData!$B207,"")</f>
        <v/>
      </c>
      <c r="Q205" s="33" t="str">
        <f>IFERROR(MasterData!$C207,"")</f>
        <v/>
      </c>
      <c r="R205" s="33" t="str">
        <f>IFERROR(MasterData!$E207,"")</f>
        <v/>
      </c>
      <c r="S205" s="33" t="str">
        <f>IFERROR(MasterData!$G207,"")</f>
        <v/>
      </c>
      <c r="T205" s="33" t="str">
        <f>IFERROR(MasterData!$I207,"")</f>
        <v/>
      </c>
    </row>
    <row r="206" ht="21.75" customHeight="1">
      <c r="A206" s="68"/>
      <c r="B206" s="67"/>
      <c r="C206" s="12" t="s">
        <v>893</v>
      </c>
      <c r="D206" s="12" t="s">
        <v>291</v>
      </c>
      <c r="E206" s="68"/>
      <c r="F206" s="12" t="s">
        <v>147</v>
      </c>
      <c r="G206" s="12" t="s">
        <v>894</v>
      </c>
      <c r="H206" s="63" t="s">
        <v>15</v>
      </c>
      <c r="I206" s="63" t="s">
        <v>17</v>
      </c>
      <c r="J206" s="63" t="s">
        <v>54</v>
      </c>
      <c r="K206" s="64">
        <v>46140.0</v>
      </c>
      <c r="L206" s="64">
        <v>46140.0</v>
      </c>
      <c r="M206" s="64">
        <v>46145.0</v>
      </c>
      <c r="N206" s="66"/>
      <c r="O206" s="66"/>
      <c r="P206" s="33" t="str">
        <f>IFERROR(MasterData!$B208,"")</f>
        <v/>
      </c>
      <c r="Q206" s="33" t="str">
        <f>IFERROR(MasterData!$C208,"")</f>
        <v/>
      </c>
      <c r="R206" s="33" t="str">
        <f>IFERROR(MasterData!$E208,"")</f>
        <v/>
      </c>
      <c r="S206" s="33" t="str">
        <f>IFERROR(MasterData!$G208,"")</f>
        <v/>
      </c>
      <c r="T206" s="33" t="str">
        <f>IFERROR(MasterData!$I208,"")</f>
        <v/>
      </c>
    </row>
    <row r="207" ht="21.75" customHeight="1">
      <c r="A207" s="56"/>
      <c r="B207" s="58"/>
      <c r="C207" s="18" t="s">
        <v>895</v>
      </c>
      <c r="D207" s="18" t="s">
        <v>173</v>
      </c>
      <c r="E207" s="56"/>
      <c r="F207" s="18" t="s">
        <v>135</v>
      </c>
      <c r="G207" s="18" t="s">
        <v>490</v>
      </c>
      <c r="H207" s="42" t="s">
        <v>15</v>
      </c>
      <c r="I207" s="42" t="s">
        <v>26</v>
      </c>
      <c r="J207" s="42" t="s">
        <v>46</v>
      </c>
      <c r="K207" s="64">
        <v>46140.0</v>
      </c>
      <c r="L207" s="49"/>
      <c r="M207" s="49"/>
      <c r="N207" s="53"/>
      <c r="O207" s="53"/>
      <c r="P207" s="33" t="str">
        <f>IFERROR(MasterData!$B209,"")</f>
        <v/>
      </c>
      <c r="Q207" s="33" t="str">
        <f>IFERROR(MasterData!$C209,"")</f>
        <v/>
      </c>
      <c r="R207" s="33" t="str">
        <f>IFERROR(MasterData!$E209,"")</f>
        <v/>
      </c>
      <c r="S207" s="33" t="str">
        <f>IFERROR(MasterData!$G209,"")</f>
        <v/>
      </c>
      <c r="T207" s="33" t="str">
        <f>IFERROR(MasterData!$I209,"")</f>
        <v/>
      </c>
    </row>
    <row r="208" ht="21.75" customHeight="1">
      <c r="A208" s="68"/>
      <c r="B208" s="67"/>
      <c r="C208" s="12" t="s">
        <v>896</v>
      </c>
      <c r="D208" s="12" t="s">
        <v>98</v>
      </c>
      <c r="E208" s="68"/>
      <c r="F208" s="12" t="s">
        <v>92</v>
      </c>
      <c r="G208" s="12" t="s">
        <v>897</v>
      </c>
      <c r="H208" s="63" t="s">
        <v>15</v>
      </c>
      <c r="I208" s="63" t="s">
        <v>26</v>
      </c>
      <c r="J208" s="63" t="s">
        <v>46</v>
      </c>
      <c r="K208" s="64">
        <v>46140.0</v>
      </c>
      <c r="L208" s="65"/>
      <c r="M208" s="65"/>
      <c r="N208" s="66"/>
      <c r="O208" s="66"/>
      <c r="P208" s="33" t="str">
        <f>IFERROR(MasterData!$B210,"")</f>
        <v/>
      </c>
      <c r="Q208" s="33" t="str">
        <f>IFERROR(MasterData!$C210,"")</f>
        <v/>
      </c>
      <c r="R208" s="33" t="str">
        <f>IFERROR(MasterData!$E210,"")</f>
        <v/>
      </c>
      <c r="S208" s="33" t="str">
        <f>IFERROR(MasterData!$G210,"")</f>
        <v/>
      </c>
      <c r="T208" s="33" t="str">
        <f>IFERROR(MasterData!$I210,"")</f>
        <v/>
      </c>
    </row>
    <row r="209" ht="21.75" customHeight="1">
      <c r="A209" s="56"/>
      <c r="B209" s="58"/>
      <c r="C209" s="18" t="s">
        <v>898</v>
      </c>
      <c r="D209" s="18" t="s">
        <v>280</v>
      </c>
      <c r="E209" s="56"/>
      <c r="F209" s="18" t="s">
        <v>210</v>
      </c>
      <c r="G209" s="18" t="s">
        <v>490</v>
      </c>
      <c r="H209" s="42" t="s">
        <v>15</v>
      </c>
      <c r="I209" s="42" t="s">
        <v>26</v>
      </c>
      <c r="J209" s="42" t="s">
        <v>46</v>
      </c>
      <c r="K209" s="64">
        <v>46140.0</v>
      </c>
      <c r="L209" s="49"/>
      <c r="M209" s="49"/>
      <c r="N209" s="53"/>
      <c r="O209" s="53"/>
      <c r="P209" s="33" t="str">
        <f>IFERROR(MasterData!$B211,"")</f>
        <v/>
      </c>
      <c r="Q209" s="33" t="str">
        <f>IFERROR(MasterData!$C211,"")</f>
        <v/>
      </c>
      <c r="R209" s="33" t="str">
        <f>IFERROR(MasterData!$E211,"")</f>
        <v/>
      </c>
      <c r="S209" s="33" t="str">
        <f>IFERROR(MasterData!$G211,"")</f>
        <v/>
      </c>
      <c r="T209" s="33" t="str">
        <f>IFERROR(MasterData!$I211,"")</f>
        <v/>
      </c>
    </row>
    <row r="210" ht="21.75" customHeight="1">
      <c r="A210" s="68"/>
      <c r="B210" s="67"/>
      <c r="C210" s="12" t="s">
        <v>899</v>
      </c>
      <c r="D210" s="12" t="s">
        <v>280</v>
      </c>
      <c r="E210" s="68"/>
      <c r="F210" s="12" t="s">
        <v>171</v>
      </c>
      <c r="G210" s="12" t="s">
        <v>900</v>
      </c>
      <c r="H210" s="63" t="s">
        <v>77</v>
      </c>
      <c r="I210" s="63" t="s">
        <v>17</v>
      </c>
      <c r="J210" s="63" t="s">
        <v>54</v>
      </c>
      <c r="K210" s="64">
        <v>46141.0</v>
      </c>
      <c r="L210" s="64">
        <v>46141.0</v>
      </c>
      <c r="M210" s="64">
        <v>46142.0</v>
      </c>
      <c r="N210" s="66"/>
      <c r="O210" s="66"/>
      <c r="P210" s="33" t="str">
        <f>IFERROR(MasterData!$B212,"")</f>
        <v/>
      </c>
      <c r="Q210" s="33" t="str">
        <f>IFERROR(MasterData!$C212,"")</f>
        <v/>
      </c>
      <c r="R210" s="33" t="str">
        <f>IFERROR(MasterData!$E212,"")</f>
        <v/>
      </c>
      <c r="S210" s="33" t="str">
        <f>IFERROR(MasterData!$G212,"")</f>
        <v/>
      </c>
      <c r="T210" s="33" t="str">
        <f>IFERROR(MasterData!$I212,"")</f>
        <v/>
      </c>
    </row>
    <row r="211" ht="21.75" customHeight="1">
      <c r="A211" s="56"/>
      <c r="B211" s="58"/>
      <c r="C211" s="18" t="s">
        <v>901</v>
      </c>
      <c r="D211" s="18" t="s">
        <v>140</v>
      </c>
      <c r="E211" s="56"/>
      <c r="F211" s="18" t="s">
        <v>162</v>
      </c>
      <c r="G211" s="18" t="s">
        <v>490</v>
      </c>
      <c r="H211" s="42" t="s">
        <v>15</v>
      </c>
      <c r="I211" s="42" t="s">
        <v>35</v>
      </c>
      <c r="J211" s="42" t="s">
        <v>54</v>
      </c>
      <c r="K211" s="48">
        <v>46141.0</v>
      </c>
      <c r="L211" s="48">
        <v>46141.0</v>
      </c>
      <c r="M211" s="48">
        <v>46155.0</v>
      </c>
      <c r="N211" s="53"/>
      <c r="O211" s="53"/>
      <c r="P211" s="33" t="str">
        <f>IFERROR(MasterData!$B213,"")</f>
        <v/>
      </c>
      <c r="Q211" s="33" t="str">
        <f>IFERROR(MasterData!$C213,"")</f>
        <v/>
      </c>
      <c r="R211" s="33" t="str">
        <f>IFERROR(MasterData!$E213,"")</f>
        <v/>
      </c>
      <c r="S211" s="33" t="str">
        <f>IFERROR(MasterData!$G213,"")</f>
        <v/>
      </c>
      <c r="T211" s="33" t="str">
        <f>IFERROR(MasterData!$I213,"")</f>
        <v/>
      </c>
    </row>
    <row r="212" ht="21.75" customHeight="1">
      <c r="A212" s="68"/>
      <c r="B212" s="67"/>
      <c r="C212" s="12" t="s">
        <v>902</v>
      </c>
      <c r="D212" s="12" t="s">
        <v>12</v>
      </c>
      <c r="E212" s="68"/>
      <c r="F212" s="12" t="s">
        <v>301</v>
      </c>
      <c r="G212" s="12" t="s">
        <v>903</v>
      </c>
      <c r="H212" s="63" t="s">
        <v>15</v>
      </c>
      <c r="I212" s="63" t="s">
        <v>84</v>
      </c>
      <c r="J212" s="63" t="s">
        <v>46</v>
      </c>
      <c r="K212" s="48">
        <v>46141.0</v>
      </c>
      <c r="L212" s="65"/>
      <c r="M212" s="65"/>
      <c r="N212" s="66"/>
      <c r="O212" s="66"/>
      <c r="P212" s="33" t="str">
        <f>IFERROR(MasterData!$B214,"")</f>
        <v/>
      </c>
      <c r="Q212" s="33" t="str">
        <f>IFERROR(MasterData!$C214,"")</f>
        <v/>
      </c>
      <c r="R212" s="33" t="str">
        <f>IFERROR(MasterData!$E214,"")</f>
        <v/>
      </c>
      <c r="S212" s="33" t="str">
        <f>IFERROR(MasterData!$G214,"")</f>
        <v/>
      </c>
      <c r="T212" s="33" t="str">
        <f>IFERROR(MasterData!$I214,"")</f>
        <v/>
      </c>
    </row>
    <row r="213" ht="21.75" customHeight="1">
      <c r="A213" s="56"/>
      <c r="B213" s="58"/>
      <c r="C213" s="18" t="s">
        <v>904</v>
      </c>
      <c r="D213" s="18" t="s">
        <v>12</v>
      </c>
      <c r="E213" s="56"/>
      <c r="F213" s="18" t="s">
        <v>186</v>
      </c>
      <c r="G213" s="18" t="s">
        <v>797</v>
      </c>
      <c r="H213" s="42" t="s">
        <v>15</v>
      </c>
      <c r="I213" s="42" t="s">
        <v>26</v>
      </c>
      <c r="J213" s="42" t="s">
        <v>46</v>
      </c>
      <c r="K213" s="48">
        <v>46141.0</v>
      </c>
      <c r="L213" s="49"/>
      <c r="M213" s="49"/>
      <c r="N213" s="53"/>
      <c r="O213" s="53"/>
      <c r="P213" s="33" t="str">
        <f>IFERROR(MasterData!$B215,"")</f>
        <v/>
      </c>
      <c r="Q213" s="33" t="str">
        <f>IFERROR(MasterData!$C215,"")</f>
        <v/>
      </c>
      <c r="R213" s="33" t="str">
        <f>IFERROR(MasterData!$E215,"")</f>
        <v/>
      </c>
      <c r="S213" s="33" t="str">
        <f>IFERROR(MasterData!$G215,"")</f>
        <v/>
      </c>
      <c r="T213" s="33" t="str">
        <f>IFERROR(MasterData!$I215,"")</f>
        <v/>
      </c>
    </row>
    <row r="214" ht="21.75" customHeight="1">
      <c r="A214" s="68"/>
      <c r="B214" s="67"/>
      <c r="C214" s="12" t="s">
        <v>905</v>
      </c>
      <c r="D214" s="12" t="s">
        <v>98</v>
      </c>
      <c r="E214" s="68"/>
      <c r="F214" s="12" t="s">
        <v>129</v>
      </c>
      <c r="G214" s="12" t="s">
        <v>906</v>
      </c>
      <c r="H214" s="63" t="s">
        <v>15</v>
      </c>
      <c r="I214" s="63" t="s">
        <v>26</v>
      </c>
      <c r="J214" s="63" t="s">
        <v>46</v>
      </c>
      <c r="K214" s="64">
        <v>46141.0</v>
      </c>
      <c r="L214" s="65"/>
      <c r="M214" s="65"/>
      <c r="N214" s="66"/>
      <c r="O214" s="66"/>
      <c r="P214" s="33" t="str">
        <f>IFERROR(MasterData!$B216,"")</f>
        <v/>
      </c>
      <c r="Q214" s="33" t="str">
        <f>IFERROR(MasterData!$C216,"")</f>
        <v/>
      </c>
      <c r="R214" s="33" t="str">
        <f>IFERROR(MasterData!$E216,"")</f>
        <v/>
      </c>
      <c r="S214" s="33" t="str">
        <f>IFERROR(MasterData!$G216,"")</f>
        <v/>
      </c>
      <c r="T214" s="33" t="str">
        <f>IFERROR(MasterData!$I216,"")</f>
        <v/>
      </c>
    </row>
    <row r="215" ht="21.75" customHeight="1">
      <c r="A215" s="56"/>
      <c r="B215" s="58"/>
      <c r="C215" s="18" t="s">
        <v>907</v>
      </c>
      <c r="D215" s="18" t="s">
        <v>182</v>
      </c>
      <c r="E215" s="56"/>
      <c r="F215" s="18" t="s">
        <v>290</v>
      </c>
      <c r="G215" s="18" t="s">
        <v>908</v>
      </c>
      <c r="H215" s="42" t="s">
        <v>15</v>
      </c>
      <c r="I215" s="42" t="s">
        <v>26</v>
      </c>
      <c r="J215" s="42" t="s">
        <v>54</v>
      </c>
      <c r="K215" s="48">
        <v>46142.0</v>
      </c>
      <c r="L215" s="48">
        <v>46142.0</v>
      </c>
      <c r="M215" s="48">
        <v>46142.0</v>
      </c>
      <c r="N215" s="53"/>
      <c r="O215" s="53"/>
      <c r="P215" s="33" t="str">
        <f>IFERROR(MasterData!$B217,"")</f>
        <v/>
      </c>
      <c r="Q215" s="33" t="str">
        <f>IFERROR(MasterData!$C217,"")</f>
        <v/>
      </c>
      <c r="R215" s="33" t="str">
        <f>IFERROR(MasterData!$E217,"")</f>
        <v/>
      </c>
      <c r="S215" s="33" t="str">
        <f>IFERROR(MasterData!$G217,"")</f>
        <v/>
      </c>
      <c r="T215" s="33" t="str">
        <f>IFERROR(MasterData!$I217,"")</f>
        <v/>
      </c>
    </row>
    <row r="216" ht="21.75" customHeight="1">
      <c r="A216" s="68"/>
      <c r="B216" s="67"/>
      <c r="C216" s="12" t="s">
        <v>909</v>
      </c>
      <c r="D216" s="12" t="s">
        <v>48</v>
      </c>
      <c r="E216" s="68"/>
      <c r="F216" s="12" t="s">
        <v>304</v>
      </c>
      <c r="G216" s="12" t="s">
        <v>910</v>
      </c>
      <c r="H216" s="63" t="s">
        <v>15</v>
      </c>
      <c r="I216" s="63" t="s">
        <v>26</v>
      </c>
      <c r="J216" s="63" t="s">
        <v>54</v>
      </c>
      <c r="K216" s="64">
        <v>46142.0</v>
      </c>
      <c r="L216" s="64">
        <v>46142.0</v>
      </c>
      <c r="M216" s="64">
        <v>46147.0</v>
      </c>
      <c r="N216" s="66"/>
      <c r="O216" s="66"/>
      <c r="P216" s="33" t="str">
        <f>IFERROR(MasterData!$B218,"")</f>
        <v/>
      </c>
      <c r="Q216" s="33" t="str">
        <f>IFERROR(MasterData!$C218,"")</f>
        <v/>
      </c>
      <c r="R216" s="33" t="str">
        <f>IFERROR(MasterData!$E218,"")</f>
        <v/>
      </c>
      <c r="S216" s="33" t="str">
        <f>IFERROR(MasterData!$G218,"")</f>
        <v/>
      </c>
      <c r="T216" s="33" t="str">
        <f>IFERROR(MasterData!$I218,"")</f>
        <v/>
      </c>
    </row>
    <row r="217" ht="21.75" customHeight="1">
      <c r="A217" s="56"/>
      <c r="B217" s="58"/>
      <c r="C217" s="18" t="s">
        <v>911</v>
      </c>
      <c r="D217" s="18" t="s">
        <v>182</v>
      </c>
      <c r="E217" s="56"/>
      <c r="F217" s="18" t="s">
        <v>304</v>
      </c>
      <c r="G217" s="18" t="s">
        <v>517</v>
      </c>
      <c r="H217" s="42" t="s">
        <v>15</v>
      </c>
      <c r="I217" s="42" t="s">
        <v>17</v>
      </c>
      <c r="J217" s="42" t="s">
        <v>54</v>
      </c>
      <c r="K217" s="48">
        <v>46142.0</v>
      </c>
      <c r="L217" s="48">
        <v>46142.0</v>
      </c>
      <c r="M217" s="48">
        <v>46142.0</v>
      </c>
      <c r="N217" s="53"/>
      <c r="O217" s="53"/>
      <c r="P217" s="33" t="str">
        <f>IFERROR(MasterData!$B219,"")</f>
        <v/>
      </c>
      <c r="Q217" s="33" t="str">
        <f>IFERROR(MasterData!$C219,"")</f>
        <v/>
      </c>
      <c r="R217" s="33" t="str">
        <f>IFERROR(MasterData!$E219,"")</f>
        <v/>
      </c>
      <c r="S217" s="33" t="str">
        <f>IFERROR(MasterData!$G219,"")</f>
        <v/>
      </c>
      <c r="T217" s="33" t="str">
        <f>IFERROR(MasterData!$I219,"")</f>
        <v/>
      </c>
    </row>
    <row r="218" ht="21.75" customHeight="1">
      <c r="A218" s="68"/>
      <c r="B218" s="67"/>
      <c r="C218" s="12" t="s">
        <v>912</v>
      </c>
      <c r="D218" s="12" t="s">
        <v>291</v>
      </c>
      <c r="E218" s="68"/>
      <c r="F218" s="12" t="s">
        <v>105</v>
      </c>
      <c r="G218" s="12" t="s">
        <v>913</v>
      </c>
      <c r="H218" s="63" t="s">
        <v>15</v>
      </c>
      <c r="I218" s="63" t="s">
        <v>26</v>
      </c>
      <c r="J218" s="63" t="s">
        <v>54</v>
      </c>
      <c r="K218" s="64">
        <v>46142.0</v>
      </c>
      <c r="L218" s="64">
        <v>46142.0</v>
      </c>
      <c r="M218" s="64">
        <v>46148.0</v>
      </c>
      <c r="N218" s="66"/>
      <c r="O218" s="66"/>
      <c r="P218" s="33" t="str">
        <f>IFERROR(MasterData!$B220,"")</f>
        <v/>
      </c>
      <c r="Q218" s="33" t="str">
        <f>IFERROR(MasterData!$C220,"")</f>
        <v/>
      </c>
      <c r="R218" s="33" t="str">
        <f>IFERROR(MasterData!$E220,"")</f>
        <v/>
      </c>
      <c r="S218" s="33" t="str">
        <f>IFERROR(MasterData!$G220,"")</f>
        <v/>
      </c>
      <c r="T218" s="33" t="str">
        <f>IFERROR(MasterData!$I220,"")</f>
        <v/>
      </c>
    </row>
    <row r="219" ht="21.75" customHeight="1">
      <c r="A219" s="56"/>
      <c r="B219" s="58"/>
      <c r="C219" s="18" t="s">
        <v>914</v>
      </c>
      <c r="D219" s="18" t="s">
        <v>293</v>
      </c>
      <c r="E219" s="56"/>
      <c r="F219" s="18" t="s">
        <v>147</v>
      </c>
      <c r="G219" s="18" t="s">
        <v>915</v>
      </c>
      <c r="H219" s="42" t="s">
        <v>15</v>
      </c>
      <c r="I219" s="42" t="s">
        <v>26</v>
      </c>
      <c r="J219" s="42" t="s">
        <v>54</v>
      </c>
      <c r="K219" s="48">
        <v>46146.0</v>
      </c>
      <c r="L219" s="48">
        <v>46146.0</v>
      </c>
      <c r="M219" s="48">
        <v>46150.0</v>
      </c>
      <c r="N219" s="53"/>
      <c r="O219" s="53"/>
      <c r="P219" s="33" t="str">
        <f>IFERROR(MasterData!$B221,"")</f>
        <v/>
      </c>
      <c r="Q219" s="33" t="str">
        <f>IFERROR(MasterData!$C221,"")</f>
        <v/>
      </c>
      <c r="R219" s="33" t="str">
        <f>IFERROR(MasterData!$E221,"")</f>
        <v/>
      </c>
      <c r="S219" s="33" t="str">
        <f>IFERROR(MasterData!$G221,"")</f>
        <v/>
      </c>
      <c r="T219" s="33" t="str">
        <f>IFERROR(MasterData!$I221,"")</f>
        <v/>
      </c>
    </row>
    <row r="220" ht="21.75" customHeight="1">
      <c r="A220" s="68"/>
      <c r="B220" s="67"/>
      <c r="C220" s="12" t="s">
        <v>916</v>
      </c>
      <c r="D220" s="12" t="s">
        <v>291</v>
      </c>
      <c r="E220" s="68"/>
      <c r="F220" s="12" t="s">
        <v>171</v>
      </c>
      <c r="G220" s="12" t="s">
        <v>490</v>
      </c>
      <c r="H220" s="63" t="s">
        <v>15</v>
      </c>
      <c r="I220" s="63" t="s">
        <v>17</v>
      </c>
      <c r="J220" s="63" t="s">
        <v>54</v>
      </c>
      <c r="K220" s="64">
        <v>46146.0</v>
      </c>
      <c r="L220" s="64">
        <v>46146.0</v>
      </c>
      <c r="M220" s="64">
        <v>46147.0</v>
      </c>
      <c r="N220" s="66"/>
      <c r="O220" s="66"/>
      <c r="P220" s="33" t="str">
        <f>IFERROR(MasterData!$B222,"")</f>
        <v/>
      </c>
      <c r="Q220" s="33" t="str">
        <f>IFERROR(MasterData!$C222,"")</f>
        <v/>
      </c>
      <c r="R220" s="33" t="str">
        <f>IFERROR(MasterData!$E222,"")</f>
        <v/>
      </c>
      <c r="S220" s="33" t="str">
        <f>IFERROR(MasterData!$G222,"")</f>
        <v/>
      </c>
      <c r="T220" s="33" t="str">
        <f>IFERROR(MasterData!$I222,"")</f>
        <v/>
      </c>
    </row>
    <row r="221" ht="21.75" customHeight="1">
      <c r="A221" s="56"/>
      <c r="B221" s="58"/>
      <c r="C221" s="18" t="s">
        <v>917</v>
      </c>
      <c r="D221" s="18" t="s">
        <v>291</v>
      </c>
      <c r="E221" s="56"/>
      <c r="F221" s="18" t="s">
        <v>147</v>
      </c>
      <c r="G221" s="18" t="s">
        <v>918</v>
      </c>
      <c r="H221" s="42" t="s">
        <v>15</v>
      </c>
      <c r="I221" s="42" t="s">
        <v>26</v>
      </c>
      <c r="J221" s="42" t="s">
        <v>54</v>
      </c>
      <c r="K221" s="48">
        <v>46146.0</v>
      </c>
      <c r="L221" s="48">
        <v>46146.0</v>
      </c>
      <c r="M221" s="48">
        <v>46153.0</v>
      </c>
      <c r="N221" s="53"/>
      <c r="O221" s="53"/>
      <c r="P221" s="33" t="str">
        <f>IFERROR(MasterData!$B223,"")</f>
        <v/>
      </c>
      <c r="Q221" s="33" t="str">
        <f>IFERROR(MasterData!$C223,"")</f>
        <v/>
      </c>
      <c r="R221" s="33" t="str">
        <f>IFERROR(MasterData!$E223,"")</f>
        <v/>
      </c>
      <c r="S221" s="33" t="str">
        <f>IFERROR(MasterData!$G223,"")</f>
        <v/>
      </c>
      <c r="T221" s="33" t="str">
        <f>IFERROR(MasterData!$I223,"")</f>
        <v/>
      </c>
    </row>
    <row r="222" ht="21.75" customHeight="1">
      <c r="A222" s="68"/>
      <c r="B222" s="67"/>
      <c r="C222" s="12" t="s">
        <v>919</v>
      </c>
      <c r="D222" s="12" t="s">
        <v>295</v>
      </c>
      <c r="E222" s="68"/>
      <c r="F222" s="12" t="s">
        <v>147</v>
      </c>
      <c r="G222" s="12" t="s">
        <v>280</v>
      </c>
      <c r="H222" s="63" t="s">
        <v>15</v>
      </c>
      <c r="I222" s="63" t="s">
        <v>17</v>
      </c>
      <c r="J222" s="63" t="s">
        <v>54</v>
      </c>
      <c r="K222" s="64">
        <v>46146.0</v>
      </c>
      <c r="L222" s="64">
        <v>46146.0</v>
      </c>
      <c r="M222" s="64">
        <v>46149.0</v>
      </c>
      <c r="N222" s="66"/>
      <c r="O222" s="66"/>
      <c r="P222" s="33" t="str">
        <f>IFERROR(MasterData!$B224,"")</f>
        <v/>
      </c>
      <c r="Q222" s="33" t="str">
        <f>IFERROR(MasterData!$C224,"")</f>
        <v/>
      </c>
      <c r="R222" s="33" t="str">
        <f>IFERROR(MasterData!$E224,"")</f>
        <v/>
      </c>
      <c r="S222" s="33" t="str">
        <f>IFERROR(MasterData!$G224,"")</f>
        <v/>
      </c>
      <c r="T222" s="33" t="str">
        <f>IFERROR(MasterData!$I224,"")</f>
        <v/>
      </c>
    </row>
    <row r="223" ht="21.75" customHeight="1">
      <c r="A223" s="56"/>
      <c r="B223" s="58"/>
      <c r="C223" s="18" t="s">
        <v>920</v>
      </c>
      <c r="D223" s="18" t="s">
        <v>12</v>
      </c>
      <c r="E223" s="56"/>
      <c r="F223" s="18" t="s">
        <v>135</v>
      </c>
      <c r="G223" s="18" t="s">
        <v>477</v>
      </c>
      <c r="H223" s="42" t="s">
        <v>15</v>
      </c>
      <c r="I223" s="42" t="s">
        <v>26</v>
      </c>
      <c r="J223" s="42" t="s">
        <v>46</v>
      </c>
      <c r="K223" s="48">
        <v>46147.0</v>
      </c>
      <c r="L223" s="49"/>
      <c r="M223" s="49"/>
      <c r="N223" s="53"/>
      <c r="O223" s="53"/>
      <c r="P223" s="33" t="str">
        <f>IFERROR(MasterData!$B225,"")</f>
        <v/>
      </c>
      <c r="Q223" s="33" t="str">
        <f>IFERROR(MasterData!$C225,"")</f>
        <v/>
      </c>
      <c r="R223" s="33" t="str">
        <f>IFERROR(MasterData!$E225,"")</f>
        <v/>
      </c>
      <c r="S223" s="33" t="str">
        <f>IFERROR(MasterData!$G225,"")</f>
        <v/>
      </c>
      <c r="T223" s="33" t="str">
        <f>IFERROR(MasterData!$I225,"")</f>
        <v/>
      </c>
    </row>
    <row r="224" ht="21.75" customHeight="1">
      <c r="A224" s="68"/>
      <c r="B224" s="67"/>
      <c r="C224" s="12" t="s">
        <v>921</v>
      </c>
      <c r="D224" s="12" t="s">
        <v>98</v>
      </c>
      <c r="E224" s="68"/>
      <c r="F224" s="12" t="s">
        <v>306</v>
      </c>
      <c r="G224" s="12" t="s">
        <v>490</v>
      </c>
      <c r="H224" s="63" t="s">
        <v>15</v>
      </c>
      <c r="I224" s="63" t="s">
        <v>26</v>
      </c>
      <c r="J224" s="63" t="s">
        <v>46</v>
      </c>
      <c r="K224" s="48">
        <v>46147.0</v>
      </c>
      <c r="L224" s="65"/>
      <c r="M224" s="65"/>
      <c r="N224" s="66"/>
      <c r="O224" s="66"/>
      <c r="P224" s="33" t="str">
        <f>IFERROR(MasterData!$B226,"")</f>
        <v/>
      </c>
      <c r="Q224" s="33" t="str">
        <f>IFERROR(MasterData!$C226,"")</f>
        <v/>
      </c>
      <c r="R224" s="33" t="str">
        <f>IFERROR(MasterData!$E226,"")</f>
        <v/>
      </c>
      <c r="S224" s="33" t="str">
        <f>IFERROR(MasterData!$G226,"")</f>
        <v/>
      </c>
      <c r="T224" s="33" t="str">
        <f>IFERROR(MasterData!$I226,"")</f>
        <v/>
      </c>
    </row>
    <row r="225" ht="21.75" customHeight="1">
      <c r="A225" s="56"/>
      <c r="B225" s="58"/>
      <c r="C225" s="18" t="s">
        <v>922</v>
      </c>
      <c r="D225" s="18" t="s">
        <v>239</v>
      </c>
      <c r="E225" s="56"/>
      <c r="F225" s="18" t="s">
        <v>171</v>
      </c>
      <c r="G225" s="12" t="s">
        <v>490</v>
      </c>
      <c r="H225" s="42" t="s">
        <v>15</v>
      </c>
      <c r="I225" s="42" t="s">
        <v>26</v>
      </c>
      <c r="J225" s="42" t="s">
        <v>46</v>
      </c>
      <c r="K225" s="48">
        <v>46148.0</v>
      </c>
      <c r="L225" s="49"/>
      <c r="M225" s="49"/>
      <c r="N225" s="53"/>
      <c r="O225" s="53"/>
      <c r="P225" s="33" t="str">
        <f>IFERROR(MasterData!$B227,"")</f>
        <v/>
      </c>
      <c r="Q225" s="33" t="str">
        <f>IFERROR(MasterData!$C227,"")</f>
        <v/>
      </c>
      <c r="R225" s="33" t="str">
        <f>IFERROR(MasterData!$E227,"")</f>
        <v/>
      </c>
      <c r="S225" s="33" t="str">
        <f>IFERROR(MasterData!$G227,"")</f>
        <v/>
      </c>
      <c r="T225" s="33" t="str">
        <f>IFERROR(MasterData!$I227,"")</f>
        <v/>
      </c>
    </row>
    <row r="226" ht="21.75" customHeight="1">
      <c r="A226" s="68"/>
      <c r="B226" s="67"/>
      <c r="C226" s="12" t="s">
        <v>923</v>
      </c>
      <c r="D226" s="12" t="s">
        <v>98</v>
      </c>
      <c r="E226" s="68"/>
      <c r="F226" s="12" t="s">
        <v>92</v>
      </c>
      <c r="G226" s="12" t="s">
        <v>490</v>
      </c>
      <c r="H226" s="63" t="s">
        <v>15</v>
      </c>
      <c r="I226" s="63" t="s">
        <v>26</v>
      </c>
      <c r="J226" s="63" t="s">
        <v>46</v>
      </c>
      <c r="K226" s="48">
        <v>46148.0</v>
      </c>
      <c r="L226" s="65"/>
      <c r="M226" s="65"/>
      <c r="N226" s="66"/>
      <c r="O226" s="66"/>
      <c r="P226" s="33" t="str">
        <f>IFERROR(MasterData!$B228,"")</f>
        <v/>
      </c>
      <c r="Q226" s="33" t="str">
        <f>IFERROR(MasterData!$C228,"")</f>
        <v/>
      </c>
      <c r="R226" s="33" t="str">
        <f>IFERROR(MasterData!$E228,"")</f>
        <v/>
      </c>
      <c r="S226" s="33" t="str">
        <f>IFERROR(MasterData!$G228,"")</f>
        <v/>
      </c>
      <c r="T226" s="33" t="str">
        <f>IFERROR(MasterData!$I228,"")</f>
        <v/>
      </c>
    </row>
    <row r="227" ht="21.75" customHeight="1">
      <c r="A227" s="56"/>
      <c r="B227" s="58"/>
      <c r="C227" s="18" t="s">
        <v>924</v>
      </c>
      <c r="D227" s="18" t="s">
        <v>295</v>
      </c>
      <c r="E227" s="56"/>
      <c r="F227" s="18" t="s">
        <v>105</v>
      </c>
      <c r="G227" s="18" t="s">
        <v>925</v>
      </c>
      <c r="H227" s="42" t="s">
        <v>15</v>
      </c>
      <c r="I227" s="42" t="s">
        <v>26</v>
      </c>
      <c r="J227" s="42" t="s">
        <v>54</v>
      </c>
      <c r="K227" s="48">
        <v>46148.0</v>
      </c>
      <c r="L227" s="48">
        <v>46148.0</v>
      </c>
      <c r="M227" s="48">
        <v>46148.0</v>
      </c>
      <c r="N227" s="53"/>
      <c r="O227" s="53"/>
      <c r="P227" s="33" t="str">
        <f>IFERROR(MasterData!$B229,"")</f>
        <v/>
      </c>
      <c r="Q227" s="33" t="str">
        <f>IFERROR(MasterData!$C229,"")</f>
        <v/>
      </c>
      <c r="R227" s="33" t="str">
        <f>IFERROR(MasterData!$E229,"")</f>
        <v/>
      </c>
      <c r="S227" s="33" t="str">
        <f>IFERROR(MasterData!$G229,"")</f>
        <v/>
      </c>
      <c r="T227" s="33" t="str">
        <f>IFERROR(MasterData!$I229,"")</f>
        <v/>
      </c>
    </row>
    <row r="228" ht="21.75" customHeight="1">
      <c r="A228" s="68"/>
      <c r="B228" s="67"/>
      <c r="C228" s="12" t="s">
        <v>926</v>
      </c>
      <c r="D228" s="12" t="s">
        <v>297</v>
      </c>
      <c r="E228" s="68"/>
      <c r="F228" s="12" t="s">
        <v>294</v>
      </c>
      <c r="G228" s="12" t="s">
        <v>642</v>
      </c>
      <c r="H228" s="63" t="s">
        <v>15</v>
      </c>
      <c r="I228" s="63" t="s">
        <v>17</v>
      </c>
      <c r="J228" s="63" t="s">
        <v>54</v>
      </c>
      <c r="K228" s="64">
        <v>46148.0</v>
      </c>
      <c r="L228" s="64">
        <v>46148.0</v>
      </c>
      <c r="M228" s="64">
        <v>46149.0</v>
      </c>
      <c r="N228" s="66"/>
      <c r="O228" s="66"/>
      <c r="P228" s="33" t="str">
        <f>IFERROR(MasterData!$B230,"")</f>
        <v/>
      </c>
      <c r="Q228" s="33" t="str">
        <f>IFERROR(MasterData!$C230,"")</f>
        <v/>
      </c>
      <c r="R228" s="33" t="str">
        <f>IFERROR(MasterData!$E230,"")</f>
        <v/>
      </c>
      <c r="S228" s="33" t="str">
        <f>IFERROR(MasterData!$G230,"")</f>
        <v/>
      </c>
      <c r="T228" s="33" t="str">
        <f>IFERROR(MasterData!$I230,"")</f>
        <v/>
      </c>
    </row>
    <row r="229" ht="21.75" customHeight="1">
      <c r="A229" s="56"/>
      <c r="B229" s="58"/>
      <c r="C229" s="18" t="s">
        <v>927</v>
      </c>
      <c r="D229" s="18" t="s">
        <v>12</v>
      </c>
      <c r="E229" s="56"/>
      <c r="F229" s="18" t="s">
        <v>129</v>
      </c>
      <c r="G229" s="18" t="s">
        <v>490</v>
      </c>
      <c r="H229" s="42" t="s">
        <v>15</v>
      </c>
      <c r="I229" s="42" t="s">
        <v>26</v>
      </c>
      <c r="J229" s="42" t="s">
        <v>46</v>
      </c>
      <c r="K229" s="48">
        <v>46149.0</v>
      </c>
      <c r="L229" s="49"/>
      <c r="M229" s="49"/>
      <c r="N229" s="53"/>
      <c r="O229" s="53"/>
      <c r="P229" s="33" t="str">
        <f>IFERROR(MasterData!$B231,"")</f>
        <v/>
      </c>
      <c r="Q229" s="33" t="str">
        <f>IFERROR(MasterData!$C231,"")</f>
        <v/>
      </c>
      <c r="R229" s="33" t="str">
        <f>IFERROR(MasterData!$E231,"")</f>
        <v/>
      </c>
      <c r="S229" s="33" t="str">
        <f>IFERROR(MasterData!$G231,"")</f>
        <v/>
      </c>
      <c r="T229" s="33" t="str">
        <f>IFERROR(MasterData!$I231,"")</f>
        <v/>
      </c>
    </row>
    <row r="230" ht="21.75" customHeight="1">
      <c r="A230" s="68"/>
      <c r="B230" s="67"/>
      <c r="C230" s="12" t="s">
        <v>928</v>
      </c>
      <c r="D230" s="12" t="s">
        <v>12</v>
      </c>
      <c r="E230" s="68"/>
      <c r="F230" s="12" t="s">
        <v>129</v>
      </c>
      <c r="G230" s="12" t="s">
        <v>490</v>
      </c>
      <c r="H230" s="63" t="s">
        <v>15</v>
      </c>
      <c r="I230" s="63" t="s">
        <v>26</v>
      </c>
      <c r="J230" s="63" t="s">
        <v>46</v>
      </c>
      <c r="K230" s="48">
        <v>46149.0</v>
      </c>
      <c r="L230" s="65"/>
      <c r="M230" s="65"/>
      <c r="N230" s="66"/>
      <c r="O230" s="66"/>
      <c r="P230" s="33" t="str">
        <f>IFERROR(MasterData!$B232,"")</f>
        <v/>
      </c>
      <c r="Q230" s="33" t="str">
        <f>IFERROR(MasterData!$C232,"")</f>
        <v/>
      </c>
      <c r="R230" s="33" t="str">
        <f>IFERROR(MasterData!$E232,"")</f>
        <v/>
      </c>
      <c r="S230" s="33" t="str">
        <f>IFERROR(MasterData!$G232,"")</f>
        <v/>
      </c>
      <c r="T230" s="33" t="str">
        <f>IFERROR(MasterData!$I232,"")</f>
        <v/>
      </c>
    </row>
    <row r="231" ht="21.75" customHeight="1">
      <c r="A231" s="56"/>
      <c r="B231" s="58"/>
      <c r="C231" s="18" t="s">
        <v>929</v>
      </c>
      <c r="D231" s="18" t="s">
        <v>12</v>
      </c>
      <c r="E231" s="56"/>
      <c r="F231" s="18" t="s">
        <v>105</v>
      </c>
      <c r="G231" s="18" t="s">
        <v>642</v>
      </c>
      <c r="H231" s="42" t="s">
        <v>15</v>
      </c>
      <c r="I231" s="42" t="s">
        <v>26</v>
      </c>
      <c r="J231" s="42" t="s">
        <v>46</v>
      </c>
      <c r="K231" s="48">
        <v>46149.0</v>
      </c>
      <c r="L231" s="49"/>
      <c r="M231" s="49"/>
      <c r="N231" s="53"/>
      <c r="O231" s="53"/>
      <c r="P231" s="33" t="str">
        <f>IFERROR(MasterData!$B233,"")</f>
        <v/>
      </c>
      <c r="Q231" s="33" t="str">
        <f>IFERROR(MasterData!$C233,"")</f>
        <v/>
      </c>
      <c r="R231" s="33" t="str">
        <f>IFERROR(MasterData!$E233,"")</f>
        <v/>
      </c>
      <c r="S231" s="33" t="str">
        <f>IFERROR(MasterData!$G233,"")</f>
        <v/>
      </c>
      <c r="T231" s="33" t="str">
        <f>IFERROR(MasterData!$I233,"")</f>
        <v/>
      </c>
    </row>
    <row r="232" ht="21.75" customHeight="1">
      <c r="A232" s="68"/>
      <c r="B232" s="67"/>
      <c r="C232" s="12" t="s">
        <v>930</v>
      </c>
      <c r="D232" s="12" t="s">
        <v>107</v>
      </c>
      <c r="E232" s="68"/>
      <c r="F232" s="12" t="s">
        <v>162</v>
      </c>
      <c r="G232" s="12" t="s">
        <v>931</v>
      </c>
      <c r="H232" s="63" t="s">
        <v>15</v>
      </c>
      <c r="I232" s="63" t="s">
        <v>26</v>
      </c>
      <c r="J232" s="63" t="s">
        <v>54</v>
      </c>
      <c r="K232" s="64">
        <v>46149.0</v>
      </c>
      <c r="L232" s="64">
        <v>46154.0</v>
      </c>
      <c r="M232" s="64">
        <v>46155.0</v>
      </c>
      <c r="N232" s="66"/>
      <c r="O232" s="66"/>
      <c r="P232" s="33" t="str">
        <f>IFERROR(MasterData!$B234,"")</f>
        <v/>
      </c>
      <c r="Q232" s="33" t="str">
        <f>IFERROR(MasterData!$C234,"")</f>
        <v/>
      </c>
      <c r="R232" s="33" t="str">
        <f>IFERROR(MasterData!$E234,"")</f>
        <v/>
      </c>
      <c r="S232" s="33" t="str">
        <f>IFERROR(MasterData!$G234,"")</f>
        <v/>
      </c>
      <c r="T232" s="33" t="str">
        <f>IFERROR(MasterData!$I234,"")</f>
        <v/>
      </c>
    </row>
    <row r="233" ht="21.75" customHeight="1">
      <c r="A233" s="56"/>
      <c r="B233" s="58"/>
      <c r="C233" s="18" t="s">
        <v>932</v>
      </c>
      <c r="D233" s="18" t="s">
        <v>173</v>
      </c>
      <c r="E233" s="56"/>
      <c r="F233" s="18" t="s">
        <v>129</v>
      </c>
      <c r="G233" s="18" t="s">
        <v>933</v>
      </c>
      <c r="H233" s="42" t="s">
        <v>15</v>
      </c>
      <c r="I233" s="42" t="s">
        <v>84</v>
      </c>
      <c r="J233" s="42" t="s">
        <v>46</v>
      </c>
      <c r="K233" s="48">
        <v>46153.0</v>
      </c>
      <c r="L233" s="49"/>
      <c r="M233" s="49"/>
      <c r="N233" s="53"/>
      <c r="O233" s="53"/>
      <c r="P233" s="33" t="str">
        <f>IFERROR(MasterData!$B235,"")</f>
        <v/>
      </c>
      <c r="Q233" s="33" t="str">
        <f>IFERROR(MasterData!$C235,"")</f>
        <v/>
      </c>
      <c r="R233" s="33" t="str">
        <f>IFERROR(MasterData!$E235,"")</f>
        <v/>
      </c>
      <c r="S233" s="33" t="str">
        <f>IFERROR(MasterData!$G235,"")</f>
        <v/>
      </c>
      <c r="T233" s="33" t="str">
        <f>IFERROR(MasterData!$I235,"")</f>
        <v/>
      </c>
    </row>
    <row r="234" ht="21.75" customHeight="1">
      <c r="A234" s="68"/>
      <c r="B234" s="67"/>
      <c r="C234" s="12" t="s">
        <v>934</v>
      </c>
      <c r="D234" s="12" t="s">
        <v>12</v>
      </c>
      <c r="E234" s="68"/>
      <c r="F234" s="12" t="s">
        <v>132</v>
      </c>
      <c r="G234" s="12" t="s">
        <v>935</v>
      </c>
      <c r="H234" s="63" t="s">
        <v>15</v>
      </c>
      <c r="I234" s="63" t="s">
        <v>84</v>
      </c>
      <c r="J234" s="63" t="s">
        <v>46</v>
      </c>
      <c r="K234" s="48">
        <v>46153.0</v>
      </c>
      <c r="L234" s="65"/>
      <c r="M234" s="65"/>
      <c r="N234" s="66"/>
      <c r="O234" s="66"/>
      <c r="P234" s="33" t="str">
        <f>IFERROR(MasterData!$B236,"")</f>
        <v/>
      </c>
      <c r="Q234" s="33" t="str">
        <f>IFERROR(MasterData!$C236,"")</f>
        <v/>
      </c>
      <c r="R234" s="33" t="str">
        <f>IFERROR(MasterData!$E236,"")</f>
        <v/>
      </c>
      <c r="S234" s="33" t="str">
        <f>IFERROR(MasterData!$G236,"")</f>
        <v/>
      </c>
      <c r="T234" s="33" t="str">
        <f>IFERROR(MasterData!$I236,"")</f>
        <v/>
      </c>
    </row>
    <row r="235" ht="21.75" customHeight="1">
      <c r="A235" s="56"/>
      <c r="B235" s="58"/>
      <c r="C235" s="18" t="s">
        <v>936</v>
      </c>
      <c r="D235" s="18" t="s">
        <v>297</v>
      </c>
      <c r="E235" s="56"/>
      <c r="F235" s="18" t="s">
        <v>186</v>
      </c>
      <c r="G235" s="18" t="s">
        <v>712</v>
      </c>
      <c r="H235" s="42" t="s">
        <v>15</v>
      </c>
      <c r="I235" s="42" t="s">
        <v>26</v>
      </c>
      <c r="J235" s="42" t="s">
        <v>54</v>
      </c>
      <c r="K235" s="48">
        <v>46154.0</v>
      </c>
      <c r="L235" s="48">
        <v>46154.0</v>
      </c>
      <c r="M235" s="48">
        <v>46154.0</v>
      </c>
      <c r="N235" s="53"/>
      <c r="O235" s="53"/>
      <c r="P235" s="33" t="str">
        <f>IFERROR(MasterData!$B237,"")</f>
        <v/>
      </c>
      <c r="Q235" s="33" t="str">
        <f>IFERROR(MasterData!$C237,"")</f>
        <v/>
      </c>
      <c r="R235" s="33" t="str">
        <f>IFERROR(MasterData!$E237,"")</f>
        <v/>
      </c>
      <c r="S235" s="33" t="str">
        <f>IFERROR(MasterData!$G237,"")</f>
        <v/>
      </c>
      <c r="T235" s="33" t="str">
        <f>IFERROR(MasterData!$I237,"")</f>
        <v/>
      </c>
    </row>
    <row r="236" ht="21.75" customHeight="1">
      <c r="A236" s="68"/>
      <c r="B236" s="67"/>
      <c r="C236" s="12" t="s">
        <v>937</v>
      </c>
      <c r="D236" s="12" t="s">
        <v>293</v>
      </c>
      <c r="E236" s="68"/>
      <c r="F236" s="12" t="s">
        <v>117</v>
      </c>
      <c r="G236" s="12" t="s">
        <v>938</v>
      </c>
      <c r="H236" s="63" t="s">
        <v>15</v>
      </c>
      <c r="I236" s="63" t="s">
        <v>44</v>
      </c>
      <c r="J236" s="63" t="s">
        <v>54</v>
      </c>
      <c r="K236" s="64">
        <v>46154.0</v>
      </c>
      <c r="L236" s="64">
        <v>46154.0</v>
      </c>
      <c r="M236" s="64">
        <v>46155.0</v>
      </c>
      <c r="N236" s="66"/>
      <c r="O236" s="66"/>
      <c r="P236" s="33" t="str">
        <f>IFERROR(MasterData!$B238,"")</f>
        <v/>
      </c>
      <c r="Q236" s="33" t="str">
        <f>IFERROR(MasterData!$C238,"")</f>
        <v/>
      </c>
      <c r="R236" s="33" t="str">
        <f>IFERROR(MasterData!$E238,"")</f>
        <v/>
      </c>
      <c r="S236" s="33" t="str">
        <f>IFERROR(MasterData!$G238,"")</f>
        <v/>
      </c>
      <c r="T236" s="33" t="str">
        <f>IFERROR(MasterData!$I238,"")</f>
        <v/>
      </c>
    </row>
    <row r="237" ht="21.75" customHeight="1">
      <c r="A237" s="56"/>
      <c r="B237" s="58"/>
      <c r="C237" s="18" t="s">
        <v>939</v>
      </c>
      <c r="D237" s="18" t="s">
        <v>12</v>
      </c>
      <c r="E237" s="56"/>
      <c r="F237" s="18" t="s">
        <v>105</v>
      </c>
      <c r="G237" s="18" t="s">
        <v>490</v>
      </c>
      <c r="H237" s="42" t="s">
        <v>15</v>
      </c>
      <c r="I237" s="42" t="s">
        <v>26</v>
      </c>
      <c r="J237" s="42" t="s">
        <v>54</v>
      </c>
      <c r="K237" s="48">
        <v>46154.0</v>
      </c>
      <c r="L237" s="48">
        <v>46154.0</v>
      </c>
      <c r="M237" s="48">
        <v>46155.0</v>
      </c>
      <c r="N237" s="53"/>
      <c r="O237" s="53"/>
      <c r="P237" s="33" t="str">
        <f>IFERROR(MasterData!$B239,"")</f>
        <v/>
      </c>
      <c r="Q237" s="33" t="str">
        <f>IFERROR(MasterData!$C239,"")</f>
        <v/>
      </c>
      <c r="R237" s="33" t="str">
        <f>IFERROR(MasterData!$E239,"")</f>
        <v/>
      </c>
      <c r="S237" s="33" t="str">
        <f>IFERROR(MasterData!$G239,"")</f>
        <v/>
      </c>
      <c r="T237" s="33" t="str">
        <f>IFERROR(MasterData!$I239,"")</f>
        <v/>
      </c>
    </row>
    <row r="238" ht="21.75" customHeight="1">
      <c r="A238" s="68"/>
      <c r="B238" s="67"/>
      <c r="C238" s="12" t="s">
        <v>940</v>
      </c>
      <c r="D238" s="12" t="s">
        <v>297</v>
      </c>
      <c r="E238" s="68"/>
      <c r="F238" s="12" t="s">
        <v>126</v>
      </c>
      <c r="G238" s="12" t="s">
        <v>490</v>
      </c>
      <c r="H238" s="63" t="s">
        <v>15</v>
      </c>
      <c r="I238" s="63" t="s">
        <v>26</v>
      </c>
      <c r="J238" s="63" t="s">
        <v>54</v>
      </c>
      <c r="K238" s="64">
        <v>46158.0</v>
      </c>
      <c r="L238" s="64">
        <v>46158.0</v>
      </c>
      <c r="M238" s="64">
        <v>46160.0</v>
      </c>
      <c r="N238" s="66"/>
      <c r="O238" s="66"/>
      <c r="P238" s="33" t="str">
        <f>IFERROR(MasterData!$B240,"")</f>
        <v/>
      </c>
      <c r="Q238" s="33" t="str">
        <f>IFERROR(MasterData!$C240,"")</f>
        <v/>
      </c>
      <c r="R238" s="33" t="str">
        <f>IFERROR(MasterData!$E240,"")</f>
        <v/>
      </c>
      <c r="S238" s="33" t="str">
        <f>IFERROR(MasterData!$G240,"")</f>
        <v/>
      </c>
      <c r="T238" s="33" t="str">
        <f>IFERROR(MasterData!$I240,"")</f>
        <v/>
      </c>
    </row>
    <row r="239" ht="21.75" customHeight="1">
      <c r="A239" s="56"/>
      <c r="B239" s="58"/>
      <c r="C239" s="18" t="s">
        <v>941</v>
      </c>
      <c r="D239" s="18" t="s">
        <v>295</v>
      </c>
      <c r="E239" s="56"/>
      <c r="F239" s="18" t="s">
        <v>13</v>
      </c>
      <c r="G239" s="18" t="s">
        <v>797</v>
      </c>
      <c r="H239" s="42" t="s">
        <v>15</v>
      </c>
      <c r="I239" s="42" t="s">
        <v>26</v>
      </c>
      <c r="J239" s="42" t="s">
        <v>54</v>
      </c>
      <c r="K239" s="48">
        <v>46158.0</v>
      </c>
      <c r="L239" s="48">
        <v>46160.0</v>
      </c>
      <c r="M239" s="48">
        <v>46161.0</v>
      </c>
      <c r="N239" s="53"/>
      <c r="O239" s="53"/>
      <c r="P239" s="33" t="str">
        <f>IFERROR(MasterData!$B241,"")</f>
        <v/>
      </c>
      <c r="Q239" s="33" t="str">
        <f>IFERROR(MasterData!$C241,"")</f>
        <v/>
      </c>
      <c r="R239" s="33" t="str">
        <f>IFERROR(MasterData!$E241,"")</f>
        <v/>
      </c>
      <c r="S239" s="33" t="str">
        <f>IFERROR(MasterData!$G241,"")</f>
        <v/>
      </c>
      <c r="T239" s="33" t="str">
        <f>IFERROR(MasterData!$I241,"")</f>
        <v/>
      </c>
    </row>
    <row r="240" ht="21.75" customHeight="1">
      <c r="A240" s="68"/>
      <c r="B240" s="67"/>
      <c r="C240" s="89" t="s">
        <v>942</v>
      </c>
      <c r="D240" s="12" t="s">
        <v>291</v>
      </c>
      <c r="E240" s="68"/>
      <c r="F240" s="12" t="s">
        <v>198</v>
      </c>
      <c r="G240" s="12" t="s">
        <v>490</v>
      </c>
      <c r="H240" s="63" t="s">
        <v>15</v>
      </c>
      <c r="I240" s="63" t="s">
        <v>26</v>
      </c>
      <c r="J240" s="63" t="s">
        <v>54</v>
      </c>
      <c r="K240" s="64">
        <v>46160.0</v>
      </c>
      <c r="L240" s="64">
        <v>46160.0</v>
      </c>
      <c r="M240" s="64">
        <v>46160.0</v>
      </c>
      <c r="N240" s="66"/>
      <c r="O240" s="66"/>
      <c r="P240" s="33" t="str">
        <f>IFERROR(MasterData!$B242,"")</f>
        <v/>
      </c>
      <c r="Q240" s="33" t="str">
        <f>IFERROR(MasterData!$C242,"")</f>
        <v/>
      </c>
      <c r="R240" s="33" t="str">
        <f>IFERROR(MasterData!$E242,"")</f>
        <v/>
      </c>
      <c r="S240" s="33" t="str">
        <f>IFERROR(MasterData!$G242,"")</f>
        <v/>
      </c>
      <c r="T240" s="33" t="str">
        <f>IFERROR(MasterData!$I242,"")</f>
        <v/>
      </c>
    </row>
    <row r="241" ht="21.75" customHeight="1">
      <c r="A241" s="56"/>
      <c r="B241" s="58"/>
      <c r="C241" s="87" t="s">
        <v>943</v>
      </c>
      <c r="D241" s="18" t="s">
        <v>293</v>
      </c>
      <c r="E241" s="56"/>
      <c r="F241" s="18" t="s">
        <v>81</v>
      </c>
      <c r="G241" s="18" t="s">
        <v>712</v>
      </c>
      <c r="H241" s="42" t="s">
        <v>15</v>
      </c>
      <c r="I241" s="42" t="s">
        <v>26</v>
      </c>
      <c r="J241" s="42" t="s">
        <v>54</v>
      </c>
      <c r="K241" s="48">
        <v>46160.0</v>
      </c>
      <c r="L241" s="48">
        <v>46160.0</v>
      </c>
      <c r="M241" s="48">
        <v>46160.0</v>
      </c>
      <c r="N241" s="53"/>
      <c r="O241" s="53"/>
      <c r="P241" s="33" t="str">
        <f>IFERROR(MasterData!$B243,"")</f>
        <v/>
      </c>
      <c r="Q241" s="33" t="str">
        <f>IFERROR(MasterData!$C243,"")</f>
        <v/>
      </c>
      <c r="R241" s="33" t="str">
        <f>IFERROR(MasterData!$E243,"")</f>
        <v/>
      </c>
      <c r="S241" s="33" t="str">
        <f>IFERROR(MasterData!$G243,"")</f>
        <v/>
      </c>
      <c r="T241" s="33" t="str">
        <f>IFERROR(MasterData!$I243,"")</f>
        <v/>
      </c>
    </row>
    <row r="242" ht="21.75" customHeight="1">
      <c r="A242" s="68"/>
      <c r="B242" s="67"/>
      <c r="C242" s="99" t="s">
        <v>944</v>
      </c>
      <c r="D242" s="12" t="s">
        <v>291</v>
      </c>
      <c r="E242" s="68"/>
      <c r="F242" s="12" t="s">
        <v>117</v>
      </c>
      <c r="G242" s="12" t="s">
        <v>945</v>
      </c>
      <c r="H242" s="63" t="s">
        <v>15</v>
      </c>
      <c r="I242" s="63" t="s">
        <v>26</v>
      </c>
      <c r="J242" s="63" t="s">
        <v>54</v>
      </c>
      <c r="K242" s="64">
        <v>46160.0</v>
      </c>
      <c r="L242" s="64">
        <v>46160.0</v>
      </c>
      <c r="M242" s="64">
        <v>46160.0</v>
      </c>
      <c r="N242" s="66"/>
      <c r="O242" s="66"/>
      <c r="P242" s="33" t="str">
        <f>IFERROR(MasterData!$B244,"")</f>
        <v/>
      </c>
      <c r="Q242" s="33" t="str">
        <f>IFERROR(MasterData!$C244,"")</f>
        <v/>
      </c>
      <c r="R242" s="33" t="str">
        <f>IFERROR(MasterData!$E244,"")</f>
        <v/>
      </c>
      <c r="S242" s="33" t="str">
        <f>IFERROR(MasterData!$G244,"")</f>
        <v/>
      </c>
      <c r="T242" s="33" t="str">
        <f>IFERROR(MasterData!$I244,"")</f>
        <v/>
      </c>
    </row>
    <row r="243" ht="21.75" customHeight="1">
      <c r="A243" s="56"/>
      <c r="B243" s="58"/>
      <c r="C243" s="90" t="s">
        <v>946</v>
      </c>
      <c r="D243" s="18" t="s">
        <v>291</v>
      </c>
      <c r="E243" s="56"/>
      <c r="F243" s="18" t="s">
        <v>147</v>
      </c>
      <c r="G243" s="18" t="s">
        <v>490</v>
      </c>
      <c r="H243" s="42" t="s">
        <v>15</v>
      </c>
      <c r="I243" s="42" t="s">
        <v>26</v>
      </c>
      <c r="J243" s="42" t="s">
        <v>54</v>
      </c>
      <c r="K243" s="48">
        <v>46160.0</v>
      </c>
      <c r="L243" s="48">
        <v>46160.0</v>
      </c>
      <c r="M243" s="48">
        <v>46160.0</v>
      </c>
      <c r="N243" s="53"/>
      <c r="O243" s="53"/>
      <c r="P243" s="33" t="str">
        <f>IFERROR(MasterData!$B245,"")</f>
        <v/>
      </c>
      <c r="Q243" s="33" t="str">
        <f>IFERROR(MasterData!$C245,"")</f>
        <v/>
      </c>
      <c r="R243" s="33" t="str">
        <f>IFERROR(MasterData!$E245,"")</f>
        <v/>
      </c>
      <c r="S243" s="33" t="str">
        <f>IFERROR(MasterData!$G245,"")</f>
        <v/>
      </c>
      <c r="T243" s="33" t="str">
        <f>IFERROR(MasterData!$I245,"")</f>
        <v/>
      </c>
    </row>
    <row r="244" ht="21.75" customHeight="1">
      <c r="A244" s="68"/>
      <c r="B244" s="67"/>
      <c r="C244" s="12" t="s">
        <v>947</v>
      </c>
      <c r="D244" s="12" t="s">
        <v>239</v>
      </c>
      <c r="E244" s="68"/>
      <c r="F244" s="12" t="s">
        <v>13</v>
      </c>
      <c r="G244" s="12" t="s">
        <v>490</v>
      </c>
      <c r="H244" s="63" t="s">
        <v>15</v>
      </c>
      <c r="I244" s="63" t="s">
        <v>26</v>
      </c>
      <c r="J244" s="63" t="s">
        <v>54</v>
      </c>
      <c r="K244" s="64">
        <v>46160.0</v>
      </c>
      <c r="L244" s="64">
        <v>46167.0</v>
      </c>
      <c r="M244" s="64">
        <v>46168.0</v>
      </c>
      <c r="N244" s="66"/>
      <c r="O244" s="66"/>
      <c r="P244" s="33" t="str">
        <f>IFERROR(MasterData!$B246,"")</f>
        <v/>
      </c>
      <c r="Q244" s="33" t="str">
        <f>IFERROR(MasterData!$C246,"")</f>
        <v/>
      </c>
      <c r="R244" s="33" t="str">
        <f>IFERROR(MasterData!$E246,"")</f>
        <v/>
      </c>
      <c r="S244" s="33" t="str">
        <f>IFERROR(MasterData!$G246,"")</f>
        <v/>
      </c>
      <c r="T244" s="33" t="str">
        <f>IFERROR(MasterData!$I246,"")</f>
        <v/>
      </c>
    </row>
    <row r="245" ht="21.75" customHeight="1">
      <c r="A245" s="56"/>
      <c r="B245" s="58"/>
      <c r="C245" s="18" t="s">
        <v>948</v>
      </c>
      <c r="D245" s="18" t="s">
        <v>291</v>
      </c>
      <c r="E245" s="56"/>
      <c r="F245" s="18" t="s">
        <v>292</v>
      </c>
      <c r="G245" s="18" t="s">
        <v>949</v>
      </c>
      <c r="H245" s="42" t="s">
        <v>15</v>
      </c>
      <c r="I245" s="42" t="s">
        <v>26</v>
      </c>
      <c r="J245" s="42" t="s">
        <v>54</v>
      </c>
      <c r="K245" s="48">
        <v>46160.0</v>
      </c>
      <c r="L245" s="48">
        <v>46160.0</v>
      </c>
      <c r="M245" s="48">
        <v>46163.0</v>
      </c>
      <c r="N245" s="53"/>
      <c r="O245" s="53"/>
      <c r="P245" s="33" t="str">
        <f>IFERROR(MasterData!$B247,"")</f>
        <v/>
      </c>
      <c r="Q245" s="33" t="str">
        <f>IFERROR(MasterData!$C247,"")</f>
        <v/>
      </c>
      <c r="R245" s="33" t="str">
        <f>IFERROR(MasterData!$E247,"")</f>
        <v/>
      </c>
      <c r="S245" s="33" t="str">
        <f>IFERROR(MasterData!$G247,"")</f>
        <v/>
      </c>
      <c r="T245" s="33" t="str">
        <f>IFERROR(MasterData!$I247,"")</f>
        <v/>
      </c>
    </row>
    <row r="246" ht="21.75" customHeight="1">
      <c r="A246" s="68"/>
      <c r="B246" s="67"/>
      <c r="C246" s="12" t="s">
        <v>950</v>
      </c>
      <c r="D246" s="12" t="s">
        <v>293</v>
      </c>
      <c r="E246" s="68"/>
      <c r="F246" s="12" t="s">
        <v>22</v>
      </c>
      <c r="G246" s="12" t="s">
        <v>490</v>
      </c>
      <c r="H246" s="63" t="s">
        <v>15</v>
      </c>
      <c r="I246" s="63" t="s">
        <v>26</v>
      </c>
      <c r="J246" s="63" t="s">
        <v>54</v>
      </c>
      <c r="K246" s="64">
        <v>46161.0</v>
      </c>
      <c r="L246" s="64">
        <v>46161.0</v>
      </c>
      <c r="M246" s="64">
        <v>46163.0</v>
      </c>
      <c r="N246" s="66"/>
      <c r="O246" s="66"/>
      <c r="P246" s="33" t="str">
        <f>IFERROR(MasterData!$B248,"")</f>
        <v/>
      </c>
      <c r="Q246" s="33" t="str">
        <f>IFERROR(MasterData!$C248,"")</f>
        <v/>
      </c>
      <c r="R246" s="33" t="str">
        <f>IFERROR(MasterData!$E248,"")</f>
        <v/>
      </c>
      <c r="S246" s="33" t="str">
        <f>IFERROR(MasterData!$G248,"")</f>
        <v/>
      </c>
      <c r="T246" s="33" t="str">
        <f>IFERROR(MasterData!$I248,"")</f>
        <v/>
      </c>
    </row>
    <row r="247" ht="21.75" customHeight="1">
      <c r="A247" s="56"/>
      <c r="B247" s="58"/>
      <c r="C247" s="18" t="s">
        <v>489</v>
      </c>
      <c r="D247" s="18" t="s">
        <v>182</v>
      </c>
      <c r="E247" s="56"/>
      <c r="F247" s="18" t="s">
        <v>300</v>
      </c>
      <c r="G247" s="18" t="s">
        <v>951</v>
      </c>
      <c r="H247" s="42" t="s">
        <v>15</v>
      </c>
      <c r="I247" s="42" t="s">
        <v>84</v>
      </c>
      <c r="J247" s="42" t="s">
        <v>46</v>
      </c>
      <c r="K247" s="49"/>
      <c r="L247" s="49"/>
      <c r="M247" s="49"/>
      <c r="N247" s="53"/>
      <c r="O247" s="53"/>
      <c r="P247" s="33" t="str">
        <f>IFERROR(MasterData!$B249,"")</f>
        <v/>
      </c>
      <c r="Q247" s="33" t="str">
        <f>IFERROR(MasterData!$C249,"")</f>
        <v/>
      </c>
      <c r="R247" s="33" t="str">
        <f>IFERROR(MasterData!$E249,"")</f>
        <v/>
      </c>
      <c r="S247" s="33" t="str">
        <f>IFERROR(MasterData!$G249,"")</f>
        <v/>
      </c>
      <c r="T247" s="33" t="str">
        <f>IFERROR(MasterData!$I249,"")</f>
        <v/>
      </c>
    </row>
    <row r="248" ht="21.75" customHeight="1">
      <c r="A248" s="68"/>
      <c r="B248" s="67"/>
      <c r="C248" s="12" t="s">
        <v>952</v>
      </c>
      <c r="D248" s="12" t="s">
        <v>297</v>
      </c>
      <c r="E248" s="68"/>
      <c r="F248" s="12" t="s">
        <v>186</v>
      </c>
      <c r="G248" s="12" t="s">
        <v>953</v>
      </c>
      <c r="H248" s="63" t="s">
        <v>15</v>
      </c>
      <c r="I248" s="63" t="s">
        <v>53</v>
      </c>
      <c r="J248" s="63" t="s">
        <v>54</v>
      </c>
      <c r="K248" s="64">
        <v>46161.0</v>
      </c>
      <c r="L248" s="64">
        <v>46161.0</v>
      </c>
      <c r="M248" s="64">
        <v>46162.0</v>
      </c>
      <c r="N248" s="66"/>
      <c r="O248" s="66"/>
      <c r="P248" s="33" t="str">
        <f>IFERROR(MasterData!$B250,"")</f>
        <v/>
      </c>
      <c r="Q248" s="33" t="str">
        <f>IFERROR(MasterData!$C250,"")</f>
        <v/>
      </c>
      <c r="R248" s="33" t="str">
        <f>IFERROR(MasterData!$E250,"")</f>
        <v/>
      </c>
      <c r="S248" s="33" t="str">
        <f>IFERROR(MasterData!$G250,"")</f>
        <v/>
      </c>
      <c r="T248" s="33" t="str">
        <f>IFERROR(MasterData!$I250,"")</f>
        <v/>
      </c>
    </row>
    <row r="249" ht="21.75" customHeight="1">
      <c r="A249" s="56"/>
      <c r="B249" s="58"/>
      <c r="C249" s="18" t="s">
        <v>954</v>
      </c>
      <c r="D249" s="18" t="s">
        <v>291</v>
      </c>
      <c r="E249" s="56"/>
      <c r="F249" s="18" t="s">
        <v>186</v>
      </c>
      <c r="G249" s="18" t="s">
        <v>955</v>
      </c>
      <c r="H249" s="42" t="s">
        <v>15</v>
      </c>
      <c r="I249" s="42" t="s">
        <v>26</v>
      </c>
      <c r="J249" s="42" t="s">
        <v>54</v>
      </c>
      <c r="K249" s="48">
        <v>46161.0</v>
      </c>
      <c r="L249" s="48">
        <v>46161.0</v>
      </c>
      <c r="M249" s="48">
        <v>46167.0</v>
      </c>
      <c r="N249" s="53"/>
      <c r="O249" s="53"/>
      <c r="P249" s="33" t="str">
        <f>IFERROR(MasterData!$B251,"")</f>
        <v/>
      </c>
      <c r="Q249" s="33" t="str">
        <f>IFERROR(MasterData!$C251,"")</f>
        <v/>
      </c>
      <c r="R249" s="33" t="str">
        <f>IFERROR(MasterData!$E251,"")</f>
        <v/>
      </c>
      <c r="S249" s="33" t="str">
        <f>IFERROR(MasterData!$G251,"")</f>
        <v/>
      </c>
      <c r="T249" s="33" t="str">
        <f>IFERROR(MasterData!$I251,"")</f>
        <v/>
      </c>
    </row>
    <row r="250" ht="21.75" customHeight="1">
      <c r="A250" s="68"/>
      <c r="B250" s="67"/>
      <c r="C250" s="12" t="s">
        <v>956</v>
      </c>
      <c r="D250" s="12" t="s">
        <v>291</v>
      </c>
      <c r="E250" s="68"/>
      <c r="F250" s="12" t="s">
        <v>186</v>
      </c>
      <c r="G250" s="12" t="s">
        <v>490</v>
      </c>
      <c r="H250" s="63" t="s">
        <v>15</v>
      </c>
      <c r="I250" s="63" t="s">
        <v>26</v>
      </c>
      <c r="J250" s="63" t="s">
        <v>54</v>
      </c>
      <c r="K250" s="64">
        <v>46161.0</v>
      </c>
      <c r="L250" s="64">
        <v>46161.0</v>
      </c>
      <c r="M250" s="64">
        <v>46162.0</v>
      </c>
      <c r="N250" s="66"/>
      <c r="O250" s="66"/>
      <c r="P250" s="33" t="str">
        <f>IFERROR(MasterData!$B252,"")</f>
        <v/>
      </c>
      <c r="Q250" s="33" t="str">
        <f>IFERROR(MasterData!$C252,"")</f>
        <v/>
      </c>
      <c r="R250" s="33" t="str">
        <f>IFERROR(MasterData!$E252,"")</f>
        <v/>
      </c>
      <c r="S250" s="33" t="str">
        <f>IFERROR(MasterData!$G252,"")</f>
        <v/>
      </c>
      <c r="T250" s="33" t="str">
        <f>IFERROR(MasterData!$I252,"")</f>
        <v/>
      </c>
    </row>
    <row r="251" ht="21.75" customHeight="1">
      <c r="A251" s="56"/>
      <c r="B251" s="58"/>
      <c r="C251" s="18" t="s">
        <v>957</v>
      </c>
      <c r="D251" s="18" t="s">
        <v>295</v>
      </c>
      <c r="E251" s="56"/>
      <c r="F251" s="18" t="s">
        <v>117</v>
      </c>
      <c r="G251" s="18" t="s">
        <v>958</v>
      </c>
      <c r="H251" s="42" t="s">
        <v>15</v>
      </c>
      <c r="I251" s="42" t="s">
        <v>26</v>
      </c>
      <c r="J251" s="42" t="s">
        <v>54</v>
      </c>
      <c r="K251" s="48">
        <v>46162.0</v>
      </c>
      <c r="L251" s="48">
        <v>46162.0</v>
      </c>
      <c r="M251" s="48">
        <v>46167.0</v>
      </c>
      <c r="N251" s="53"/>
      <c r="O251" s="53"/>
      <c r="P251" s="33" t="str">
        <f>IFERROR(MasterData!$B253,"")</f>
        <v/>
      </c>
      <c r="Q251" s="33" t="str">
        <f>IFERROR(MasterData!$C253,"")</f>
        <v/>
      </c>
      <c r="R251" s="33" t="str">
        <f>IFERROR(MasterData!$E253,"")</f>
        <v/>
      </c>
      <c r="S251" s="33" t="str">
        <f>IFERROR(MasterData!$G253,"")</f>
        <v/>
      </c>
      <c r="T251" s="33" t="str">
        <f>IFERROR(MasterData!$I253,"")</f>
        <v/>
      </c>
    </row>
    <row r="252" ht="21.75" customHeight="1">
      <c r="A252" s="68"/>
      <c r="B252" s="67"/>
      <c r="C252" s="12" t="s">
        <v>959</v>
      </c>
      <c r="D252" s="12" t="s">
        <v>295</v>
      </c>
      <c r="E252" s="68"/>
      <c r="F252" s="12" t="s">
        <v>120</v>
      </c>
      <c r="G252" s="12" t="s">
        <v>958</v>
      </c>
      <c r="H252" s="63" t="s">
        <v>15</v>
      </c>
      <c r="I252" s="63" t="s">
        <v>26</v>
      </c>
      <c r="J252" s="63" t="s">
        <v>54</v>
      </c>
      <c r="K252" s="64">
        <v>46162.0</v>
      </c>
      <c r="L252" s="64">
        <v>46162.0</v>
      </c>
      <c r="M252" s="64">
        <v>46167.0</v>
      </c>
      <c r="N252" s="66"/>
      <c r="O252" s="66"/>
      <c r="P252" s="33" t="str">
        <f>IFERROR(MasterData!$B254,"")</f>
        <v/>
      </c>
      <c r="Q252" s="33" t="str">
        <f>IFERROR(MasterData!$C254,"")</f>
        <v/>
      </c>
      <c r="R252" s="33" t="str">
        <f>IFERROR(MasterData!$E254,"")</f>
        <v/>
      </c>
      <c r="S252" s="33" t="str">
        <f>IFERROR(MasterData!$G254,"")</f>
        <v/>
      </c>
      <c r="T252" s="33" t="str">
        <f>IFERROR(MasterData!$I254,"")</f>
        <v/>
      </c>
    </row>
    <row r="253" ht="21.75" customHeight="1">
      <c r="A253" s="56"/>
      <c r="B253" s="58"/>
      <c r="C253" s="18" t="s">
        <v>960</v>
      </c>
      <c r="D253" s="18" t="s">
        <v>48</v>
      </c>
      <c r="E253" s="56"/>
      <c r="F253" s="18" t="s">
        <v>171</v>
      </c>
      <c r="G253" s="18" t="s">
        <v>490</v>
      </c>
      <c r="H253" s="42" t="s">
        <v>15</v>
      </c>
      <c r="I253" s="42" t="s">
        <v>72</v>
      </c>
      <c r="J253" s="42" t="s">
        <v>46</v>
      </c>
      <c r="K253" s="48">
        <v>46163.0</v>
      </c>
      <c r="L253" s="49"/>
      <c r="M253" s="49"/>
      <c r="N253" s="53"/>
      <c r="O253" s="53"/>
      <c r="P253" s="33" t="str">
        <f>IFERROR(MasterData!$B255,"")</f>
        <v/>
      </c>
      <c r="Q253" s="33" t="str">
        <f>IFERROR(MasterData!$C255,"")</f>
        <v/>
      </c>
      <c r="R253" s="33" t="str">
        <f>IFERROR(MasterData!$E255,"")</f>
        <v/>
      </c>
      <c r="S253" s="33" t="str">
        <f>IFERROR(MasterData!$G255,"")</f>
        <v/>
      </c>
      <c r="T253" s="33" t="str">
        <f>IFERROR(MasterData!$I255,"")</f>
        <v/>
      </c>
    </row>
    <row r="254" ht="21.75" customHeight="1">
      <c r="A254" s="68"/>
      <c r="B254" s="67"/>
      <c r="C254" s="12" t="s">
        <v>961</v>
      </c>
      <c r="D254" s="12" t="s">
        <v>268</v>
      </c>
      <c r="E254" s="68"/>
      <c r="F254" s="12" t="s">
        <v>183</v>
      </c>
      <c r="G254" s="12" t="s">
        <v>962</v>
      </c>
      <c r="H254" s="63" t="s">
        <v>15</v>
      </c>
      <c r="I254" s="63" t="s">
        <v>72</v>
      </c>
      <c r="J254" s="63" t="s">
        <v>46</v>
      </c>
      <c r="K254" s="48">
        <v>46163.0</v>
      </c>
      <c r="L254" s="65"/>
      <c r="M254" s="65"/>
      <c r="N254" s="66"/>
      <c r="O254" s="66"/>
      <c r="P254" s="33" t="str">
        <f>IFERROR(MasterData!$B256,"")</f>
        <v/>
      </c>
      <c r="Q254" s="33" t="str">
        <f>IFERROR(MasterData!$C256,"")</f>
        <v/>
      </c>
      <c r="R254" s="33" t="str">
        <f>IFERROR(MasterData!$E256,"")</f>
        <v/>
      </c>
      <c r="S254" s="33" t="str">
        <f>IFERROR(MasterData!$G256,"")</f>
        <v/>
      </c>
      <c r="T254" s="33" t="str">
        <f>IFERROR(MasterData!$I256,"")</f>
        <v/>
      </c>
    </row>
    <row r="255" ht="21.75" customHeight="1">
      <c r="A255" s="56"/>
      <c r="B255" s="58"/>
      <c r="C255" s="18" t="s">
        <v>963</v>
      </c>
      <c r="D255" s="18" t="s">
        <v>291</v>
      </c>
      <c r="E255" s="56"/>
      <c r="F255" s="18" t="s">
        <v>102</v>
      </c>
      <c r="G255" s="18" t="s">
        <v>556</v>
      </c>
      <c r="H255" s="42" t="s">
        <v>15</v>
      </c>
      <c r="I255" s="42" t="s">
        <v>26</v>
      </c>
      <c r="J255" s="42" t="s">
        <v>54</v>
      </c>
      <c r="K255" s="48">
        <v>46164.0</v>
      </c>
      <c r="L255" s="48">
        <v>46164.0</v>
      </c>
      <c r="M255" s="48">
        <v>46167.0</v>
      </c>
      <c r="N255" s="53"/>
      <c r="O255" s="53"/>
      <c r="P255" s="33" t="str">
        <f>IFERROR(MasterData!$B257,"")</f>
        <v/>
      </c>
      <c r="Q255" s="33" t="str">
        <f>IFERROR(MasterData!$C257,"")</f>
        <v/>
      </c>
      <c r="R255" s="33" t="str">
        <f>IFERROR(MasterData!$E257,"")</f>
        <v/>
      </c>
      <c r="S255" s="33" t="str">
        <f>IFERROR(MasterData!$G257,"")</f>
        <v/>
      </c>
      <c r="T255" s="33" t="str">
        <f>IFERROR(MasterData!$I257,"")</f>
        <v/>
      </c>
    </row>
    <row r="256" ht="21.75" customHeight="1">
      <c r="A256" s="68"/>
      <c r="B256" s="67"/>
      <c r="C256" s="12" t="s">
        <v>964</v>
      </c>
      <c r="D256" s="12" t="s">
        <v>293</v>
      </c>
      <c r="E256" s="68"/>
      <c r="F256" s="12" t="s">
        <v>22</v>
      </c>
      <c r="G256" s="12" t="s">
        <v>490</v>
      </c>
      <c r="H256" s="63" t="s">
        <v>15</v>
      </c>
      <c r="I256" s="63" t="s">
        <v>26</v>
      </c>
      <c r="J256" s="63" t="s">
        <v>54</v>
      </c>
      <c r="K256" s="64">
        <v>46164.0</v>
      </c>
      <c r="L256" s="64">
        <v>46164.0</v>
      </c>
      <c r="M256" s="64">
        <v>46167.0</v>
      </c>
      <c r="N256" s="66"/>
      <c r="O256" s="66"/>
      <c r="P256" s="33" t="str">
        <f>IFERROR(MasterData!$B258,"")</f>
        <v/>
      </c>
      <c r="Q256" s="33" t="str">
        <f>IFERROR(MasterData!$C258,"")</f>
        <v/>
      </c>
      <c r="R256" s="33" t="str">
        <f>IFERROR(MasterData!$E258,"")</f>
        <v/>
      </c>
      <c r="S256" s="33" t="str">
        <f>IFERROR(MasterData!$G258,"")</f>
        <v/>
      </c>
      <c r="T256" s="33" t="str">
        <f>IFERROR(MasterData!$I258,"")</f>
        <v/>
      </c>
    </row>
    <row r="257" ht="21.75" customHeight="1">
      <c r="A257" s="56"/>
      <c r="B257" s="58"/>
      <c r="C257" s="18" t="s">
        <v>965</v>
      </c>
      <c r="D257" s="18" t="s">
        <v>239</v>
      </c>
      <c r="E257" s="56"/>
      <c r="F257" s="18" t="s">
        <v>22</v>
      </c>
      <c r="G257" s="18" t="s">
        <v>673</v>
      </c>
      <c r="H257" s="42" t="s">
        <v>15</v>
      </c>
      <c r="I257" s="42" t="s">
        <v>26</v>
      </c>
      <c r="J257" s="42" t="s">
        <v>54</v>
      </c>
      <c r="K257" s="48">
        <v>46167.0</v>
      </c>
      <c r="L257" s="48">
        <v>46167.0</v>
      </c>
      <c r="M257" s="48">
        <v>46167.0</v>
      </c>
      <c r="N257" s="53"/>
      <c r="O257" s="53"/>
      <c r="P257" s="33" t="str">
        <f>IFERROR(MasterData!$B259,"")</f>
        <v/>
      </c>
      <c r="Q257" s="33" t="str">
        <f>IFERROR(MasterData!$C259,"")</f>
        <v/>
      </c>
      <c r="R257" s="33" t="str">
        <f>IFERROR(MasterData!$E259,"")</f>
        <v/>
      </c>
      <c r="S257" s="33" t="str">
        <f>IFERROR(MasterData!$G259,"")</f>
        <v/>
      </c>
      <c r="T257" s="33" t="str">
        <f>IFERROR(MasterData!$I259,"")</f>
        <v/>
      </c>
    </row>
    <row r="258" ht="21.75" customHeight="1">
      <c r="A258" s="68"/>
      <c r="B258" s="67"/>
      <c r="C258" s="12" t="s">
        <v>966</v>
      </c>
      <c r="D258" s="12" t="s">
        <v>239</v>
      </c>
      <c r="E258" s="68"/>
      <c r="F258" s="12" t="s">
        <v>117</v>
      </c>
      <c r="G258" s="12" t="s">
        <v>712</v>
      </c>
      <c r="H258" s="63" t="s">
        <v>15</v>
      </c>
      <c r="I258" s="63" t="s">
        <v>26</v>
      </c>
      <c r="J258" s="63" t="s">
        <v>54</v>
      </c>
      <c r="K258" s="64">
        <v>46167.0</v>
      </c>
      <c r="L258" s="64">
        <v>46167.0</v>
      </c>
      <c r="M258" s="64">
        <v>46168.0</v>
      </c>
      <c r="N258" s="66"/>
      <c r="O258" s="66"/>
      <c r="P258" s="33" t="str">
        <f>IFERROR(MasterData!$B260,"")</f>
        <v/>
      </c>
      <c r="Q258" s="33" t="str">
        <f>IFERROR(MasterData!$C260,"")</f>
        <v/>
      </c>
      <c r="R258" s="33" t="str">
        <f>IFERROR(MasterData!$E260,"")</f>
        <v/>
      </c>
      <c r="S258" s="33" t="str">
        <f>IFERROR(MasterData!$G260,"")</f>
        <v/>
      </c>
      <c r="T258" s="33" t="str">
        <f>IFERROR(MasterData!$I260,"")</f>
        <v/>
      </c>
    </row>
    <row r="259" ht="21.75" customHeight="1">
      <c r="A259" s="56"/>
      <c r="B259" s="58"/>
      <c r="C259" s="18" t="s">
        <v>967</v>
      </c>
      <c r="D259" s="18" t="s">
        <v>48</v>
      </c>
      <c r="E259" s="56"/>
      <c r="F259" s="18" t="s">
        <v>180</v>
      </c>
      <c r="G259" s="18" t="s">
        <v>871</v>
      </c>
      <c r="H259" s="42" t="s">
        <v>15</v>
      </c>
      <c r="I259" s="42" t="s">
        <v>84</v>
      </c>
      <c r="J259" s="42" t="s">
        <v>54</v>
      </c>
      <c r="K259" s="48">
        <v>46167.0</v>
      </c>
      <c r="L259" s="48">
        <v>46167.0</v>
      </c>
      <c r="M259" s="48">
        <v>46169.0</v>
      </c>
      <c r="N259" s="53"/>
      <c r="O259" s="53"/>
      <c r="P259" s="33" t="str">
        <f>IFERROR(MasterData!$B261,"")</f>
        <v/>
      </c>
      <c r="Q259" s="33" t="str">
        <f>IFERROR(MasterData!$C261,"")</f>
        <v/>
      </c>
      <c r="R259" s="33" t="str">
        <f>IFERROR(MasterData!$E261,"")</f>
        <v/>
      </c>
      <c r="S259" s="33" t="str">
        <f>IFERROR(MasterData!$G261,"")</f>
        <v/>
      </c>
      <c r="T259" s="33" t="str">
        <f>IFERROR(MasterData!$I261,"")</f>
        <v/>
      </c>
    </row>
    <row r="260" ht="21.75" customHeight="1">
      <c r="A260" s="68"/>
      <c r="B260" s="67"/>
      <c r="C260" s="12" t="s">
        <v>968</v>
      </c>
      <c r="D260" s="12" t="s">
        <v>239</v>
      </c>
      <c r="E260" s="68"/>
      <c r="F260" s="12" t="s">
        <v>275</v>
      </c>
      <c r="G260" s="12" t="s">
        <v>490</v>
      </c>
      <c r="H260" s="63" t="s">
        <v>15</v>
      </c>
      <c r="I260" s="63" t="s">
        <v>60</v>
      </c>
      <c r="J260" s="63" t="s">
        <v>54</v>
      </c>
      <c r="K260" s="64">
        <v>46168.0</v>
      </c>
      <c r="L260" s="64">
        <v>46168.0</v>
      </c>
      <c r="M260" s="64">
        <v>46169.0</v>
      </c>
      <c r="N260" s="66"/>
      <c r="O260" s="66"/>
      <c r="P260" s="33" t="str">
        <f>IFERROR(MasterData!$B262,"")</f>
        <v/>
      </c>
      <c r="Q260" s="33" t="str">
        <f>IFERROR(MasterData!$C262,"")</f>
        <v/>
      </c>
      <c r="R260" s="33" t="str">
        <f>IFERROR(MasterData!$E262,"")</f>
        <v/>
      </c>
      <c r="S260" s="33" t="str">
        <f>IFERROR(MasterData!$G262,"")</f>
        <v/>
      </c>
      <c r="T260" s="33" t="str">
        <f>IFERROR(MasterData!$I262,"")</f>
        <v/>
      </c>
    </row>
    <row r="261" ht="21.75" customHeight="1">
      <c r="A261" s="56"/>
      <c r="B261" s="58"/>
      <c r="C261" s="18" t="s">
        <v>969</v>
      </c>
      <c r="D261" s="18" t="s">
        <v>12</v>
      </c>
      <c r="E261" s="56"/>
      <c r="F261" s="18" t="s">
        <v>132</v>
      </c>
      <c r="G261" s="18" t="s">
        <v>712</v>
      </c>
      <c r="H261" s="42" t="s">
        <v>15</v>
      </c>
      <c r="I261" s="42" t="s">
        <v>84</v>
      </c>
      <c r="J261" s="42" t="s">
        <v>54</v>
      </c>
      <c r="K261" s="48">
        <v>46168.0</v>
      </c>
      <c r="L261" s="48">
        <v>46168.0</v>
      </c>
      <c r="M261" s="48">
        <v>46174.0</v>
      </c>
      <c r="N261" s="53"/>
      <c r="O261" s="53"/>
      <c r="P261" s="33" t="str">
        <f>IFERROR(MasterData!$B263,"")</f>
        <v/>
      </c>
      <c r="Q261" s="33" t="str">
        <f>IFERROR(MasterData!$C263,"")</f>
        <v/>
      </c>
      <c r="R261" s="33" t="str">
        <f>IFERROR(MasterData!$E263,"")</f>
        <v/>
      </c>
      <c r="S261" s="33" t="str">
        <f>IFERROR(MasterData!$G263,"")</f>
        <v/>
      </c>
      <c r="T261" s="33" t="str">
        <f>IFERROR(MasterData!$I263,"")</f>
        <v/>
      </c>
    </row>
    <row r="262" ht="21.75" customHeight="1">
      <c r="A262" s="68"/>
      <c r="B262" s="67"/>
      <c r="C262" s="12" t="s">
        <v>970</v>
      </c>
      <c r="D262" s="12" t="s">
        <v>299</v>
      </c>
      <c r="E262" s="68"/>
      <c r="F262" s="12" t="s">
        <v>105</v>
      </c>
      <c r="G262" s="12" t="s">
        <v>712</v>
      </c>
      <c r="H262" s="63" t="s">
        <v>33</v>
      </c>
      <c r="I262" s="63" t="s">
        <v>17</v>
      </c>
      <c r="J262" s="63" t="s">
        <v>54</v>
      </c>
      <c r="K262" s="64">
        <v>46168.0</v>
      </c>
      <c r="L262" s="64">
        <v>46168.0</v>
      </c>
      <c r="M262" s="64">
        <v>46168.0</v>
      </c>
      <c r="N262" s="66"/>
      <c r="O262" s="66"/>
      <c r="P262" s="33" t="str">
        <f>IFERROR(MasterData!$B264,"")</f>
        <v/>
      </c>
      <c r="Q262" s="33" t="str">
        <f>IFERROR(MasterData!$C264,"")</f>
        <v/>
      </c>
      <c r="R262" s="33" t="str">
        <f>IFERROR(MasterData!$E264,"")</f>
        <v/>
      </c>
      <c r="S262" s="33" t="str">
        <f>IFERROR(MasterData!$G264,"")</f>
        <v/>
      </c>
      <c r="T262" s="33" t="str">
        <f>IFERROR(MasterData!$I264,"")</f>
        <v/>
      </c>
    </row>
    <row r="263" ht="21.75" customHeight="1">
      <c r="A263" s="56"/>
      <c r="B263" s="58"/>
      <c r="C263" s="18" t="s">
        <v>971</v>
      </c>
      <c r="D263" s="18" t="s">
        <v>239</v>
      </c>
      <c r="E263" s="56"/>
      <c r="F263" s="18" t="s">
        <v>301</v>
      </c>
      <c r="G263" s="18" t="s">
        <v>972</v>
      </c>
      <c r="H263" s="42" t="s">
        <v>15</v>
      </c>
      <c r="I263" s="42" t="s">
        <v>26</v>
      </c>
      <c r="J263" s="42" t="s">
        <v>54</v>
      </c>
      <c r="K263" s="48">
        <v>46168.0</v>
      </c>
      <c r="L263" s="48">
        <v>46168.0</v>
      </c>
      <c r="M263" s="48">
        <v>46173.0</v>
      </c>
      <c r="N263" s="53"/>
      <c r="O263" s="53"/>
      <c r="P263" s="33" t="str">
        <f>IFERROR(MasterData!$B265,"")</f>
        <v/>
      </c>
      <c r="Q263" s="33" t="str">
        <f>IFERROR(MasterData!$C265,"")</f>
        <v/>
      </c>
      <c r="R263" s="33" t="str">
        <f>IFERROR(MasterData!$E265,"")</f>
        <v/>
      </c>
      <c r="S263" s="33" t="str">
        <f>IFERROR(MasterData!$G265,"")</f>
        <v/>
      </c>
      <c r="T263" s="33" t="str">
        <f>IFERROR(MasterData!$I265,"")</f>
        <v/>
      </c>
    </row>
    <row r="264" ht="21.75" customHeight="1">
      <c r="A264" s="68"/>
      <c r="B264" s="67"/>
      <c r="C264" s="12" t="s">
        <v>973</v>
      </c>
      <c r="D264" s="12" t="s">
        <v>239</v>
      </c>
      <c r="E264" s="68"/>
      <c r="F264" s="12" t="s">
        <v>102</v>
      </c>
      <c r="G264" s="12" t="s">
        <v>490</v>
      </c>
      <c r="H264" s="63" t="s">
        <v>15</v>
      </c>
      <c r="I264" s="63" t="s">
        <v>26</v>
      </c>
      <c r="J264" s="63" t="s">
        <v>54</v>
      </c>
      <c r="K264" s="64">
        <v>46168.0</v>
      </c>
      <c r="L264" s="64">
        <v>46168.0</v>
      </c>
      <c r="M264" s="64">
        <v>46169.0</v>
      </c>
      <c r="N264" s="66"/>
      <c r="O264" s="66"/>
      <c r="P264" s="33" t="str">
        <f>IFERROR(MasterData!$B266,"")</f>
        <v/>
      </c>
      <c r="Q264" s="33" t="str">
        <f>IFERROR(MasterData!$C266,"")</f>
        <v/>
      </c>
      <c r="R264" s="33" t="str">
        <f>IFERROR(MasterData!$E266,"")</f>
        <v/>
      </c>
      <c r="S264" s="33" t="str">
        <f>IFERROR(MasterData!$G266,"")</f>
        <v/>
      </c>
      <c r="T264" s="33" t="str">
        <f>IFERROR(MasterData!$I266,"")</f>
        <v/>
      </c>
    </row>
    <row r="265" ht="21.75" customHeight="1">
      <c r="A265" s="56"/>
      <c r="B265" s="58"/>
      <c r="C265" s="18" t="s">
        <v>974</v>
      </c>
      <c r="D265" s="18" t="s">
        <v>12</v>
      </c>
      <c r="E265" s="56"/>
      <c r="F265" s="18" t="s">
        <v>306</v>
      </c>
      <c r="G265" s="18" t="s">
        <v>490</v>
      </c>
      <c r="H265" s="42" t="s">
        <v>15</v>
      </c>
      <c r="I265" s="42" t="s">
        <v>44</v>
      </c>
      <c r="J265" s="42" t="s">
        <v>46</v>
      </c>
      <c r="K265" s="48">
        <v>46169.0</v>
      </c>
      <c r="L265" s="49"/>
      <c r="M265" s="49"/>
      <c r="N265" s="53"/>
      <c r="O265" s="53"/>
      <c r="P265" s="33" t="str">
        <f>IFERROR(MasterData!$B267,"")</f>
        <v/>
      </c>
      <c r="Q265" s="33" t="str">
        <f>IFERROR(MasterData!$C267,"")</f>
        <v/>
      </c>
      <c r="R265" s="33" t="str">
        <f>IFERROR(MasterData!$E267,"")</f>
        <v/>
      </c>
      <c r="S265" s="33" t="str">
        <f>IFERROR(MasterData!$G267,"")</f>
        <v/>
      </c>
      <c r="T265" s="33" t="str">
        <f>IFERROR(MasterData!$I267,"")</f>
        <v/>
      </c>
    </row>
    <row r="266" ht="21.75" customHeight="1">
      <c r="A266" s="68"/>
      <c r="B266" s="67"/>
      <c r="C266" s="12" t="s">
        <v>975</v>
      </c>
      <c r="D266" s="12" t="s">
        <v>12</v>
      </c>
      <c r="E266" s="68"/>
      <c r="F266" s="12" t="s">
        <v>120</v>
      </c>
      <c r="G266" s="12" t="s">
        <v>490</v>
      </c>
      <c r="H266" s="63" t="s">
        <v>15</v>
      </c>
      <c r="I266" s="63" t="s">
        <v>53</v>
      </c>
      <c r="J266" s="63" t="s">
        <v>46</v>
      </c>
      <c r="K266" s="48">
        <v>46169.0</v>
      </c>
      <c r="L266" s="65"/>
      <c r="M266" s="65"/>
      <c r="N266" s="66"/>
      <c r="O266" s="66"/>
      <c r="P266" s="33" t="str">
        <f>IFERROR(MasterData!$B268,"")</f>
        <v/>
      </c>
      <c r="Q266" s="33" t="str">
        <f>IFERROR(MasterData!$C268,"")</f>
        <v/>
      </c>
      <c r="R266" s="33" t="str">
        <f>IFERROR(MasterData!$E268,"")</f>
        <v/>
      </c>
      <c r="S266" s="33" t="str">
        <f>IFERROR(MasterData!$G268,"")</f>
        <v/>
      </c>
      <c r="T266" s="33" t="str">
        <f>IFERROR(MasterData!$I268,"")</f>
        <v/>
      </c>
    </row>
    <row r="267" ht="21.75" customHeight="1">
      <c r="A267" s="56"/>
      <c r="B267" s="58"/>
      <c r="C267" s="18" t="s">
        <v>976</v>
      </c>
      <c r="D267" s="18" t="s">
        <v>48</v>
      </c>
      <c r="E267" s="56"/>
      <c r="F267" s="18" t="s">
        <v>13</v>
      </c>
      <c r="G267" s="18" t="s">
        <v>490</v>
      </c>
      <c r="H267" s="42" t="s">
        <v>15</v>
      </c>
      <c r="I267" s="42" t="s">
        <v>84</v>
      </c>
      <c r="J267" s="42" t="s">
        <v>46</v>
      </c>
      <c r="K267" s="48">
        <v>46169.0</v>
      </c>
      <c r="L267" s="49"/>
      <c r="M267" s="49"/>
      <c r="N267" s="53"/>
      <c r="O267" s="53"/>
      <c r="P267" s="33" t="str">
        <f>IFERROR(MasterData!$B269,"")</f>
        <v/>
      </c>
      <c r="Q267" s="33" t="str">
        <f>IFERROR(MasterData!$C269,"")</f>
        <v/>
      </c>
      <c r="R267" s="33" t="str">
        <f>IFERROR(MasterData!$E269,"")</f>
        <v/>
      </c>
      <c r="S267" s="33" t="str">
        <f>IFERROR(MasterData!$G269,"")</f>
        <v/>
      </c>
      <c r="T267" s="33" t="str">
        <f>IFERROR(MasterData!$I269,"")</f>
        <v/>
      </c>
    </row>
    <row r="268" ht="21.75" customHeight="1">
      <c r="A268" s="68"/>
      <c r="B268" s="67"/>
      <c r="C268" s="12" t="s">
        <v>977</v>
      </c>
      <c r="D268" s="12" t="s">
        <v>293</v>
      </c>
      <c r="E268" s="68"/>
      <c r="F268" s="12" t="s">
        <v>22</v>
      </c>
      <c r="G268" s="12" t="s">
        <v>712</v>
      </c>
      <c r="H268" s="63" t="s">
        <v>15</v>
      </c>
      <c r="I268" s="63" t="s">
        <v>26</v>
      </c>
      <c r="J268" s="63" t="s">
        <v>54</v>
      </c>
      <c r="K268" s="64">
        <v>46169.0</v>
      </c>
      <c r="L268" s="64">
        <v>46169.0</v>
      </c>
      <c r="M268" s="64">
        <v>46169.0</v>
      </c>
      <c r="N268" s="66"/>
      <c r="O268" s="66"/>
      <c r="P268" s="33" t="str">
        <f>IFERROR(MasterData!$B270,"")</f>
        <v/>
      </c>
      <c r="Q268" s="33" t="str">
        <f>IFERROR(MasterData!$C270,"")</f>
        <v/>
      </c>
      <c r="R268" s="33" t="str">
        <f>IFERROR(MasterData!$E270,"")</f>
        <v/>
      </c>
      <c r="S268" s="33" t="str">
        <f>IFERROR(MasterData!$G270,"")</f>
        <v/>
      </c>
      <c r="T268" s="33" t="str">
        <f>IFERROR(MasterData!$I270,"")</f>
        <v/>
      </c>
    </row>
    <row r="269" ht="21.75" customHeight="1">
      <c r="A269" s="56"/>
      <c r="B269" s="58"/>
      <c r="C269" s="18" t="s">
        <v>978</v>
      </c>
      <c r="D269" s="18" t="s">
        <v>48</v>
      </c>
      <c r="E269" s="56"/>
      <c r="F269" s="18" t="s">
        <v>105</v>
      </c>
      <c r="G269" s="18" t="s">
        <v>979</v>
      </c>
      <c r="H269" s="42" t="s">
        <v>15</v>
      </c>
      <c r="I269" s="42" t="s">
        <v>26</v>
      </c>
      <c r="J269" s="42" t="s">
        <v>46</v>
      </c>
      <c r="K269" s="48">
        <v>46143.0</v>
      </c>
      <c r="L269" s="49"/>
      <c r="M269" s="49"/>
      <c r="N269" s="53"/>
      <c r="O269" s="53"/>
      <c r="P269" s="33" t="str">
        <f>IFERROR(MasterData!$B271,"")</f>
        <v/>
      </c>
      <c r="Q269" s="33" t="str">
        <f>IFERROR(MasterData!$C271,"")</f>
        <v/>
      </c>
      <c r="R269" s="33" t="str">
        <f>IFERROR(MasterData!$E271,"")</f>
        <v/>
      </c>
      <c r="S269" s="33" t="str">
        <f>IFERROR(MasterData!$G271,"")</f>
        <v/>
      </c>
      <c r="T269" s="33" t="str">
        <f>IFERROR(MasterData!$I271,"")</f>
        <v/>
      </c>
    </row>
    <row r="270" ht="21.75" customHeight="1">
      <c r="A270" s="68"/>
      <c r="B270" s="67"/>
      <c r="C270" s="12" t="s">
        <v>980</v>
      </c>
      <c r="D270" s="12" t="s">
        <v>12</v>
      </c>
      <c r="E270" s="68"/>
      <c r="F270" s="12" t="s">
        <v>186</v>
      </c>
      <c r="G270" s="12" t="s">
        <v>712</v>
      </c>
      <c r="H270" s="63" t="s">
        <v>15</v>
      </c>
      <c r="I270" s="63" t="s">
        <v>35</v>
      </c>
      <c r="J270" s="63" t="s">
        <v>46</v>
      </c>
      <c r="K270" s="48">
        <v>46143.0</v>
      </c>
      <c r="L270" s="65"/>
      <c r="M270" s="65"/>
      <c r="N270" s="66"/>
      <c r="O270" s="66"/>
      <c r="P270" s="33" t="str">
        <f>IFERROR(MasterData!$B272,"")</f>
        <v/>
      </c>
      <c r="Q270" s="33" t="str">
        <f>IFERROR(MasterData!$C272,"")</f>
        <v/>
      </c>
      <c r="R270" s="33" t="str">
        <f>IFERROR(MasterData!$E272,"")</f>
        <v/>
      </c>
      <c r="S270" s="33" t="str">
        <f>IFERROR(MasterData!$G272,"")</f>
        <v/>
      </c>
      <c r="T270" s="33" t="str">
        <f>IFERROR(MasterData!$I272,"")</f>
        <v/>
      </c>
    </row>
    <row r="271" ht="21.75" customHeight="1">
      <c r="A271" s="56"/>
      <c r="B271" s="58"/>
      <c r="C271" s="18" t="s">
        <v>981</v>
      </c>
      <c r="D271" s="18" t="s">
        <v>173</v>
      </c>
      <c r="E271" s="56"/>
      <c r="F271" s="18" t="s">
        <v>251</v>
      </c>
      <c r="G271" s="18" t="s">
        <v>982</v>
      </c>
      <c r="H271" s="42" t="s">
        <v>15</v>
      </c>
      <c r="I271" s="42" t="s">
        <v>53</v>
      </c>
      <c r="J271" s="42" t="s">
        <v>46</v>
      </c>
      <c r="K271" s="48">
        <v>46143.0</v>
      </c>
      <c r="L271" s="49"/>
      <c r="M271" s="49"/>
      <c r="N271" s="53"/>
      <c r="O271" s="53"/>
      <c r="P271" s="33" t="str">
        <f>IFERROR(MasterData!$B273,"")</f>
        <v/>
      </c>
      <c r="Q271" s="33" t="str">
        <f>IFERROR(MasterData!$C273,"")</f>
        <v/>
      </c>
      <c r="R271" s="33" t="str">
        <f>IFERROR(MasterData!$E273,"")</f>
        <v/>
      </c>
      <c r="S271" s="33" t="str">
        <f>IFERROR(MasterData!$G273,"")</f>
        <v/>
      </c>
      <c r="T271" s="33" t="str">
        <f>IFERROR(MasterData!$I273,"")</f>
        <v/>
      </c>
    </row>
    <row r="272" ht="21.75" customHeight="1">
      <c r="A272" s="68"/>
      <c r="B272" s="67"/>
      <c r="C272" s="12" t="s">
        <v>983</v>
      </c>
      <c r="D272" s="12" t="s">
        <v>173</v>
      </c>
      <c r="E272" s="68"/>
      <c r="F272" s="12" t="s">
        <v>251</v>
      </c>
      <c r="G272" s="12" t="s">
        <v>712</v>
      </c>
      <c r="H272" s="63" t="s">
        <v>15</v>
      </c>
      <c r="I272" s="63" t="s">
        <v>53</v>
      </c>
      <c r="J272" s="63" t="s">
        <v>46</v>
      </c>
      <c r="K272" s="48">
        <v>46143.0</v>
      </c>
      <c r="L272" s="65"/>
      <c r="M272" s="65"/>
      <c r="N272" s="66"/>
      <c r="O272" s="66"/>
      <c r="P272" s="33" t="str">
        <f>IFERROR(MasterData!$B274,"")</f>
        <v/>
      </c>
      <c r="Q272" s="33" t="str">
        <f>IFERROR(MasterData!$C274,"")</f>
        <v/>
      </c>
      <c r="R272" s="33" t="str">
        <f>IFERROR(MasterData!$E274,"")</f>
        <v/>
      </c>
      <c r="S272" s="33" t="str">
        <f>IFERROR(MasterData!$G274,"")</f>
        <v/>
      </c>
      <c r="T272" s="33" t="str">
        <f>IFERROR(MasterData!$I274,"")</f>
        <v/>
      </c>
    </row>
    <row r="273" ht="21.75" customHeight="1">
      <c r="A273" s="56"/>
      <c r="B273" s="58"/>
      <c r="C273" s="18" t="s">
        <v>984</v>
      </c>
      <c r="D273" s="18" t="s">
        <v>239</v>
      </c>
      <c r="E273" s="56"/>
      <c r="F273" s="18" t="s">
        <v>105</v>
      </c>
      <c r="G273" s="18" t="s">
        <v>985</v>
      </c>
      <c r="H273" s="42" t="s">
        <v>24</v>
      </c>
      <c r="I273" s="42" t="s">
        <v>26</v>
      </c>
      <c r="J273" s="42" t="s">
        <v>46</v>
      </c>
      <c r="K273" s="48">
        <v>46143.0</v>
      </c>
      <c r="L273" s="49"/>
      <c r="M273" s="49"/>
      <c r="N273" s="53"/>
      <c r="O273" s="53"/>
      <c r="P273" s="33" t="str">
        <f>IFERROR(MasterData!$B275,"")</f>
        <v/>
      </c>
      <c r="Q273" s="33" t="str">
        <f>IFERROR(MasterData!$C275,"")</f>
        <v/>
      </c>
      <c r="R273" s="33" t="str">
        <f>IFERROR(MasterData!$E275,"")</f>
        <v/>
      </c>
      <c r="S273" s="33" t="str">
        <f>IFERROR(MasterData!$G275,"")</f>
        <v/>
      </c>
      <c r="T273" s="33" t="str">
        <f>IFERROR(MasterData!$I275,"")</f>
        <v/>
      </c>
    </row>
    <row r="274" ht="21.75" customHeight="1">
      <c r="A274" s="68"/>
      <c r="B274" s="67"/>
      <c r="C274" s="12" t="s">
        <v>986</v>
      </c>
      <c r="D274" s="12" t="s">
        <v>239</v>
      </c>
      <c r="E274" s="68"/>
      <c r="F274" s="12" t="s">
        <v>102</v>
      </c>
      <c r="G274" s="12" t="s">
        <v>712</v>
      </c>
      <c r="H274" s="63" t="s">
        <v>15</v>
      </c>
      <c r="I274" s="63" t="s">
        <v>26</v>
      </c>
      <c r="J274" s="63" t="s">
        <v>54</v>
      </c>
      <c r="K274" s="64">
        <v>46174.0</v>
      </c>
      <c r="L274" s="64">
        <v>46174.0</v>
      </c>
      <c r="M274" s="64">
        <v>46174.0</v>
      </c>
      <c r="N274" s="66"/>
      <c r="O274" s="66"/>
      <c r="P274" s="33" t="str">
        <f>IFERROR(MasterData!$B276,"")</f>
        <v/>
      </c>
      <c r="Q274" s="33" t="str">
        <f>IFERROR(MasterData!$C276,"")</f>
        <v/>
      </c>
      <c r="R274" s="33" t="str">
        <f>IFERROR(MasterData!$E276,"")</f>
        <v/>
      </c>
      <c r="S274" s="33" t="str">
        <f>IFERROR(MasterData!$G276,"")</f>
        <v/>
      </c>
      <c r="T274" s="33" t="str">
        <f>IFERROR(MasterData!$I276,"")</f>
        <v/>
      </c>
    </row>
    <row r="275" ht="21.75" customHeight="1">
      <c r="A275" s="56"/>
      <c r="B275" s="58"/>
      <c r="C275" s="18" t="s">
        <v>987</v>
      </c>
      <c r="D275" s="18" t="s">
        <v>239</v>
      </c>
      <c r="E275" s="56"/>
      <c r="F275" s="18" t="s">
        <v>117</v>
      </c>
      <c r="G275" s="18" t="s">
        <v>988</v>
      </c>
      <c r="H275" s="42" t="s">
        <v>15</v>
      </c>
      <c r="I275" s="42" t="s">
        <v>26</v>
      </c>
      <c r="J275" s="42" t="s">
        <v>54</v>
      </c>
      <c r="K275" s="48">
        <v>46175.0</v>
      </c>
      <c r="L275" s="48">
        <v>46175.0</v>
      </c>
      <c r="M275" s="48">
        <v>46175.0</v>
      </c>
      <c r="N275" s="53"/>
      <c r="O275" s="53"/>
      <c r="P275" s="33" t="str">
        <f>IFERROR(MasterData!$B277,"")</f>
        <v/>
      </c>
      <c r="Q275" s="33" t="str">
        <f>IFERROR(MasterData!$C277,"")</f>
        <v/>
      </c>
      <c r="R275" s="33" t="str">
        <f>IFERROR(MasterData!$E277,"")</f>
        <v/>
      </c>
      <c r="S275" s="33" t="str">
        <f>IFERROR(MasterData!$G277,"")</f>
        <v/>
      </c>
      <c r="T275" s="33" t="str">
        <f>IFERROR(MasterData!$I277,"")</f>
        <v/>
      </c>
    </row>
    <row r="276" ht="21.75" customHeight="1">
      <c r="A276" s="68"/>
      <c r="B276" s="67"/>
      <c r="C276" s="12" t="s">
        <v>989</v>
      </c>
      <c r="D276" s="12" t="s">
        <v>297</v>
      </c>
      <c r="E276" s="68"/>
      <c r="F276" s="12" t="s">
        <v>129</v>
      </c>
      <c r="G276" s="12" t="s">
        <v>990</v>
      </c>
      <c r="H276" s="63" t="s">
        <v>15</v>
      </c>
      <c r="I276" s="63" t="s">
        <v>17</v>
      </c>
      <c r="J276" s="63" t="s">
        <v>54</v>
      </c>
      <c r="K276" s="64">
        <v>46177.0</v>
      </c>
      <c r="L276" s="64">
        <v>46177.0</v>
      </c>
      <c r="M276" s="64">
        <v>46177.0</v>
      </c>
      <c r="N276" s="66"/>
      <c r="O276" s="66"/>
      <c r="P276" s="33" t="str">
        <f>IFERROR(MasterData!$B278,"")</f>
        <v/>
      </c>
      <c r="Q276" s="33" t="str">
        <f>IFERROR(MasterData!$C278,"")</f>
        <v/>
      </c>
      <c r="R276" s="33" t="str">
        <f>IFERROR(MasterData!$E278,"")</f>
        <v/>
      </c>
      <c r="S276" s="33" t="str">
        <f>IFERROR(MasterData!$G278,"")</f>
        <v/>
      </c>
      <c r="T276" s="33" t="str">
        <f>IFERROR(MasterData!$I278,"")</f>
        <v/>
      </c>
    </row>
    <row r="277" ht="21.75" customHeight="1">
      <c r="A277" s="56"/>
      <c r="B277" s="58"/>
      <c r="C277" s="18" t="s">
        <v>991</v>
      </c>
      <c r="D277" s="18" t="s">
        <v>173</v>
      </c>
      <c r="E277" s="56"/>
      <c r="F277" s="18" t="s">
        <v>251</v>
      </c>
      <c r="G277" s="18" t="s">
        <v>992</v>
      </c>
      <c r="H277" s="42" t="s">
        <v>15</v>
      </c>
      <c r="I277" s="42" t="s">
        <v>53</v>
      </c>
      <c r="J277" s="42" t="s">
        <v>46</v>
      </c>
      <c r="L277" s="49"/>
      <c r="M277" s="49"/>
      <c r="N277" s="53"/>
      <c r="O277" s="53"/>
      <c r="P277" s="33" t="str">
        <f>IFERROR(MasterData!$B279,"")</f>
        <v/>
      </c>
      <c r="Q277" s="33" t="str">
        <f>IFERROR(MasterData!$C279,"")</f>
        <v/>
      </c>
      <c r="R277" s="33" t="str">
        <f>IFERROR(MasterData!$E279,"")</f>
        <v/>
      </c>
      <c r="S277" s="33" t="str">
        <f>IFERROR(MasterData!$G279,"")</f>
        <v/>
      </c>
      <c r="T277" s="33" t="str">
        <f>IFERROR(MasterData!$I279,"")</f>
        <v/>
      </c>
    </row>
    <row r="278" ht="21.75" customHeight="1">
      <c r="A278" s="68"/>
      <c r="B278" s="67"/>
      <c r="C278" s="12" t="s">
        <v>993</v>
      </c>
      <c r="D278" s="12" t="s">
        <v>12</v>
      </c>
      <c r="E278" s="68"/>
      <c r="F278" s="12" t="s">
        <v>306</v>
      </c>
      <c r="G278" s="12" t="s">
        <v>994</v>
      </c>
      <c r="H278" s="63" t="s">
        <v>15</v>
      </c>
      <c r="I278" s="63" t="s">
        <v>26</v>
      </c>
      <c r="J278" s="63" t="s">
        <v>46</v>
      </c>
      <c r="K278" s="64">
        <v>46177.0</v>
      </c>
      <c r="L278" s="65"/>
      <c r="M278" s="65"/>
      <c r="N278" s="66"/>
      <c r="O278" s="66"/>
      <c r="P278" s="33" t="str">
        <f>IFERROR(MasterData!$B280,"")</f>
        <v/>
      </c>
      <c r="Q278" s="33" t="str">
        <f>IFERROR(MasterData!$C280,"")</f>
        <v/>
      </c>
      <c r="R278" s="33" t="str">
        <f>IFERROR(MasterData!$E280,"")</f>
        <v/>
      </c>
      <c r="S278" s="33" t="str">
        <f>IFERROR(MasterData!$G280,"")</f>
        <v/>
      </c>
      <c r="T278" s="33" t="str">
        <f>IFERROR(MasterData!$I280,"")</f>
        <v/>
      </c>
    </row>
    <row r="279" ht="21.75" customHeight="1">
      <c r="A279" s="56"/>
      <c r="B279" s="58"/>
      <c r="C279" s="18" t="s">
        <v>995</v>
      </c>
      <c r="D279" s="18" t="s">
        <v>173</v>
      </c>
      <c r="E279" s="56"/>
      <c r="F279" s="18" t="s">
        <v>92</v>
      </c>
      <c r="G279" s="18" t="s">
        <v>996</v>
      </c>
      <c r="H279" s="42" t="s">
        <v>15</v>
      </c>
      <c r="I279" s="42" t="s">
        <v>53</v>
      </c>
      <c r="J279" s="42" t="s">
        <v>46</v>
      </c>
      <c r="K279" s="64">
        <v>46177.0</v>
      </c>
      <c r="L279" s="49"/>
      <c r="M279" s="49"/>
      <c r="N279" s="53"/>
      <c r="O279" s="53"/>
      <c r="P279" s="33" t="str">
        <f>IFERROR(MasterData!$B281,"")</f>
        <v/>
      </c>
      <c r="Q279" s="33" t="str">
        <f>IFERROR(MasterData!$C281,"")</f>
        <v/>
      </c>
      <c r="R279" s="33" t="str">
        <f>IFERROR(MasterData!$E281,"")</f>
        <v/>
      </c>
      <c r="S279" s="33" t="str">
        <f>IFERROR(MasterData!$G281,"")</f>
        <v/>
      </c>
      <c r="T279" s="33" t="str">
        <f>IFERROR(MasterData!$I281,"")</f>
        <v/>
      </c>
    </row>
    <row r="280" ht="21.75" customHeight="1">
      <c r="A280" s="68"/>
      <c r="B280" s="67"/>
      <c r="C280" s="12" t="s">
        <v>997</v>
      </c>
      <c r="D280" s="12" t="s">
        <v>48</v>
      </c>
      <c r="E280" s="68"/>
      <c r="F280" s="12" t="s">
        <v>105</v>
      </c>
      <c r="G280" s="12" t="s">
        <v>998</v>
      </c>
      <c r="H280" s="63" t="s">
        <v>15</v>
      </c>
      <c r="I280" s="63" t="s">
        <v>44</v>
      </c>
      <c r="J280" s="63" t="s">
        <v>46</v>
      </c>
      <c r="K280" s="64">
        <v>46177.0</v>
      </c>
      <c r="L280" s="65"/>
      <c r="M280" s="65"/>
      <c r="N280" s="66"/>
      <c r="O280" s="66"/>
      <c r="P280" s="33" t="str">
        <f>IFERROR(MasterData!$B282,"")</f>
        <v/>
      </c>
      <c r="Q280" s="33" t="str">
        <f>IFERROR(MasterData!$C282,"")</f>
        <v/>
      </c>
      <c r="R280" s="33" t="str">
        <f>IFERROR(MasterData!$E282,"")</f>
        <v/>
      </c>
      <c r="S280" s="33" t="str">
        <f>IFERROR(MasterData!$G282,"")</f>
        <v/>
      </c>
      <c r="T280" s="33" t="str">
        <f>IFERROR(MasterData!$I282,"")</f>
        <v/>
      </c>
    </row>
    <row r="281" ht="21.75" customHeight="1">
      <c r="A281" s="56"/>
      <c r="B281" s="58"/>
      <c r="C281" s="18" t="s">
        <v>999</v>
      </c>
      <c r="D281" s="18" t="s">
        <v>12</v>
      </c>
      <c r="E281" s="56"/>
      <c r="F281" s="18" t="s">
        <v>306</v>
      </c>
      <c r="G281" s="18" t="s">
        <v>490</v>
      </c>
      <c r="H281" s="42" t="s">
        <v>15</v>
      </c>
      <c r="I281" s="42" t="s">
        <v>26</v>
      </c>
      <c r="J281" s="42" t="s">
        <v>46</v>
      </c>
      <c r="K281" s="64">
        <v>46177.0</v>
      </c>
      <c r="L281" s="49"/>
      <c r="M281" s="49"/>
      <c r="N281" s="53"/>
      <c r="O281" s="53"/>
      <c r="P281" s="33" t="str">
        <f>IFERROR(MasterData!$B283,"")</f>
        <v/>
      </c>
      <c r="Q281" s="33" t="str">
        <f>IFERROR(MasterData!$C283,"")</f>
        <v/>
      </c>
      <c r="R281" s="33" t="str">
        <f>IFERROR(MasterData!$E283,"")</f>
        <v/>
      </c>
      <c r="S281" s="33" t="str">
        <f>IFERROR(MasterData!$G283,"")</f>
        <v/>
      </c>
      <c r="T281" s="33" t="str">
        <f>IFERROR(MasterData!$I283,"")</f>
        <v/>
      </c>
    </row>
    <row r="282" ht="21.75" customHeight="1">
      <c r="A282" s="68"/>
      <c r="B282" s="67"/>
      <c r="C282" s="12" t="s">
        <v>1000</v>
      </c>
      <c r="D282" s="12" t="s">
        <v>182</v>
      </c>
      <c r="E282" s="68"/>
      <c r="F282" s="12" t="s">
        <v>135</v>
      </c>
      <c r="G282" s="12" t="s">
        <v>490</v>
      </c>
      <c r="H282" s="63" t="s">
        <v>15</v>
      </c>
      <c r="I282" s="63" t="s">
        <v>17</v>
      </c>
      <c r="J282" s="63" t="s">
        <v>54</v>
      </c>
      <c r="K282" s="64">
        <v>46177.0</v>
      </c>
      <c r="L282" s="64">
        <v>46177.0</v>
      </c>
      <c r="M282" s="64">
        <v>46177.0</v>
      </c>
      <c r="N282" s="66"/>
      <c r="O282" s="66"/>
      <c r="P282" s="33" t="str">
        <f>IFERROR(MasterData!$B284,"")</f>
        <v/>
      </c>
      <c r="Q282" s="33" t="str">
        <f>IFERROR(MasterData!$C284,"")</f>
        <v/>
      </c>
      <c r="R282" s="33" t="str">
        <f>IFERROR(MasterData!$E284,"")</f>
        <v/>
      </c>
      <c r="S282" s="33" t="str">
        <f>IFERROR(MasterData!$G284,"")</f>
        <v/>
      </c>
      <c r="T282" s="33" t="str">
        <f>IFERROR(MasterData!$I284,"")</f>
        <v/>
      </c>
    </row>
    <row r="283" ht="21.75" customHeight="1">
      <c r="A283" s="56"/>
      <c r="B283" s="58"/>
      <c r="C283" s="18" t="s">
        <v>1001</v>
      </c>
      <c r="D283" s="18" t="s">
        <v>12</v>
      </c>
      <c r="E283" s="56"/>
      <c r="F283" s="18" t="s">
        <v>102</v>
      </c>
      <c r="G283" s="18" t="s">
        <v>490</v>
      </c>
      <c r="H283" s="42" t="s">
        <v>15</v>
      </c>
      <c r="I283" s="42" t="s">
        <v>26</v>
      </c>
      <c r="J283" s="42" t="s">
        <v>46</v>
      </c>
      <c r="K283" s="48">
        <v>46178.0</v>
      </c>
      <c r="L283" s="49"/>
      <c r="M283" s="49"/>
      <c r="N283" s="53"/>
      <c r="O283" s="53"/>
      <c r="P283" s="33" t="str">
        <f>IFERROR(MasterData!$B285,"")</f>
        <v/>
      </c>
      <c r="Q283" s="33" t="str">
        <f>IFERROR(MasterData!$C285,"")</f>
        <v/>
      </c>
      <c r="R283" s="33" t="str">
        <f>IFERROR(MasterData!$E285,"")</f>
        <v/>
      </c>
      <c r="S283" s="33" t="str">
        <f>IFERROR(MasterData!$G285,"")</f>
        <v/>
      </c>
      <c r="T283" s="33" t="str">
        <f>IFERROR(MasterData!$I285,"")</f>
        <v/>
      </c>
    </row>
    <row r="284" ht="21.75" customHeight="1">
      <c r="A284" s="68"/>
      <c r="B284" s="67"/>
      <c r="C284" s="12" t="s">
        <v>1002</v>
      </c>
      <c r="D284" s="12" t="s">
        <v>12</v>
      </c>
      <c r="E284" s="68"/>
      <c r="F284" s="12" t="s">
        <v>102</v>
      </c>
      <c r="G284" s="12" t="s">
        <v>490</v>
      </c>
      <c r="H284" s="63" t="s">
        <v>15</v>
      </c>
      <c r="I284" s="63" t="s">
        <v>26</v>
      </c>
      <c r="J284" s="63" t="s">
        <v>46</v>
      </c>
      <c r="K284" s="48">
        <v>46178.0</v>
      </c>
      <c r="L284" s="65"/>
      <c r="M284" s="65"/>
      <c r="N284" s="66"/>
      <c r="O284" s="66"/>
      <c r="P284" s="33" t="str">
        <f>IFERROR(MasterData!$B286,"")</f>
        <v/>
      </c>
      <c r="Q284" s="33" t="str">
        <f>IFERROR(MasterData!$C286,"")</f>
        <v/>
      </c>
      <c r="R284" s="33" t="str">
        <f>IFERROR(MasterData!$E286,"")</f>
        <v/>
      </c>
      <c r="S284" s="33" t="str">
        <f>IFERROR(MasterData!$G286,"")</f>
        <v/>
      </c>
      <c r="T284" s="33" t="str">
        <f>IFERROR(MasterData!$I286,"")</f>
        <v/>
      </c>
    </row>
    <row r="285" ht="21.75" customHeight="1">
      <c r="A285" s="56"/>
      <c r="B285" s="58"/>
      <c r="C285" s="53"/>
      <c r="D285" s="53"/>
      <c r="E285" s="56"/>
      <c r="F285" s="53"/>
      <c r="G285" s="53"/>
      <c r="H285" s="58"/>
      <c r="I285" s="58"/>
      <c r="J285" s="58"/>
      <c r="K285" s="49"/>
      <c r="L285" s="49"/>
      <c r="M285" s="49"/>
      <c r="N285" s="53"/>
      <c r="O285" s="53"/>
      <c r="P285" s="33" t="str">
        <f>IFERROR(MasterData!$B287,"")</f>
        <v/>
      </c>
      <c r="Q285" s="33" t="str">
        <f>IFERROR(MasterData!$C287,"")</f>
        <v/>
      </c>
      <c r="R285" s="33" t="str">
        <f>IFERROR(MasterData!$E287,"")</f>
        <v/>
      </c>
      <c r="S285" s="33" t="str">
        <f>IFERROR(MasterData!$G287,"")</f>
        <v/>
      </c>
      <c r="T285" s="33" t="str">
        <f>IFERROR(MasterData!$I287,"")</f>
        <v/>
      </c>
    </row>
    <row r="286" ht="21.75" customHeight="1">
      <c r="A286" s="68"/>
      <c r="B286" s="67"/>
      <c r="C286" s="66"/>
      <c r="D286" s="66"/>
      <c r="E286" s="68"/>
      <c r="F286" s="66"/>
      <c r="G286" s="66"/>
      <c r="H286" s="67"/>
      <c r="I286" s="67"/>
      <c r="J286" s="67"/>
      <c r="K286" s="65"/>
      <c r="L286" s="65"/>
      <c r="M286" s="65"/>
      <c r="N286" s="66"/>
      <c r="O286" s="66"/>
      <c r="P286" s="33" t="str">
        <f>IFERROR(MasterData!$B288,"")</f>
        <v/>
      </c>
      <c r="Q286" s="33" t="str">
        <f>IFERROR(MasterData!$C288,"")</f>
        <v/>
      </c>
      <c r="R286" s="33" t="str">
        <f>IFERROR(MasterData!$E288,"")</f>
        <v/>
      </c>
      <c r="S286" s="33" t="str">
        <f>IFERROR(MasterData!$G288,"")</f>
        <v/>
      </c>
      <c r="T286" s="33" t="str">
        <f>IFERROR(MasterData!$I288,"")</f>
        <v/>
      </c>
    </row>
    <row r="287" ht="21.75" customHeight="1">
      <c r="A287" s="56"/>
      <c r="B287" s="58"/>
      <c r="C287" s="53"/>
      <c r="D287" s="53"/>
      <c r="E287" s="56"/>
      <c r="F287" s="53"/>
      <c r="G287" s="53"/>
      <c r="H287" s="58"/>
      <c r="I287" s="58"/>
      <c r="J287" s="58"/>
      <c r="K287" s="49"/>
      <c r="L287" s="49"/>
      <c r="M287" s="49"/>
      <c r="N287" s="53"/>
      <c r="O287" s="53"/>
      <c r="P287" s="33" t="str">
        <f>IFERROR(MasterData!$B289,"")</f>
        <v/>
      </c>
      <c r="Q287" s="33" t="str">
        <f>IFERROR(MasterData!$C289,"")</f>
        <v/>
      </c>
      <c r="R287" s="33" t="str">
        <f>IFERROR(MasterData!$E289,"")</f>
        <v/>
      </c>
      <c r="S287" s="33" t="str">
        <f>IFERROR(MasterData!$G289,"")</f>
        <v/>
      </c>
      <c r="T287" s="33" t="str">
        <f>IFERROR(MasterData!$I289,"")</f>
        <v/>
      </c>
    </row>
    <row r="288" ht="21.75" customHeight="1">
      <c r="A288" s="68"/>
      <c r="B288" s="67"/>
      <c r="C288" s="66"/>
      <c r="D288" s="66"/>
      <c r="E288" s="68"/>
      <c r="F288" s="66"/>
      <c r="G288" s="66"/>
      <c r="H288" s="67"/>
      <c r="I288" s="67"/>
      <c r="J288" s="67"/>
      <c r="K288" s="65"/>
      <c r="L288" s="65"/>
      <c r="M288" s="65"/>
      <c r="N288" s="66"/>
      <c r="O288" s="66"/>
      <c r="P288" s="33" t="str">
        <f>IFERROR(MasterData!$B290,"")</f>
        <v/>
      </c>
      <c r="Q288" s="33" t="str">
        <f>IFERROR(MasterData!$C290,"")</f>
        <v/>
      </c>
      <c r="R288" s="33" t="str">
        <f>IFERROR(MasterData!$E290,"")</f>
        <v/>
      </c>
      <c r="S288" s="33" t="str">
        <f>IFERROR(MasterData!$G290,"")</f>
        <v/>
      </c>
      <c r="T288" s="33" t="str">
        <f>IFERROR(MasterData!$I290,"")</f>
        <v/>
      </c>
    </row>
    <row r="289" ht="21.75" customHeight="1">
      <c r="A289" s="56"/>
      <c r="B289" s="58"/>
      <c r="C289" s="53"/>
      <c r="D289" s="53"/>
      <c r="E289" s="56"/>
      <c r="F289" s="53"/>
      <c r="G289" s="53"/>
      <c r="H289" s="58"/>
      <c r="I289" s="58"/>
      <c r="J289" s="58"/>
      <c r="K289" s="49"/>
      <c r="L289" s="49"/>
      <c r="M289" s="49"/>
      <c r="N289" s="53"/>
      <c r="O289" s="53"/>
      <c r="P289" s="33" t="str">
        <f>IFERROR(MasterData!$B291,"")</f>
        <v/>
      </c>
      <c r="Q289" s="33" t="str">
        <f>IFERROR(MasterData!$C291,"")</f>
        <v/>
      </c>
      <c r="R289" s="33" t="str">
        <f>IFERROR(MasterData!$E291,"")</f>
        <v/>
      </c>
      <c r="S289" s="33" t="str">
        <f>IFERROR(MasterData!$G291,"")</f>
        <v/>
      </c>
      <c r="T289" s="33" t="str">
        <f>IFERROR(MasterData!$I291,"")</f>
        <v/>
      </c>
    </row>
    <row r="290" ht="21.75" customHeight="1">
      <c r="A290" s="68"/>
      <c r="B290" s="67"/>
      <c r="C290" s="66"/>
      <c r="D290" s="66"/>
      <c r="E290" s="68"/>
      <c r="F290" s="66"/>
      <c r="G290" s="66"/>
      <c r="H290" s="67"/>
      <c r="I290" s="67"/>
      <c r="J290" s="67"/>
      <c r="K290" s="65"/>
      <c r="L290" s="65"/>
      <c r="M290" s="65"/>
      <c r="N290" s="66"/>
      <c r="O290" s="66"/>
      <c r="P290" s="33" t="str">
        <f>IFERROR(MasterData!$B292,"")</f>
        <v/>
      </c>
      <c r="Q290" s="33" t="str">
        <f>IFERROR(MasterData!$C292,"")</f>
        <v/>
      </c>
      <c r="R290" s="33" t="str">
        <f>IFERROR(MasterData!$E292,"")</f>
        <v/>
      </c>
      <c r="S290" s="33" t="str">
        <f>IFERROR(MasterData!$G292,"")</f>
        <v/>
      </c>
      <c r="T290" s="33" t="str">
        <f>IFERROR(MasterData!$I292,"")</f>
        <v/>
      </c>
    </row>
    <row r="291" ht="21.75" customHeight="1">
      <c r="A291" s="56"/>
      <c r="B291" s="58"/>
      <c r="C291" s="53"/>
      <c r="D291" s="53"/>
      <c r="E291" s="56"/>
      <c r="F291" s="53"/>
      <c r="G291" s="53"/>
      <c r="H291" s="58"/>
      <c r="I291" s="58"/>
      <c r="J291" s="58"/>
      <c r="K291" s="49"/>
      <c r="L291" s="49"/>
      <c r="M291" s="49"/>
      <c r="N291" s="53"/>
      <c r="O291" s="53"/>
      <c r="P291" s="33" t="str">
        <f>IFERROR(MasterData!$B293,"")</f>
        <v/>
      </c>
      <c r="Q291" s="33" t="str">
        <f>IFERROR(MasterData!$C293,"")</f>
        <v/>
      </c>
      <c r="R291" s="33" t="str">
        <f>IFERROR(MasterData!$E293,"")</f>
        <v/>
      </c>
      <c r="S291" s="33" t="str">
        <f>IFERROR(MasterData!$G293,"")</f>
        <v/>
      </c>
      <c r="T291" s="33" t="str">
        <f>IFERROR(MasterData!$I293,"")</f>
        <v/>
      </c>
    </row>
    <row r="292" ht="21.75" customHeight="1">
      <c r="A292" s="68"/>
      <c r="B292" s="67"/>
      <c r="C292" s="66"/>
      <c r="D292" s="66"/>
      <c r="E292" s="68"/>
      <c r="F292" s="66"/>
      <c r="G292" s="66"/>
      <c r="H292" s="67"/>
      <c r="I292" s="67"/>
      <c r="J292" s="67"/>
      <c r="K292" s="65"/>
      <c r="L292" s="65"/>
      <c r="M292" s="65"/>
      <c r="N292" s="66"/>
      <c r="O292" s="66"/>
      <c r="P292" s="33" t="str">
        <f>IFERROR(MasterData!$B294,"")</f>
        <v/>
      </c>
      <c r="Q292" s="33" t="str">
        <f>IFERROR(MasterData!$C294,"")</f>
        <v/>
      </c>
      <c r="R292" s="33" t="str">
        <f>IFERROR(MasterData!$E294,"")</f>
        <v/>
      </c>
      <c r="S292" s="33" t="str">
        <f>IFERROR(MasterData!$G294,"")</f>
        <v/>
      </c>
      <c r="T292" s="33" t="str">
        <f>IFERROR(MasterData!$I294,"")</f>
        <v/>
      </c>
    </row>
    <row r="293" ht="21.75" customHeight="1">
      <c r="A293" s="56"/>
      <c r="B293" s="58"/>
      <c r="C293" s="53"/>
      <c r="D293" s="53"/>
      <c r="E293" s="56"/>
      <c r="F293" s="53"/>
      <c r="G293" s="53"/>
      <c r="H293" s="58"/>
      <c r="I293" s="58"/>
      <c r="J293" s="58"/>
      <c r="K293" s="49"/>
      <c r="L293" s="49"/>
      <c r="M293" s="49"/>
      <c r="N293" s="53"/>
      <c r="O293" s="53"/>
      <c r="P293" s="33" t="str">
        <f>IFERROR(MasterData!$B295,"")</f>
        <v/>
      </c>
      <c r="Q293" s="33" t="str">
        <f>IFERROR(MasterData!$C295,"")</f>
        <v/>
      </c>
      <c r="R293" s="33" t="str">
        <f>IFERROR(MasterData!$E295,"")</f>
        <v/>
      </c>
      <c r="S293" s="33" t="str">
        <f>IFERROR(MasterData!$G295,"")</f>
        <v/>
      </c>
      <c r="T293" s="33" t="str">
        <f>IFERROR(MasterData!$I295,"")</f>
        <v/>
      </c>
    </row>
    <row r="294" ht="21.75" customHeight="1">
      <c r="A294" s="68"/>
      <c r="B294" s="67"/>
      <c r="C294" s="66"/>
      <c r="D294" s="66"/>
      <c r="E294" s="68"/>
      <c r="F294" s="66"/>
      <c r="G294" s="66"/>
      <c r="H294" s="67"/>
      <c r="I294" s="67"/>
      <c r="J294" s="67"/>
      <c r="K294" s="65"/>
      <c r="L294" s="65"/>
      <c r="M294" s="65"/>
      <c r="N294" s="66"/>
      <c r="O294" s="66"/>
      <c r="P294" s="33" t="str">
        <f>IFERROR(MasterData!$B296,"")</f>
        <v/>
      </c>
      <c r="Q294" s="33" t="str">
        <f>IFERROR(MasterData!$C296,"")</f>
        <v/>
      </c>
      <c r="R294" s="33" t="str">
        <f>IFERROR(MasterData!$E296,"")</f>
        <v/>
      </c>
      <c r="S294" s="33" t="str">
        <f>IFERROR(MasterData!$G296,"")</f>
        <v/>
      </c>
      <c r="T294" s="33" t="str">
        <f>IFERROR(MasterData!$I296,"")</f>
        <v/>
      </c>
    </row>
    <row r="295" ht="21.75" customHeight="1">
      <c r="A295" s="56"/>
      <c r="B295" s="58"/>
      <c r="C295" s="53"/>
      <c r="D295" s="53"/>
      <c r="E295" s="56"/>
      <c r="F295" s="53"/>
      <c r="G295" s="53"/>
      <c r="H295" s="58"/>
      <c r="I295" s="58"/>
      <c r="J295" s="58"/>
      <c r="K295" s="49"/>
      <c r="L295" s="49"/>
      <c r="M295" s="49"/>
      <c r="N295" s="53"/>
      <c r="O295" s="53"/>
      <c r="P295" s="33" t="str">
        <f>IFERROR(MasterData!$B297,"")</f>
        <v/>
      </c>
      <c r="Q295" s="33" t="str">
        <f>IFERROR(MasterData!$C297,"")</f>
        <v/>
      </c>
      <c r="R295" s="33" t="str">
        <f>IFERROR(MasterData!$E297,"")</f>
        <v/>
      </c>
      <c r="S295" s="33" t="str">
        <f>IFERROR(MasterData!$G297,"")</f>
        <v/>
      </c>
      <c r="T295" s="33" t="str">
        <f>IFERROR(MasterData!$I297,"")</f>
        <v/>
      </c>
    </row>
    <row r="296" ht="21.75" customHeight="1">
      <c r="A296" s="68"/>
      <c r="B296" s="67"/>
      <c r="C296" s="66"/>
      <c r="D296" s="66"/>
      <c r="E296" s="68"/>
      <c r="F296" s="66"/>
      <c r="G296" s="66"/>
      <c r="H296" s="67"/>
      <c r="I296" s="67"/>
      <c r="J296" s="67"/>
      <c r="K296" s="65"/>
      <c r="L296" s="65"/>
      <c r="M296" s="65"/>
      <c r="N296" s="66"/>
      <c r="O296" s="66"/>
      <c r="P296" s="33" t="str">
        <f>IFERROR(MasterData!$B298,"")</f>
        <v/>
      </c>
      <c r="Q296" s="33" t="str">
        <f>IFERROR(MasterData!$C298,"")</f>
        <v/>
      </c>
      <c r="R296" s="33" t="str">
        <f>IFERROR(MasterData!$E298,"")</f>
        <v/>
      </c>
      <c r="S296" s="33" t="str">
        <f>IFERROR(MasterData!$G298,"")</f>
        <v/>
      </c>
      <c r="T296" s="33" t="str">
        <f>IFERROR(MasterData!$I298,"")</f>
        <v/>
      </c>
    </row>
    <row r="297" ht="21.75" customHeight="1">
      <c r="A297" s="56"/>
      <c r="B297" s="58"/>
      <c r="C297" s="53"/>
      <c r="D297" s="53"/>
      <c r="E297" s="56"/>
      <c r="F297" s="53"/>
      <c r="G297" s="53"/>
      <c r="H297" s="58"/>
      <c r="I297" s="58"/>
      <c r="J297" s="58"/>
      <c r="K297" s="49"/>
      <c r="L297" s="49"/>
      <c r="M297" s="49"/>
      <c r="N297" s="53"/>
      <c r="O297" s="53"/>
      <c r="P297" s="33" t="str">
        <f>IFERROR(MasterData!$B299,"")</f>
        <v/>
      </c>
      <c r="Q297" s="33" t="str">
        <f>IFERROR(MasterData!$C299,"")</f>
        <v/>
      </c>
      <c r="R297" s="33" t="str">
        <f>IFERROR(MasterData!$E299,"")</f>
        <v/>
      </c>
      <c r="S297" s="33" t="str">
        <f>IFERROR(MasterData!$G299,"")</f>
        <v/>
      </c>
      <c r="T297" s="33" t="str">
        <f>IFERROR(MasterData!$I299,"")</f>
        <v/>
      </c>
    </row>
    <row r="298" ht="21.75" customHeight="1">
      <c r="A298" s="68"/>
      <c r="B298" s="67"/>
      <c r="C298" s="66"/>
      <c r="D298" s="66"/>
      <c r="E298" s="68"/>
      <c r="F298" s="66"/>
      <c r="G298" s="66"/>
      <c r="H298" s="67"/>
      <c r="I298" s="67"/>
      <c r="J298" s="67"/>
      <c r="K298" s="65"/>
      <c r="L298" s="65"/>
      <c r="M298" s="65"/>
      <c r="N298" s="66"/>
      <c r="O298" s="66"/>
      <c r="P298" s="33" t="str">
        <f>IFERROR(MasterData!$B300,"")</f>
        <v/>
      </c>
      <c r="Q298" s="33" t="str">
        <f>IFERROR(MasterData!$C300,"")</f>
        <v/>
      </c>
      <c r="R298" s="33" t="str">
        <f>IFERROR(MasterData!$E300,"")</f>
        <v/>
      </c>
      <c r="S298" s="33" t="str">
        <f>IFERROR(MasterData!$G300,"")</f>
        <v/>
      </c>
      <c r="T298" s="33" t="str">
        <f>IFERROR(MasterData!$I300,"")</f>
        <v/>
      </c>
    </row>
    <row r="299" ht="21.75" customHeight="1">
      <c r="A299" s="56"/>
      <c r="B299" s="58"/>
      <c r="C299" s="53"/>
      <c r="D299" s="53"/>
      <c r="E299" s="56"/>
      <c r="F299" s="53"/>
      <c r="G299" s="53"/>
      <c r="H299" s="58"/>
      <c r="I299" s="58"/>
      <c r="J299" s="58"/>
      <c r="K299" s="49"/>
      <c r="L299" s="49"/>
      <c r="M299" s="49"/>
      <c r="N299" s="53"/>
      <c r="O299" s="53"/>
      <c r="P299" s="33" t="str">
        <f>IFERROR(MasterData!$B301,"")</f>
        <v/>
      </c>
      <c r="Q299" s="33" t="str">
        <f>IFERROR(MasterData!$C301,"")</f>
        <v/>
      </c>
      <c r="R299" s="33" t="str">
        <f>IFERROR(MasterData!$E301,"")</f>
        <v/>
      </c>
      <c r="S299" s="33" t="str">
        <f>IFERROR(MasterData!$G301,"")</f>
        <v/>
      </c>
      <c r="T299" s="33" t="str">
        <f>IFERROR(MasterData!$I301,"")</f>
        <v/>
      </c>
    </row>
    <row r="300" ht="21.75" customHeight="1">
      <c r="A300" s="68"/>
      <c r="B300" s="67"/>
      <c r="C300" s="66"/>
      <c r="D300" s="66"/>
      <c r="E300" s="68"/>
      <c r="F300" s="66"/>
      <c r="G300" s="66"/>
      <c r="H300" s="67"/>
      <c r="I300" s="67"/>
      <c r="J300" s="67"/>
      <c r="K300" s="65"/>
      <c r="L300" s="65"/>
      <c r="M300" s="65"/>
      <c r="N300" s="66"/>
      <c r="O300" s="66"/>
      <c r="P300" s="33" t="str">
        <f>IFERROR(MasterData!$B302,"")</f>
        <v/>
      </c>
      <c r="Q300" s="33" t="str">
        <f>IFERROR(MasterData!$C302,"")</f>
        <v/>
      </c>
      <c r="R300" s="33" t="str">
        <f>IFERROR(MasterData!$E302,"")</f>
        <v/>
      </c>
      <c r="S300" s="33" t="str">
        <f>IFERROR(MasterData!$G302,"")</f>
        <v/>
      </c>
      <c r="T300" s="33" t="str">
        <f>IFERROR(MasterData!$I302,"")</f>
        <v/>
      </c>
    </row>
    <row r="301" ht="21.75" customHeight="1">
      <c r="A301" s="56"/>
      <c r="B301" s="58"/>
      <c r="C301" s="53"/>
      <c r="D301" s="53"/>
      <c r="E301" s="56"/>
      <c r="F301" s="53"/>
      <c r="G301" s="53"/>
      <c r="H301" s="58"/>
      <c r="I301" s="58"/>
      <c r="J301" s="58"/>
      <c r="K301" s="49"/>
      <c r="L301" s="49"/>
      <c r="M301" s="49"/>
      <c r="N301" s="53"/>
      <c r="O301" s="53"/>
      <c r="P301" s="33" t="str">
        <f>IFERROR(MasterData!$B303,"")</f>
        <v/>
      </c>
      <c r="Q301" s="33" t="str">
        <f>IFERROR(MasterData!$C303,"")</f>
        <v/>
      </c>
      <c r="R301" s="33" t="str">
        <f>IFERROR(MasterData!$E303,"")</f>
        <v/>
      </c>
      <c r="S301" s="33" t="str">
        <f>IFERROR(MasterData!$G303,"")</f>
        <v/>
      </c>
      <c r="T301" s="33" t="str">
        <f>IFERROR(MasterData!$I303,"")</f>
        <v/>
      </c>
    </row>
    <row r="302" ht="21.75" customHeight="1">
      <c r="A302" s="68"/>
      <c r="B302" s="67"/>
      <c r="C302" s="66"/>
      <c r="D302" s="66"/>
      <c r="E302" s="68"/>
      <c r="F302" s="66"/>
      <c r="G302" s="66"/>
      <c r="H302" s="67"/>
      <c r="I302" s="67"/>
      <c r="J302" s="67"/>
      <c r="K302" s="65"/>
      <c r="L302" s="65"/>
      <c r="M302" s="65"/>
      <c r="N302" s="66"/>
      <c r="O302" s="66"/>
      <c r="P302" s="33" t="str">
        <f>IFERROR(MasterData!$B304,"")</f>
        <v/>
      </c>
      <c r="Q302" s="33" t="str">
        <f>IFERROR(MasterData!$C304,"")</f>
        <v/>
      </c>
      <c r="R302" s="33" t="str">
        <f>IFERROR(MasterData!$E304,"")</f>
        <v/>
      </c>
      <c r="S302" s="33" t="str">
        <f>IFERROR(MasterData!$G304,"")</f>
        <v/>
      </c>
      <c r="T302" s="33" t="str">
        <f>IFERROR(MasterData!$I304,"")</f>
        <v/>
      </c>
    </row>
    <row r="303" ht="21.75" customHeight="1">
      <c r="A303" s="56"/>
      <c r="B303" s="58"/>
      <c r="C303" s="53"/>
      <c r="D303" s="53"/>
      <c r="E303" s="56"/>
      <c r="F303" s="53"/>
      <c r="G303" s="53"/>
      <c r="H303" s="58"/>
      <c r="I303" s="58"/>
      <c r="J303" s="58"/>
      <c r="K303" s="49"/>
      <c r="L303" s="49"/>
      <c r="M303" s="49"/>
      <c r="N303" s="53"/>
      <c r="O303" s="53"/>
      <c r="P303" s="33" t="str">
        <f>IFERROR(MasterData!$B305,"")</f>
        <v/>
      </c>
      <c r="Q303" s="33" t="str">
        <f>IFERROR(MasterData!$C305,"")</f>
        <v/>
      </c>
      <c r="R303" s="33" t="str">
        <f>IFERROR(MasterData!$E305,"")</f>
        <v/>
      </c>
      <c r="S303" s="33" t="str">
        <f>IFERROR(MasterData!$G305,"")</f>
        <v/>
      </c>
      <c r="T303" s="33" t="str">
        <f>IFERROR(MasterData!$I305,"")</f>
        <v/>
      </c>
    </row>
    <row r="304" ht="21.75" customHeight="1">
      <c r="A304" s="68"/>
      <c r="B304" s="67"/>
      <c r="C304" s="66"/>
      <c r="D304" s="66"/>
      <c r="E304" s="68"/>
      <c r="F304" s="66"/>
      <c r="G304" s="66"/>
      <c r="H304" s="67"/>
      <c r="I304" s="67"/>
      <c r="J304" s="67"/>
      <c r="K304" s="65"/>
      <c r="L304" s="65"/>
      <c r="M304" s="65"/>
      <c r="N304" s="66"/>
      <c r="O304" s="66"/>
      <c r="P304" s="33" t="str">
        <f>IFERROR(MasterData!$B306,"")</f>
        <v/>
      </c>
      <c r="Q304" s="33" t="str">
        <f>IFERROR(MasterData!$C306,"")</f>
        <v/>
      </c>
      <c r="R304" s="33" t="str">
        <f>IFERROR(MasterData!$E306,"")</f>
        <v/>
      </c>
      <c r="S304" s="33" t="str">
        <f>IFERROR(MasterData!$G306,"")</f>
        <v/>
      </c>
      <c r="T304" s="33" t="str">
        <f>IFERROR(MasterData!$I306,"")</f>
        <v/>
      </c>
    </row>
    <row r="305" ht="21.75" customHeight="1">
      <c r="A305" s="56"/>
      <c r="B305" s="58"/>
      <c r="C305" s="53"/>
      <c r="D305" s="53"/>
      <c r="E305" s="56"/>
      <c r="F305" s="53"/>
      <c r="G305" s="53"/>
      <c r="H305" s="58"/>
      <c r="I305" s="58"/>
      <c r="J305" s="58"/>
      <c r="K305" s="49"/>
      <c r="L305" s="49"/>
      <c r="M305" s="49"/>
      <c r="N305" s="53"/>
      <c r="O305" s="53"/>
      <c r="P305" s="33" t="str">
        <f>IFERROR(MasterData!$B307,"")</f>
        <v/>
      </c>
      <c r="Q305" s="33" t="str">
        <f>IFERROR(MasterData!$C307,"")</f>
        <v/>
      </c>
      <c r="R305" s="33" t="str">
        <f>IFERROR(MasterData!$E307,"")</f>
        <v/>
      </c>
      <c r="S305" s="33" t="str">
        <f>IFERROR(MasterData!$G307,"")</f>
        <v/>
      </c>
      <c r="T305" s="33" t="str">
        <f>IFERROR(MasterData!$I307,"")</f>
        <v/>
      </c>
    </row>
    <row r="306" ht="21.75" customHeight="1">
      <c r="A306" s="68"/>
      <c r="B306" s="67"/>
      <c r="C306" s="66"/>
      <c r="D306" s="66"/>
      <c r="E306" s="68"/>
      <c r="F306" s="66"/>
      <c r="G306" s="66"/>
      <c r="H306" s="67"/>
      <c r="I306" s="67"/>
      <c r="J306" s="67"/>
      <c r="K306" s="65"/>
      <c r="L306" s="65"/>
      <c r="M306" s="65"/>
      <c r="N306" s="66"/>
      <c r="O306" s="66"/>
      <c r="P306" s="33" t="str">
        <f>IFERROR(MasterData!$B308,"")</f>
        <v/>
      </c>
      <c r="Q306" s="33" t="str">
        <f>IFERROR(MasterData!$C308,"")</f>
        <v/>
      </c>
      <c r="R306" s="33" t="str">
        <f>IFERROR(MasterData!$E308,"")</f>
        <v/>
      </c>
      <c r="S306" s="33" t="str">
        <f>IFERROR(MasterData!$G308,"")</f>
        <v/>
      </c>
      <c r="T306" s="33" t="str">
        <f>IFERROR(MasterData!$I308,"")</f>
        <v/>
      </c>
    </row>
    <row r="307" ht="21.75" customHeight="1">
      <c r="A307" s="56"/>
      <c r="B307" s="58"/>
      <c r="C307" s="53"/>
      <c r="D307" s="53"/>
      <c r="E307" s="56"/>
      <c r="F307" s="53"/>
      <c r="G307" s="53"/>
      <c r="H307" s="58"/>
      <c r="I307" s="58"/>
      <c r="J307" s="58"/>
      <c r="K307" s="49"/>
      <c r="L307" s="49"/>
      <c r="M307" s="49"/>
      <c r="N307" s="53"/>
      <c r="O307" s="53"/>
      <c r="P307" s="33" t="str">
        <f>IFERROR(MasterData!$B309,"")</f>
        <v/>
      </c>
      <c r="Q307" s="33" t="str">
        <f>IFERROR(MasterData!$C309,"")</f>
        <v/>
      </c>
      <c r="R307" s="33" t="str">
        <f>IFERROR(MasterData!$E309,"")</f>
        <v/>
      </c>
      <c r="S307" s="33" t="str">
        <f>IFERROR(MasterData!$G309,"")</f>
        <v/>
      </c>
      <c r="T307" s="33" t="str">
        <f>IFERROR(MasterData!$I309,"")</f>
        <v/>
      </c>
    </row>
    <row r="308" ht="21.75" customHeight="1">
      <c r="A308" s="68"/>
      <c r="B308" s="67"/>
      <c r="C308" s="66"/>
      <c r="D308" s="66"/>
      <c r="E308" s="68"/>
      <c r="F308" s="66"/>
      <c r="G308" s="66"/>
      <c r="H308" s="67"/>
      <c r="I308" s="67"/>
      <c r="J308" s="67"/>
      <c r="K308" s="65"/>
      <c r="L308" s="65"/>
      <c r="M308" s="65"/>
      <c r="N308" s="66"/>
      <c r="O308" s="66"/>
      <c r="P308" s="33" t="str">
        <f>IFERROR(MasterData!$B310,"")</f>
        <v/>
      </c>
      <c r="Q308" s="33" t="str">
        <f>IFERROR(MasterData!$C310,"")</f>
        <v/>
      </c>
      <c r="R308" s="33" t="str">
        <f>IFERROR(MasterData!$E310,"")</f>
        <v/>
      </c>
      <c r="S308" s="33" t="str">
        <f>IFERROR(MasterData!$G310,"")</f>
        <v/>
      </c>
      <c r="T308" s="33" t="str">
        <f>IFERROR(MasterData!$I310,"")</f>
        <v/>
      </c>
    </row>
    <row r="309" ht="21.75" customHeight="1">
      <c r="A309" s="56"/>
      <c r="B309" s="58"/>
      <c r="C309" s="53"/>
      <c r="D309" s="53"/>
      <c r="E309" s="56"/>
      <c r="F309" s="53"/>
      <c r="G309" s="53"/>
      <c r="H309" s="58"/>
      <c r="I309" s="58"/>
      <c r="J309" s="58"/>
      <c r="K309" s="49"/>
      <c r="L309" s="49"/>
      <c r="M309" s="49"/>
      <c r="N309" s="53"/>
      <c r="O309" s="53"/>
      <c r="P309" s="33" t="str">
        <f>IFERROR(MasterData!$B311,"")</f>
        <v/>
      </c>
      <c r="Q309" s="33" t="str">
        <f>IFERROR(MasterData!$C311,"")</f>
        <v/>
      </c>
      <c r="R309" s="33" t="str">
        <f>IFERROR(MasterData!$E311,"")</f>
        <v/>
      </c>
      <c r="S309" s="33" t="str">
        <f>IFERROR(MasterData!$G311,"")</f>
        <v/>
      </c>
      <c r="T309" s="33" t="str">
        <f>IFERROR(MasterData!$I311,"")</f>
        <v/>
      </c>
    </row>
    <row r="310" ht="21.75" customHeight="1">
      <c r="A310" s="68"/>
      <c r="B310" s="67"/>
      <c r="C310" s="66"/>
      <c r="D310" s="66"/>
      <c r="E310" s="68"/>
      <c r="F310" s="66"/>
      <c r="G310" s="66"/>
      <c r="H310" s="67"/>
      <c r="I310" s="67"/>
      <c r="J310" s="67"/>
      <c r="K310" s="65"/>
      <c r="L310" s="65"/>
      <c r="M310" s="65"/>
      <c r="N310" s="66"/>
      <c r="O310" s="66"/>
      <c r="P310" s="33" t="str">
        <f>IFERROR(MasterData!$B312,"")</f>
        <v/>
      </c>
      <c r="Q310" s="33" t="str">
        <f>IFERROR(MasterData!$C312,"")</f>
        <v/>
      </c>
      <c r="R310" s="33" t="str">
        <f>IFERROR(MasterData!$E312,"")</f>
        <v/>
      </c>
      <c r="S310" s="33" t="str">
        <f>IFERROR(MasterData!$G312,"")</f>
        <v/>
      </c>
      <c r="T310" s="33" t="str">
        <f>IFERROR(MasterData!$I312,"")</f>
        <v/>
      </c>
    </row>
    <row r="311" ht="21.75" customHeight="1">
      <c r="A311" s="56"/>
      <c r="B311" s="58"/>
      <c r="C311" s="53"/>
      <c r="D311" s="53"/>
      <c r="E311" s="56"/>
      <c r="F311" s="53"/>
      <c r="G311" s="53"/>
      <c r="H311" s="58"/>
      <c r="I311" s="58"/>
      <c r="J311" s="58"/>
      <c r="K311" s="49"/>
      <c r="L311" s="49"/>
      <c r="M311" s="49"/>
      <c r="N311" s="53"/>
      <c r="O311" s="53"/>
      <c r="P311" s="33" t="str">
        <f>IFERROR(MasterData!$B313,"")</f>
        <v/>
      </c>
      <c r="Q311" s="33" t="str">
        <f>IFERROR(MasterData!$C313,"")</f>
        <v/>
      </c>
      <c r="R311" s="33" t="str">
        <f>IFERROR(MasterData!$E313,"")</f>
        <v/>
      </c>
      <c r="S311" s="33" t="str">
        <f>IFERROR(MasterData!$G313,"")</f>
        <v/>
      </c>
      <c r="T311" s="33" t="str">
        <f>IFERROR(MasterData!$I313,"")</f>
        <v/>
      </c>
    </row>
    <row r="312" ht="21.75" customHeight="1">
      <c r="A312" s="68"/>
      <c r="B312" s="67"/>
      <c r="C312" s="66"/>
      <c r="D312" s="66"/>
      <c r="E312" s="68"/>
      <c r="F312" s="66"/>
      <c r="G312" s="66"/>
      <c r="H312" s="67"/>
      <c r="I312" s="67"/>
      <c r="J312" s="67"/>
      <c r="K312" s="65"/>
      <c r="L312" s="65"/>
      <c r="M312" s="65"/>
      <c r="N312" s="66"/>
      <c r="O312" s="66"/>
      <c r="P312" s="33" t="str">
        <f>IFERROR(MasterData!$B314,"")</f>
        <v/>
      </c>
      <c r="Q312" s="33" t="str">
        <f>IFERROR(MasterData!$C314,"")</f>
        <v/>
      </c>
      <c r="R312" s="33" t="str">
        <f>IFERROR(MasterData!$E314,"")</f>
        <v/>
      </c>
      <c r="S312" s="33" t="str">
        <f>IFERROR(MasterData!$G314,"")</f>
        <v/>
      </c>
      <c r="T312" s="33" t="str">
        <f>IFERROR(MasterData!$I314,"")</f>
        <v/>
      </c>
    </row>
    <row r="313" ht="21.75" customHeight="1">
      <c r="A313" s="56"/>
      <c r="B313" s="58"/>
      <c r="C313" s="53"/>
      <c r="D313" s="53"/>
      <c r="E313" s="56"/>
      <c r="F313" s="53"/>
      <c r="G313" s="53"/>
      <c r="H313" s="58"/>
      <c r="I313" s="58"/>
      <c r="J313" s="58"/>
      <c r="K313" s="49"/>
      <c r="L313" s="49"/>
      <c r="M313" s="49"/>
      <c r="N313" s="53"/>
      <c r="O313" s="53"/>
      <c r="P313" s="33" t="str">
        <f>IFERROR(MasterData!$B315,"")</f>
        <v/>
      </c>
      <c r="Q313" s="33" t="str">
        <f>IFERROR(MasterData!$C315,"")</f>
        <v/>
      </c>
      <c r="R313" s="33" t="str">
        <f>IFERROR(MasterData!$E315,"")</f>
        <v/>
      </c>
      <c r="S313" s="33" t="str">
        <f>IFERROR(MasterData!$G315,"")</f>
        <v/>
      </c>
      <c r="T313" s="33" t="str">
        <f>IFERROR(MasterData!$I315,"")</f>
        <v/>
      </c>
    </row>
    <row r="314" ht="21.75" customHeight="1">
      <c r="A314" s="68"/>
      <c r="B314" s="67"/>
      <c r="C314" s="66"/>
      <c r="D314" s="66"/>
      <c r="E314" s="68"/>
      <c r="F314" s="66"/>
      <c r="G314" s="66"/>
      <c r="H314" s="67"/>
      <c r="I314" s="67"/>
      <c r="J314" s="67"/>
      <c r="K314" s="65"/>
      <c r="L314" s="65"/>
      <c r="M314" s="65"/>
      <c r="N314" s="66"/>
      <c r="O314" s="66"/>
      <c r="P314" s="33" t="str">
        <f>IFERROR(MasterData!$B316,"")</f>
        <v/>
      </c>
      <c r="Q314" s="33" t="str">
        <f>IFERROR(MasterData!$C316,"")</f>
        <v/>
      </c>
      <c r="R314" s="33" t="str">
        <f>IFERROR(MasterData!$E316,"")</f>
        <v/>
      </c>
      <c r="S314" s="33" t="str">
        <f>IFERROR(MasterData!$G316,"")</f>
        <v/>
      </c>
      <c r="T314" s="33" t="str">
        <f>IFERROR(MasterData!$I316,"")</f>
        <v/>
      </c>
    </row>
    <row r="315" ht="21.75" customHeight="1">
      <c r="A315" s="56"/>
      <c r="B315" s="58"/>
      <c r="C315" s="53"/>
      <c r="D315" s="53"/>
      <c r="E315" s="56"/>
      <c r="F315" s="53"/>
      <c r="G315" s="53"/>
      <c r="H315" s="58"/>
      <c r="I315" s="58"/>
      <c r="J315" s="58"/>
      <c r="K315" s="49"/>
      <c r="L315" s="49"/>
      <c r="M315" s="49"/>
      <c r="N315" s="53"/>
      <c r="O315" s="53"/>
      <c r="P315" s="33" t="str">
        <f>IFERROR(MasterData!$B317,"")</f>
        <v/>
      </c>
      <c r="Q315" s="33" t="str">
        <f>IFERROR(MasterData!$C317,"")</f>
        <v/>
      </c>
      <c r="R315" s="33" t="str">
        <f>IFERROR(MasterData!$E317,"")</f>
        <v/>
      </c>
      <c r="S315" s="33" t="str">
        <f>IFERROR(MasterData!$G317,"")</f>
        <v/>
      </c>
      <c r="T315" s="33" t="str">
        <f>IFERROR(MasterData!$I317,"")</f>
        <v/>
      </c>
    </row>
    <row r="316" ht="21.75" customHeight="1">
      <c r="A316" s="68"/>
      <c r="B316" s="67"/>
      <c r="C316" s="66"/>
      <c r="D316" s="66"/>
      <c r="E316" s="68"/>
      <c r="F316" s="66"/>
      <c r="G316" s="66"/>
      <c r="H316" s="67"/>
      <c r="I316" s="67"/>
      <c r="J316" s="67"/>
      <c r="K316" s="65"/>
      <c r="L316" s="65"/>
      <c r="M316" s="65"/>
      <c r="N316" s="66"/>
      <c r="O316" s="66"/>
      <c r="P316" s="33" t="str">
        <f>IFERROR(MasterData!$B318,"")</f>
        <v/>
      </c>
      <c r="Q316" s="33" t="str">
        <f>IFERROR(MasterData!$C318,"")</f>
        <v/>
      </c>
      <c r="R316" s="33" t="str">
        <f>IFERROR(MasterData!$E318,"")</f>
        <v/>
      </c>
      <c r="S316" s="33" t="str">
        <f>IFERROR(MasterData!$G318,"")</f>
        <v/>
      </c>
      <c r="T316" s="33" t="str">
        <f>IFERROR(MasterData!$I318,"")</f>
        <v/>
      </c>
    </row>
    <row r="317" ht="21.75" customHeight="1">
      <c r="A317" s="56"/>
      <c r="B317" s="58"/>
      <c r="C317" s="53"/>
      <c r="D317" s="53"/>
      <c r="E317" s="56"/>
      <c r="F317" s="53"/>
      <c r="G317" s="53"/>
      <c r="H317" s="58"/>
      <c r="I317" s="58"/>
      <c r="J317" s="58"/>
      <c r="K317" s="49"/>
      <c r="L317" s="49"/>
      <c r="M317" s="49"/>
      <c r="N317" s="53"/>
      <c r="O317" s="53"/>
      <c r="P317" s="33" t="str">
        <f>IFERROR(MasterData!$B319,"")</f>
        <v/>
      </c>
      <c r="Q317" s="33" t="str">
        <f>IFERROR(MasterData!$C319,"")</f>
        <v/>
      </c>
      <c r="R317" s="33" t="str">
        <f>IFERROR(MasterData!$E319,"")</f>
        <v/>
      </c>
      <c r="S317" s="33" t="str">
        <f>IFERROR(MasterData!$G319,"")</f>
        <v/>
      </c>
      <c r="T317" s="33" t="str">
        <f>IFERROR(MasterData!$I319,"")</f>
        <v/>
      </c>
    </row>
    <row r="318" ht="21.75" customHeight="1">
      <c r="A318" s="68"/>
      <c r="B318" s="67"/>
      <c r="C318" s="66"/>
      <c r="D318" s="66"/>
      <c r="E318" s="68"/>
      <c r="F318" s="66"/>
      <c r="G318" s="66"/>
      <c r="H318" s="67"/>
      <c r="I318" s="67"/>
      <c r="J318" s="67"/>
      <c r="K318" s="65"/>
      <c r="L318" s="65"/>
      <c r="M318" s="65"/>
      <c r="N318" s="66"/>
      <c r="O318" s="66"/>
      <c r="P318" s="33" t="str">
        <f>IFERROR(MasterData!$B320,"")</f>
        <v/>
      </c>
      <c r="Q318" s="33" t="str">
        <f>IFERROR(MasterData!$C320,"")</f>
        <v/>
      </c>
      <c r="R318" s="33" t="str">
        <f>IFERROR(MasterData!$E320,"")</f>
        <v/>
      </c>
      <c r="S318" s="33" t="str">
        <f>IFERROR(MasterData!$G320,"")</f>
        <v/>
      </c>
      <c r="T318" s="33" t="str">
        <f>IFERROR(MasterData!$I320,"")</f>
        <v/>
      </c>
    </row>
    <row r="319" ht="21.75" customHeight="1">
      <c r="A319" s="56"/>
      <c r="B319" s="58"/>
      <c r="C319" s="53"/>
      <c r="D319" s="53"/>
      <c r="E319" s="56"/>
      <c r="F319" s="53"/>
      <c r="G319" s="53"/>
      <c r="H319" s="58"/>
      <c r="I319" s="58"/>
      <c r="J319" s="58"/>
      <c r="K319" s="49"/>
      <c r="L319" s="49"/>
      <c r="M319" s="49"/>
      <c r="N319" s="53"/>
      <c r="O319" s="53"/>
      <c r="P319" s="33" t="str">
        <f>IFERROR(MasterData!$B321,"")</f>
        <v/>
      </c>
      <c r="Q319" s="33" t="str">
        <f>IFERROR(MasterData!$C321,"")</f>
        <v/>
      </c>
      <c r="R319" s="33" t="str">
        <f>IFERROR(MasterData!$E321,"")</f>
        <v/>
      </c>
      <c r="S319" s="33" t="str">
        <f>IFERROR(MasterData!$G321,"")</f>
        <v/>
      </c>
      <c r="T319" s="33" t="str">
        <f>IFERROR(MasterData!$I321,"")</f>
        <v/>
      </c>
    </row>
    <row r="320" ht="21.75" customHeight="1">
      <c r="A320" s="68"/>
      <c r="B320" s="67"/>
      <c r="C320" s="66"/>
      <c r="D320" s="66"/>
      <c r="E320" s="68"/>
      <c r="F320" s="66"/>
      <c r="G320" s="66"/>
      <c r="H320" s="67"/>
      <c r="I320" s="67"/>
      <c r="J320" s="67"/>
      <c r="K320" s="65"/>
      <c r="L320" s="65"/>
      <c r="M320" s="65"/>
      <c r="N320" s="66"/>
      <c r="O320" s="66"/>
      <c r="P320" s="33" t="str">
        <f>IFERROR(MasterData!$B322,"")</f>
        <v/>
      </c>
      <c r="Q320" s="33" t="str">
        <f>IFERROR(MasterData!$C322,"")</f>
        <v/>
      </c>
      <c r="R320" s="33" t="str">
        <f>IFERROR(MasterData!$E322,"")</f>
        <v/>
      </c>
      <c r="S320" s="33" t="str">
        <f>IFERROR(MasterData!$G322,"")</f>
        <v/>
      </c>
      <c r="T320" s="33" t="str">
        <f>IFERROR(MasterData!$I322,"")</f>
        <v/>
      </c>
    </row>
    <row r="321" ht="21.75" customHeight="1">
      <c r="A321" s="56"/>
      <c r="B321" s="58"/>
      <c r="C321" s="53"/>
      <c r="D321" s="53"/>
      <c r="E321" s="56"/>
      <c r="F321" s="53"/>
      <c r="G321" s="53"/>
      <c r="H321" s="58"/>
      <c r="I321" s="58"/>
      <c r="J321" s="58"/>
      <c r="K321" s="49"/>
      <c r="L321" s="49"/>
      <c r="M321" s="49"/>
      <c r="N321" s="53"/>
      <c r="O321" s="53"/>
      <c r="P321" s="33" t="str">
        <f>IFERROR(MasterData!$B323,"")</f>
        <v/>
      </c>
      <c r="Q321" s="33" t="str">
        <f>IFERROR(MasterData!$C323,"")</f>
        <v/>
      </c>
      <c r="R321" s="33" t="str">
        <f>IFERROR(MasterData!$E323,"")</f>
        <v/>
      </c>
      <c r="S321" s="33" t="str">
        <f>IFERROR(MasterData!$G323,"")</f>
        <v/>
      </c>
      <c r="T321" s="33" t="str">
        <f>IFERROR(MasterData!$I323,"")</f>
        <v/>
      </c>
    </row>
    <row r="322" ht="21.75" customHeight="1">
      <c r="A322" s="68"/>
      <c r="B322" s="67"/>
      <c r="C322" s="66"/>
      <c r="D322" s="66"/>
      <c r="E322" s="68"/>
      <c r="F322" s="66"/>
      <c r="G322" s="66"/>
      <c r="H322" s="67"/>
      <c r="I322" s="67"/>
      <c r="J322" s="67"/>
      <c r="K322" s="65"/>
      <c r="L322" s="65"/>
      <c r="M322" s="65"/>
      <c r="N322" s="66"/>
      <c r="O322" s="66"/>
      <c r="P322" s="33" t="str">
        <f>IFERROR(MasterData!$B324,"")</f>
        <v/>
      </c>
      <c r="Q322" s="33" t="str">
        <f>IFERROR(MasterData!$C324,"")</f>
        <v/>
      </c>
      <c r="R322" s="33" t="str">
        <f>IFERROR(MasterData!$E324,"")</f>
        <v/>
      </c>
      <c r="S322" s="33" t="str">
        <f>IFERROR(MasterData!$G324,"")</f>
        <v/>
      </c>
      <c r="T322" s="33" t="str">
        <f>IFERROR(MasterData!$I324,"")</f>
        <v/>
      </c>
    </row>
    <row r="323" ht="21.75" customHeight="1">
      <c r="A323" s="56"/>
      <c r="B323" s="58"/>
      <c r="C323" s="53"/>
      <c r="D323" s="53"/>
      <c r="E323" s="56"/>
      <c r="F323" s="53"/>
      <c r="G323" s="53"/>
      <c r="H323" s="58"/>
      <c r="I323" s="58"/>
      <c r="J323" s="58"/>
      <c r="K323" s="49"/>
      <c r="L323" s="49"/>
      <c r="M323" s="49"/>
      <c r="N323" s="53"/>
      <c r="O323" s="53"/>
      <c r="P323" s="33" t="str">
        <f>IFERROR(MasterData!$B325,"")</f>
        <v/>
      </c>
      <c r="Q323" s="33" t="str">
        <f>IFERROR(MasterData!$C325,"")</f>
        <v/>
      </c>
      <c r="R323" s="33" t="str">
        <f>IFERROR(MasterData!$E325,"")</f>
        <v/>
      </c>
      <c r="S323" s="33" t="str">
        <f>IFERROR(MasterData!$G325,"")</f>
        <v/>
      </c>
      <c r="T323" s="33" t="str">
        <f>IFERROR(MasterData!$I325,"")</f>
        <v/>
      </c>
    </row>
    <row r="324" ht="21.75" customHeight="1">
      <c r="A324" s="68"/>
      <c r="B324" s="67"/>
      <c r="C324" s="66"/>
      <c r="D324" s="66"/>
      <c r="E324" s="68"/>
      <c r="F324" s="66"/>
      <c r="G324" s="66"/>
      <c r="H324" s="67"/>
      <c r="I324" s="67"/>
      <c r="J324" s="67"/>
      <c r="K324" s="65"/>
      <c r="L324" s="65"/>
      <c r="M324" s="65"/>
      <c r="N324" s="66"/>
      <c r="O324" s="66"/>
      <c r="P324" s="33" t="str">
        <f>IFERROR(MasterData!$B326,"")</f>
        <v/>
      </c>
      <c r="Q324" s="33" t="str">
        <f>IFERROR(MasterData!$C326,"")</f>
        <v/>
      </c>
      <c r="R324" s="33" t="str">
        <f>IFERROR(MasterData!$E326,"")</f>
        <v/>
      </c>
      <c r="S324" s="33" t="str">
        <f>IFERROR(MasterData!$G326,"")</f>
        <v/>
      </c>
      <c r="T324" s="33" t="str">
        <f>IFERROR(MasterData!$I326,"")</f>
        <v/>
      </c>
    </row>
    <row r="325" ht="21.75" customHeight="1">
      <c r="A325" s="56"/>
      <c r="B325" s="58"/>
      <c r="C325" s="53"/>
      <c r="D325" s="53"/>
      <c r="E325" s="56"/>
      <c r="F325" s="53"/>
      <c r="G325" s="53"/>
      <c r="H325" s="58"/>
      <c r="I325" s="58"/>
      <c r="J325" s="58"/>
      <c r="K325" s="49"/>
      <c r="L325" s="49"/>
      <c r="M325" s="49"/>
      <c r="N325" s="53"/>
      <c r="O325" s="53"/>
      <c r="P325" s="33" t="str">
        <f>IFERROR(MasterData!$B327,"")</f>
        <v/>
      </c>
      <c r="Q325" s="33" t="str">
        <f>IFERROR(MasterData!$C327,"")</f>
        <v/>
      </c>
      <c r="R325" s="33" t="str">
        <f>IFERROR(MasterData!$E327,"")</f>
        <v/>
      </c>
      <c r="S325" s="33" t="str">
        <f>IFERROR(MasterData!$G327,"")</f>
        <v/>
      </c>
      <c r="T325" s="33" t="str">
        <f>IFERROR(MasterData!$I327,"")</f>
        <v/>
      </c>
    </row>
    <row r="326" ht="21.75" customHeight="1">
      <c r="A326" s="68"/>
      <c r="B326" s="67"/>
      <c r="C326" s="66"/>
      <c r="D326" s="66"/>
      <c r="E326" s="68"/>
      <c r="F326" s="66"/>
      <c r="G326" s="66"/>
      <c r="H326" s="67"/>
      <c r="I326" s="67"/>
      <c r="J326" s="67"/>
      <c r="K326" s="65"/>
      <c r="L326" s="65"/>
      <c r="M326" s="65"/>
      <c r="N326" s="66"/>
      <c r="O326" s="66"/>
      <c r="P326" s="33" t="str">
        <f>IFERROR(MasterData!$B328,"")</f>
        <v/>
      </c>
      <c r="Q326" s="33" t="str">
        <f>IFERROR(MasterData!$C328,"")</f>
        <v/>
      </c>
      <c r="R326" s="33" t="str">
        <f>IFERROR(MasterData!$E328,"")</f>
        <v/>
      </c>
      <c r="S326" s="33" t="str">
        <f>IFERROR(MasterData!$G328,"")</f>
        <v/>
      </c>
      <c r="T326" s="33" t="str">
        <f>IFERROR(MasterData!$I328,"")</f>
        <v/>
      </c>
    </row>
    <row r="327" ht="21.75" customHeight="1">
      <c r="A327" s="56"/>
      <c r="B327" s="58"/>
      <c r="C327" s="53"/>
      <c r="D327" s="53"/>
      <c r="E327" s="56"/>
      <c r="F327" s="53"/>
      <c r="G327" s="53"/>
      <c r="H327" s="58"/>
      <c r="I327" s="58"/>
      <c r="J327" s="58"/>
      <c r="K327" s="49"/>
      <c r="L327" s="49"/>
      <c r="M327" s="49"/>
      <c r="N327" s="53"/>
      <c r="O327" s="53"/>
      <c r="P327" s="33" t="str">
        <f>IFERROR(MasterData!$B329,"")</f>
        <v/>
      </c>
      <c r="Q327" s="33" t="str">
        <f>IFERROR(MasterData!$C329,"")</f>
        <v/>
      </c>
      <c r="R327" s="33" t="str">
        <f>IFERROR(MasterData!$E329,"")</f>
        <v/>
      </c>
      <c r="S327" s="33" t="str">
        <f>IFERROR(MasterData!$G329,"")</f>
        <v/>
      </c>
      <c r="T327" s="33" t="str">
        <f>IFERROR(MasterData!$I329,"")</f>
        <v/>
      </c>
    </row>
    <row r="328" ht="21.75" customHeight="1">
      <c r="A328" s="68"/>
      <c r="B328" s="67"/>
      <c r="C328" s="66"/>
      <c r="D328" s="66"/>
      <c r="E328" s="68"/>
      <c r="F328" s="66"/>
      <c r="G328" s="66"/>
      <c r="H328" s="67"/>
      <c r="I328" s="67"/>
      <c r="J328" s="67"/>
      <c r="K328" s="65"/>
      <c r="L328" s="65"/>
      <c r="M328" s="65"/>
      <c r="N328" s="66"/>
      <c r="O328" s="66"/>
      <c r="P328" s="33" t="str">
        <f>IFERROR(MasterData!$B330,"")</f>
        <v/>
      </c>
      <c r="Q328" s="33" t="str">
        <f>IFERROR(MasterData!$C330,"")</f>
        <v/>
      </c>
      <c r="R328" s="33" t="str">
        <f>IFERROR(MasterData!$E330,"")</f>
        <v/>
      </c>
      <c r="S328" s="33" t="str">
        <f>IFERROR(MasterData!$G330,"")</f>
        <v/>
      </c>
      <c r="T328" s="33" t="str">
        <f>IFERROR(MasterData!$I330,"")</f>
        <v/>
      </c>
    </row>
    <row r="329" ht="21.75" customHeight="1">
      <c r="A329" s="56"/>
      <c r="B329" s="58"/>
      <c r="C329" s="53"/>
      <c r="D329" s="53"/>
      <c r="E329" s="56"/>
      <c r="F329" s="53"/>
      <c r="G329" s="53"/>
      <c r="H329" s="58"/>
      <c r="I329" s="58"/>
      <c r="J329" s="58"/>
      <c r="K329" s="49"/>
      <c r="L329" s="49"/>
      <c r="M329" s="49"/>
      <c r="N329" s="53"/>
      <c r="O329" s="53"/>
      <c r="P329" s="33" t="str">
        <f>IFERROR(MasterData!$B331,"")</f>
        <v/>
      </c>
      <c r="Q329" s="33" t="str">
        <f>IFERROR(MasterData!$C331,"")</f>
        <v/>
      </c>
      <c r="R329" s="33" t="str">
        <f>IFERROR(MasterData!$E331,"")</f>
        <v/>
      </c>
      <c r="S329" s="33" t="str">
        <f>IFERROR(MasterData!$G331,"")</f>
        <v/>
      </c>
      <c r="T329" s="33" t="str">
        <f>IFERROR(MasterData!$I331,"")</f>
        <v/>
      </c>
    </row>
    <row r="330" ht="21.75" customHeight="1">
      <c r="A330" s="68"/>
      <c r="B330" s="67"/>
      <c r="C330" s="66"/>
      <c r="D330" s="66"/>
      <c r="E330" s="68"/>
      <c r="F330" s="66"/>
      <c r="G330" s="66"/>
      <c r="H330" s="67"/>
      <c r="I330" s="67"/>
      <c r="J330" s="67"/>
      <c r="K330" s="65"/>
      <c r="L330" s="65"/>
      <c r="M330" s="65"/>
      <c r="N330" s="66"/>
      <c r="O330" s="66"/>
      <c r="P330" s="33" t="str">
        <f>IFERROR(MasterData!$B332,"")</f>
        <v/>
      </c>
      <c r="Q330" s="33" t="str">
        <f>IFERROR(MasterData!$C332,"")</f>
        <v/>
      </c>
      <c r="R330" s="33" t="str">
        <f>IFERROR(MasterData!$E332,"")</f>
        <v/>
      </c>
      <c r="S330" s="33" t="str">
        <f>IFERROR(MasterData!$G332,"")</f>
        <v/>
      </c>
      <c r="T330" s="33" t="str">
        <f>IFERROR(MasterData!$I332,"")</f>
        <v/>
      </c>
    </row>
    <row r="331" ht="21.75" customHeight="1">
      <c r="A331" s="56"/>
      <c r="B331" s="58"/>
      <c r="C331" s="53"/>
      <c r="D331" s="53"/>
      <c r="E331" s="56"/>
      <c r="F331" s="53"/>
      <c r="G331" s="53"/>
      <c r="H331" s="58"/>
      <c r="I331" s="58"/>
      <c r="J331" s="58"/>
      <c r="K331" s="49"/>
      <c r="L331" s="49"/>
      <c r="M331" s="49"/>
      <c r="N331" s="53"/>
      <c r="O331" s="53"/>
      <c r="P331" s="33" t="str">
        <f>IFERROR(MasterData!$B333,"")</f>
        <v/>
      </c>
      <c r="Q331" s="33" t="str">
        <f>IFERROR(MasterData!$C333,"")</f>
        <v/>
      </c>
      <c r="R331" s="33" t="str">
        <f>IFERROR(MasterData!$E333,"")</f>
        <v/>
      </c>
      <c r="S331" s="33" t="str">
        <f>IFERROR(MasterData!$G333,"")</f>
        <v/>
      </c>
      <c r="T331" s="33" t="str">
        <f>IFERROR(MasterData!$I333,"")</f>
        <v/>
      </c>
    </row>
    <row r="332" ht="21.75" customHeight="1">
      <c r="A332" s="68"/>
      <c r="B332" s="67"/>
      <c r="C332" s="66"/>
      <c r="D332" s="66"/>
      <c r="E332" s="68"/>
      <c r="F332" s="66"/>
      <c r="G332" s="66"/>
      <c r="H332" s="67"/>
      <c r="I332" s="67"/>
      <c r="J332" s="67"/>
      <c r="K332" s="65"/>
      <c r="L332" s="65"/>
      <c r="M332" s="65"/>
      <c r="N332" s="66"/>
      <c r="O332" s="66"/>
      <c r="P332" s="33" t="str">
        <f>IFERROR(MasterData!$B334,"")</f>
        <v/>
      </c>
      <c r="Q332" s="33" t="str">
        <f>IFERROR(MasterData!$C334,"")</f>
        <v/>
      </c>
      <c r="R332" s="33" t="str">
        <f>IFERROR(MasterData!$E334,"")</f>
        <v/>
      </c>
      <c r="S332" s="33" t="str">
        <f>IFERROR(MasterData!$G334,"")</f>
        <v/>
      </c>
      <c r="T332" s="33" t="str">
        <f>IFERROR(MasterData!$I334,"")</f>
        <v/>
      </c>
    </row>
    <row r="333" ht="21.75" customHeight="1">
      <c r="A333" s="56"/>
      <c r="B333" s="58"/>
      <c r="C333" s="53"/>
      <c r="D333" s="53"/>
      <c r="E333" s="56"/>
      <c r="F333" s="53"/>
      <c r="G333" s="53"/>
      <c r="H333" s="58"/>
      <c r="I333" s="58"/>
      <c r="J333" s="58"/>
      <c r="K333" s="49"/>
      <c r="L333" s="49"/>
      <c r="M333" s="49"/>
      <c r="N333" s="53"/>
      <c r="O333" s="53"/>
      <c r="P333" s="33" t="str">
        <f>IFERROR(MasterData!$B335,"")</f>
        <v/>
      </c>
      <c r="Q333" s="33" t="str">
        <f>IFERROR(MasterData!$C335,"")</f>
        <v/>
      </c>
      <c r="R333" s="33" t="str">
        <f>IFERROR(MasterData!$E335,"")</f>
        <v/>
      </c>
      <c r="S333" s="33" t="str">
        <f>IFERROR(MasterData!$G335,"")</f>
        <v/>
      </c>
      <c r="T333" s="33" t="str">
        <f>IFERROR(MasterData!$I335,"")</f>
        <v/>
      </c>
    </row>
    <row r="334" ht="21.75" customHeight="1">
      <c r="A334" s="68"/>
      <c r="B334" s="67"/>
      <c r="C334" s="66"/>
      <c r="D334" s="66"/>
      <c r="E334" s="68"/>
      <c r="F334" s="66"/>
      <c r="G334" s="66"/>
      <c r="H334" s="67"/>
      <c r="I334" s="67"/>
      <c r="J334" s="67"/>
      <c r="K334" s="65"/>
      <c r="L334" s="65"/>
      <c r="M334" s="65"/>
      <c r="N334" s="66"/>
      <c r="O334" s="66"/>
      <c r="P334" s="33" t="str">
        <f>IFERROR(MasterData!$B336,"")</f>
        <v/>
      </c>
      <c r="Q334" s="33" t="str">
        <f>IFERROR(MasterData!$C336,"")</f>
        <v/>
      </c>
      <c r="R334" s="33" t="str">
        <f>IFERROR(MasterData!$E336,"")</f>
        <v/>
      </c>
      <c r="S334" s="33" t="str">
        <f>IFERROR(MasterData!$G336,"")</f>
        <v/>
      </c>
      <c r="T334" s="33" t="str">
        <f>IFERROR(MasterData!$I336,"")</f>
        <v/>
      </c>
    </row>
    <row r="335" ht="21.75" customHeight="1">
      <c r="A335" s="56"/>
      <c r="B335" s="58"/>
      <c r="C335" s="53"/>
      <c r="D335" s="53"/>
      <c r="E335" s="56"/>
      <c r="F335" s="53"/>
      <c r="G335" s="53"/>
      <c r="H335" s="58"/>
      <c r="I335" s="58"/>
      <c r="J335" s="58"/>
      <c r="K335" s="49"/>
      <c r="L335" s="49"/>
      <c r="M335" s="49"/>
      <c r="N335" s="53"/>
      <c r="O335" s="53"/>
      <c r="P335" s="33" t="str">
        <f>IFERROR(MasterData!$B337,"")</f>
        <v/>
      </c>
      <c r="Q335" s="33" t="str">
        <f>IFERROR(MasterData!$C337,"")</f>
        <v/>
      </c>
      <c r="R335" s="33" t="str">
        <f>IFERROR(MasterData!$E337,"")</f>
        <v/>
      </c>
      <c r="S335" s="33" t="str">
        <f>IFERROR(MasterData!$G337,"")</f>
        <v/>
      </c>
      <c r="T335" s="33" t="str">
        <f>IFERROR(MasterData!$I337,"")</f>
        <v/>
      </c>
    </row>
    <row r="336" ht="21.75" customHeight="1">
      <c r="A336" s="68"/>
      <c r="B336" s="67"/>
      <c r="C336" s="66"/>
      <c r="D336" s="66"/>
      <c r="E336" s="68"/>
      <c r="F336" s="66"/>
      <c r="G336" s="66"/>
      <c r="H336" s="67"/>
      <c r="I336" s="67"/>
      <c r="J336" s="67"/>
      <c r="K336" s="65"/>
      <c r="L336" s="65"/>
      <c r="M336" s="65"/>
      <c r="N336" s="66"/>
      <c r="O336" s="66"/>
      <c r="P336" s="33" t="str">
        <f>IFERROR(MasterData!$B338,"")</f>
        <v/>
      </c>
      <c r="Q336" s="33" t="str">
        <f>IFERROR(MasterData!$C338,"")</f>
        <v/>
      </c>
      <c r="R336" s="33" t="str">
        <f>IFERROR(MasterData!$E338,"")</f>
        <v/>
      </c>
      <c r="S336" s="33" t="str">
        <f>IFERROR(MasterData!$G338,"")</f>
        <v/>
      </c>
      <c r="T336" s="33" t="str">
        <f>IFERROR(MasterData!$I338,"")</f>
        <v/>
      </c>
    </row>
    <row r="337" ht="21.75" customHeight="1">
      <c r="A337" s="56"/>
      <c r="B337" s="58"/>
      <c r="C337" s="53"/>
      <c r="D337" s="53"/>
      <c r="E337" s="56"/>
      <c r="F337" s="53"/>
      <c r="G337" s="53"/>
      <c r="H337" s="58"/>
      <c r="I337" s="58"/>
      <c r="J337" s="58"/>
      <c r="K337" s="49"/>
      <c r="L337" s="49"/>
      <c r="M337" s="49"/>
      <c r="N337" s="53"/>
      <c r="O337" s="53"/>
      <c r="P337" s="33" t="str">
        <f>IFERROR(MasterData!$B339,"")</f>
        <v/>
      </c>
      <c r="Q337" s="33" t="str">
        <f>IFERROR(MasterData!$C339,"")</f>
        <v/>
      </c>
      <c r="R337" s="33" t="str">
        <f>IFERROR(MasterData!$E339,"")</f>
        <v/>
      </c>
      <c r="S337" s="33" t="str">
        <f>IFERROR(MasterData!$G339,"")</f>
        <v/>
      </c>
      <c r="T337" s="33" t="str">
        <f>IFERROR(MasterData!$I339,"")</f>
        <v/>
      </c>
    </row>
    <row r="338" ht="21.75" customHeight="1">
      <c r="A338" s="68"/>
      <c r="B338" s="67"/>
      <c r="C338" s="66"/>
      <c r="D338" s="66"/>
      <c r="E338" s="68"/>
      <c r="F338" s="66"/>
      <c r="G338" s="66"/>
      <c r="H338" s="67"/>
      <c r="I338" s="67"/>
      <c r="J338" s="67"/>
      <c r="K338" s="65"/>
      <c r="L338" s="65"/>
      <c r="M338" s="65"/>
      <c r="N338" s="66"/>
      <c r="O338" s="66"/>
      <c r="P338" s="33" t="str">
        <f>IFERROR(MasterData!$B340,"")</f>
        <v/>
      </c>
      <c r="Q338" s="33" t="str">
        <f>IFERROR(MasterData!$C340,"")</f>
        <v/>
      </c>
      <c r="R338" s="33" t="str">
        <f>IFERROR(MasterData!$E340,"")</f>
        <v/>
      </c>
      <c r="S338" s="33" t="str">
        <f>IFERROR(MasterData!$G340,"")</f>
        <v/>
      </c>
      <c r="T338" s="33" t="str">
        <f>IFERROR(MasterData!$I340,"")</f>
        <v/>
      </c>
    </row>
    <row r="339" ht="21.75" customHeight="1">
      <c r="A339" s="56"/>
      <c r="B339" s="58"/>
      <c r="C339" s="53"/>
      <c r="D339" s="53"/>
      <c r="E339" s="56"/>
      <c r="F339" s="53"/>
      <c r="G339" s="53"/>
      <c r="H339" s="58"/>
      <c r="I339" s="58"/>
      <c r="J339" s="58"/>
      <c r="K339" s="49"/>
      <c r="L339" s="49"/>
      <c r="M339" s="49"/>
      <c r="N339" s="53"/>
      <c r="O339" s="53"/>
      <c r="P339" s="33" t="str">
        <f>IFERROR(MasterData!$B341,"")</f>
        <v/>
      </c>
      <c r="Q339" s="33" t="str">
        <f>IFERROR(MasterData!$C341,"")</f>
        <v/>
      </c>
      <c r="R339" s="33" t="str">
        <f>IFERROR(MasterData!$E341,"")</f>
        <v/>
      </c>
      <c r="S339" s="33" t="str">
        <f>IFERROR(MasterData!$G341,"")</f>
        <v/>
      </c>
      <c r="T339" s="33" t="str">
        <f>IFERROR(MasterData!$I341,"")</f>
        <v/>
      </c>
    </row>
    <row r="340" ht="21.75" customHeight="1">
      <c r="A340" s="68"/>
      <c r="B340" s="67"/>
      <c r="C340" s="66"/>
      <c r="D340" s="66"/>
      <c r="E340" s="68"/>
      <c r="F340" s="66"/>
      <c r="G340" s="66"/>
      <c r="H340" s="67"/>
      <c r="I340" s="67"/>
      <c r="J340" s="67"/>
      <c r="K340" s="65"/>
      <c r="L340" s="65"/>
      <c r="M340" s="65"/>
      <c r="N340" s="66"/>
      <c r="O340" s="66"/>
      <c r="P340" s="33" t="str">
        <f>IFERROR(MasterData!$B342,"")</f>
        <v/>
      </c>
      <c r="Q340" s="33" t="str">
        <f>IFERROR(MasterData!$C342,"")</f>
        <v/>
      </c>
      <c r="R340" s="33" t="str">
        <f>IFERROR(MasterData!$E342,"")</f>
        <v/>
      </c>
      <c r="S340" s="33" t="str">
        <f>IFERROR(MasterData!$G342,"")</f>
        <v/>
      </c>
      <c r="T340" s="33" t="str">
        <f>IFERROR(MasterData!$I342,"")</f>
        <v/>
      </c>
    </row>
    <row r="341" ht="21.75" customHeight="1">
      <c r="A341" s="56"/>
      <c r="B341" s="58"/>
      <c r="C341" s="53"/>
      <c r="D341" s="53"/>
      <c r="E341" s="56"/>
      <c r="F341" s="53"/>
      <c r="G341" s="53"/>
      <c r="H341" s="58"/>
      <c r="I341" s="58"/>
      <c r="J341" s="58"/>
      <c r="K341" s="49"/>
      <c r="L341" s="49"/>
      <c r="M341" s="49"/>
      <c r="N341" s="53"/>
      <c r="O341" s="53"/>
      <c r="P341" s="33" t="str">
        <f>IFERROR(MasterData!$B343,"")</f>
        <v/>
      </c>
      <c r="Q341" s="33" t="str">
        <f>IFERROR(MasterData!$C343,"")</f>
        <v/>
      </c>
      <c r="R341" s="33" t="str">
        <f>IFERROR(MasterData!$E343,"")</f>
        <v/>
      </c>
      <c r="S341" s="33" t="str">
        <f>IFERROR(MasterData!$G343,"")</f>
        <v/>
      </c>
      <c r="T341" s="33" t="str">
        <f>IFERROR(MasterData!$I343,"")</f>
        <v/>
      </c>
    </row>
    <row r="342" ht="21.75" customHeight="1">
      <c r="A342" s="68"/>
      <c r="B342" s="67"/>
      <c r="C342" s="66"/>
      <c r="D342" s="66"/>
      <c r="E342" s="68"/>
      <c r="F342" s="66"/>
      <c r="G342" s="66"/>
      <c r="H342" s="67"/>
      <c r="I342" s="67"/>
      <c r="J342" s="67"/>
      <c r="K342" s="65"/>
      <c r="L342" s="65"/>
      <c r="M342" s="65"/>
      <c r="N342" s="66"/>
      <c r="O342" s="66"/>
      <c r="P342" s="33" t="str">
        <f>IFERROR(MasterData!$B344,"")</f>
        <v/>
      </c>
      <c r="Q342" s="33" t="str">
        <f>IFERROR(MasterData!$C344,"")</f>
        <v/>
      </c>
      <c r="R342" s="33" t="str">
        <f>IFERROR(MasterData!$E344,"")</f>
        <v/>
      </c>
      <c r="S342" s="33" t="str">
        <f>IFERROR(MasterData!$G344,"")</f>
        <v/>
      </c>
      <c r="T342" s="33" t="str">
        <f>IFERROR(MasterData!$I344,"")</f>
        <v/>
      </c>
    </row>
    <row r="343" ht="21.75" customHeight="1">
      <c r="A343" s="56"/>
      <c r="B343" s="58"/>
      <c r="C343" s="53"/>
      <c r="D343" s="53"/>
      <c r="E343" s="56"/>
      <c r="F343" s="53"/>
      <c r="G343" s="53"/>
      <c r="H343" s="58"/>
      <c r="I343" s="58"/>
      <c r="J343" s="58"/>
      <c r="K343" s="49"/>
      <c r="L343" s="49"/>
      <c r="M343" s="49"/>
      <c r="N343" s="53"/>
      <c r="O343" s="53"/>
      <c r="P343" s="33" t="str">
        <f>IFERROR(MasterData!$B345,"")</f>
        <v/>
      </c>
      <c r="Q343" s="33" t="str">
        <f>IFERROR(MasterData!$C345,"")</f>
        <v/>
      </c>
      <c r="R343" s="33" t="str">
        <f>IFERROR(MasterData!$E345,"")</f>
        <v/>
      </c>
      <c r="S343" s="33" t="str">
        <f>IFERROR(MasterData!$G345,"")</f>
        <v/>
      </c>
      <c r="T343" s="33" t="str">
        <f>IFERROR(MasterData!$I345,"")</f>
        <v/>
      </c>
    </row>
    <row r="344" ht="21.75" customHeight="1">
      <c r="A344" s="68"/>
      <c r="B344" s="67"/>
      <c r="C344" s="66"/>
      <c r="D344" s="66"/>
      <c r="E344" s="68"/>
      <c r="F344" s="66"/>
      <c r="G344" s="66"/>
      <c r="H344" s="67"/>
      <c r="I344" s="67"/>
      <c r="J344" s="67"/>
      <c r="K344" s="65"/>
      <c r="L344" s="65"/>
      <c r="M344" s="65"/>
      <c r="N344" s="66"/>
      <c r="O344" s="66"/>
      <c r="P344" s="33" t="str">
        <f>IFERROR(MasterData!$B346,"")</f>
        <v/>
      </c>
      <c r="Q344" s="33" t="str">
        <f>IFERROR(MasterData!$C346,"")</f>
        <v/>
      </c>
      <c r="R344" s="33" t="str">
        <f>IFERROR(MasterData!$E346,"")</f>
        <v/>
      </c>
      <c r="S344" s="33" t="str">
        <f>IFERROR(MasterData!$G346,"")</f>
        <v/>
      </c>
      <c r="T344" s="33" t="str">
        <f>IFERROR(MasterData!$I346,"")</f>
        <v/>
      </c>
    </row>
    <row r="345" ht="21.75" customHeight="1">
      <c r="A345" s="56"/>
      <c r="B345" s="58"/>
      <c r="C345" s="53"/>
      <c r="D345" s="53"/>
      <c r="E345" s="56"/>
      <c r="F345" s="53"/>
      <c r="G345" s="53"/>
      <c r="H345" s="58"/>
      <c r="I345" s="58"/>
      <c r="J345" s="58"/>
      <c r="K345" s="49"/>
      <c r="L345" s="49"/>
      <c r="M345" s="49"/>
      <c r="N345" s="53"/>
      <c r="O345" s="53"/>
      <c r="P345" s="33" t="str">
        <f>IFERROR(MasterData!$B347,"")</f>
        <v/>
      </c>
      <c r="Q345" s="33" t="str">
        <f>IFERROR(MasterData!$C347,"")</f>
        <v/>
      </c>
      <c r="R345" s="33" t="str">
        <f>IFERROR(MasterData!$E347,"")</f>
        <v/>
      </c>
      <c r="S345" s="33" t="str">
        <f>IFERROR(MasterData!$G347,"")</f>
        <v/>
      </c>
      <c r="T345" s="33" t="str">
        <f>IFERROR(MasterData!$I347,"")</f>
        <v/>
      </c>
    </row>
    <row r="346" ht="21.75" customHeight="1">
      <c r="A346" s="68"/>
      <c r="B346" s="67"/>
      <c r="C346" s="66"/>
      <c r="D346" s="66"/>
      <c r="E346" s="68"/>
      <c r="F346" s="66"/>
      <c r="G346" s="66"/>
      <c r="H346" s="67"/>
      <c r="I346" s="67"/>
      <c r="J346" s="67"/>
      <c r="K346" s="65"/>
      <c r="L346" s="65"/>
      <c r="M346" s="65"/>
      <c r="N346" s="66"/>
      <c r="O346" s="66"/>
      <c r="P346" s="33" t="str">
        <f>IFERROR(MasterData!$B348,"")</f>
        <v/>
      </c>
      <c r="Q346" s="33" t="str">
        <f>IFERROR(MasterData!$C348,"")</f>
        <v/>
      </c>
      <c r="R346" s="33" t="str">
        <f>IFERROR(MasterData!$E348,"")</f>
        <v/>
      </c>
      <c r="S346" s="33" t="str">
        <f>IFERROR(MasterData!$G348,"")</f>
        <v/>
      </c>
      <c r="T346" s="33" t="str">
        <f>IFERROR(MasterData!$I348,"")</f>
        <v/>
      </c>
    </row>
    <row r="347" ht="21.75" customHeight="1">
      <c r="A347" s="56"/>
      <c r="B347" s="58"/>
      <c r="C347" s="53"/>
      <c r="D347" s="53"/>
      <c r="E347" s="56"/>
      <c r="F347" s="53"/>
      <c r="G347" s="53"/>
      <c r="H347" s="58"/>
      <c r="I347" s="58"/>
      <c r="J347" s="58"/>
      <c r="K347" s="49"/>
      <c r="L347" s="49"/>
      <c r="M347" s="49"/>
      <c r="N347" s="53"/>
      <c r="O347" s="53"/>
      <c r="P347" s="33" t="str">
        <f>IFERROR(MasterData!$B349,"")</f>
        <v/>
      </c>
      <c r="Q347" s="33" t="str">
        <f>IFERROR(MasterData!$C349,"")</f>
        <v/>
      </c>
      <c r="R347" s="33" t="str">
        <f>IFERROR(MasterData!$E349,"")</f>
        <v/>
      </c>
      <c r="S347" s="33" t="str">
        <f>IFERROR(MasterData!$G349,"")</f>
        <v/>
      </c>
      <c r="T347" s="33" t="str">
        <f>IFERROR(MasterData!$I349,"")</f>
        <v/>
      </c>
    </row>
    <row r="348" ht="21.75" customHeight="1">
      <c r="A348" s="68"/>
      <c r="B348" s="67"/>
      <c r="C348" s="66"/>
      <c r="D348" s="66"/>
      <c r="E348" s="68"/>
      <c r="F348" s="66"/>
      <c r="G348" s="66"/>
      <c r="H348" s="67"/>
      <c r="I348" s="67"/>
      <c r="J348" s="67"/>
      <c r="K348" s="65"/>
      <c r="L348" s="65"/>
      <c r="M348" s="65"/>
      <c r="N348" s="66"/>
      <c r="O348" s="66"/>
      <c r="P348" s="33" t="str">
        <f>IFERROR(MasterData!$B350,"")</f>
        <v/>
      </c>
      <c r="Q348" s="33" t="str">
        <f>IFERROR(MasterData!$C350,"")</f>
        <v/>
      </c>
      <c r="R348" s="33" t="str">
        <f>IFERROR(MasterData!$E350,"")</f>
        <v/>
      </c>
      <c r="S348" s="33" t="str">
        <f>IFERROR(MasterData!$G350,"")</f>
        <v/>
      </c>
      <c r="T348" s="33" t="str">
        <f>IFERROR(MasterData!$I350,"")</f>
        <v/>
      </c>
    </row>
    <row r="349" ht="21.75" customHeight="1">
      <c r="A349" s="56"/>
      <c r="B349" s="58"/>
      <c r="C349" s="53"/>
      <c r="D349" s="53"/>
      <c r="E349" s="56"/>
      <c r="F349" s="53"/>
      <c r="G349" s="53"/>
      <c r="H349" s="58"/>
      <c r="I349" s="58"/>
      <c r="J349" s="58"/>
      <c r="K349" s="49"/>
      <c r="L349" s="49"/>
      <c r="M349" s="49"/>
      <c r="N349" s="53"/>
      <c r="O349" s="53"/>
      <c r="P349" s="33" t="str">
        <f>IFERROR(MasterData!$B351,"")</f>
        <v/>
      </c>
      <c r="Q349" s="33" t="str">
        <f>IFERROR(MasterData!$C351,"")</f>
        <v/>
      </c>
      <c r="R349" s="33" t="str">
        <f>IFERROR(MasterData!$E351,"")</f>
        <v/>
      </c>
      <c r="S349" s="33" t="str">
        <f>IFERROR(MasterData!$G351,"")</f>
        <v/>
      </c>
      <c r="T349" s="33" t="str">
        <f>IFERROR(MasterData!$I351,"")</f>
        <v/>
      </c>
    </row>
    <row r="350" ht="21.75" customHeight="1">
      <c r="A350" s="68"/>
      <c r="B350" s="67"/>
      <c r="C350" s="66"/>
      <c r="D350" s="66"/>
      <c r="E350" s="68"/>
      <c r="F350" s="66"/>
      <c r="G350" s="66"/>
      <c r="H350" s="67"/>
      <c r="I350" s="67"/>
      <c r="J350" s="67"/>
      <c r="K350" s="65"/>
      <c r="L350" s="65"/>
      <c r="M350" s="65"/>
      <c r="N350" s="66"/>
      <c r="O350" s="66"/>
      <c r="P350" s="33" t="str">
        <f>IFERROR(MasterData!$B352,"")</f>
        <v/>
      </c>
      <c r="Q350" s="33" t="str">
        <f>IFERROR(MasterData!$C352,"")</f>
        <v/>
      </c>
      <c r="R350" s="33" t="str">
        <f>IFERROR(MasterData!$E352,"")</f>
        <v/>
      </c>
      <c r="S350" s="33" t="str">
        <f>IFERROR(MasterData!$G352,"")</f>
        <v/>
      </c>
      <c r="T350" s="33" t="str">
        <f>IFERROR(MasterData!$I352,"")</f>
        <v/>
      </c>
    </row>
    <row r="351" ht="21.75" customHeight="1">
      <c r="A351" s="56"/>
      <c r="B351" s="58"/>
      <c r="C351" s="53"/>
      <c r="D351" s="53"/>
      <c r="E351" s="56"/>
      <c r="F351" s="53"/>
      <c r="G351" s="53"/>
      <c r="H351" s="58"/>
      <c r="I351" s="58"/>
      <c r="J351" s="58"/>
      <c r="K351" s="49"/>
      <c r="L351" s="49"/>
      <c r="M351" s="49"/>
      <c r="N351" s="53"/>
      <c r="O351" s="53"/>
      <c r="P351" s="33" t="str">
        <f>IFERROR(MasterData!$B353,"")</f>
        <v/>
      </c>
      <c r="Q351" s="33" t="str">
        <f>IFERROR(MasterData!$C353,"")</f>
        <v/>
      </c>
      <c r="R351" s="33" t="str">
        <f>IFERROR(MasterData!$E353,"")</f>
        <v/>
      </c>
      <c r="S351" s="33" t="str">
        <f>IFERROR(MasterData!$G353,"")</f>
        <v/>
      </c>
      <c r="T351" s="33" t="str">
        <f>IFERROR(MasterData!$I353,"")</f>
        <v/>
      </c>
    </row>
    <row r="352" ht="21.75" customHeight="1">
      <c r="A352" s="68"/>
      <c r="B352" s="67"/>
      <c r="C352" s="66"/>
      <c r="D352" s="66"/>
      <c r="E352" s="68"/>
      <c r="F352" s="66"/>
      <c r="G352" s="66"/>
      <c r="H352" s="67"/>
      <c r="I352" s="67"/>
      <c r="J352" s="67"/>
      <c r="K352" s="65"/>
      <c r="L352" s="65"/>
      <c r="M352" s="65"/>
      <c r="N352" s="66"/>
      <c r="O352" s="66"/>
      <c r="P352" s="33" t="str">
        <f>IFERROR(MasterData!$B354,"")</f>
        <v/>
      </c>
      <c r="Q352" s="33" t="str">
        <f>IFERROR(MasterData!$C354,"")</f>
        <v/>
      </c>
      <c r="R352" s="33" t="str">
        <f>IFERROR(MasterData!$E354,"")</f>
        <v/>
      </c>
      <c r="S352" s="33" t="str">
        <f>IFERROR(MasterData!$G354,"")</f>
        <v/>
      </c>
      <c r="T352" s="33" t="str">
        <f>IFERROR(MasterData!$I354,"")</f>
        <v/>
      </c>
    </row>
    <row r="353" ht="21.75" customHeight="1">
      <c r="A353" s="56"/>
      <c r="B353" s="58"/>
      <c r="C353" s="53"/>
      <c r="D353" s="53"/>
      <c r="E353" s="56"/>
      <c r="F353" s="53"/>
      <c r="G353" s="53"/>
      <c r="H353" s="58"/>
      <c r="I353" s="58"/>
      <c r="J353" s="58"/>
      <c r="K353" s="49"/>
      <c r="L353" s="49"/>
      <c r="M353" s="49"/>
      <c r="N353" s="53"/>
      <c r="O353" s="53"/>
      <c r="P353" s="33" t="str">
        <f>IFERROR(MasterData!$B355,"")</f>
        <v/>
      </c>
      <c r="Q353" s="33" t="str">
        <f>IFERROR(MasterData!$C355,"")</f>
        <v/>
      </c>
      <c r="R353" s="33" t="str">
        <f>IFERROR(MasterData!$E355,"")</f>
        <v/>
      </c>
      <c r="S353" s="33" t="str">
        <f>IFERROR(MasterData!$G355,"")</f>
        <v/>
      </c>
      <c r="T353" s="33" t="str">
        <f>IFERROR(MasterData!$I355,"")</f>
        <v/>
      </c>
    </row>
    <row r="354" ht="21.75" customHeight="1">
      <c r="A354" s="68"/>
      <c r="B354" s="67"/>
      <c r="C354" s="66"/>
      <c r="D354" s="66"/>
      <c r="E354" s="68"/>
      <c r="F354" s="66"/>
      <c r="G354" s="66"/>
      <c r="H354" s="67"/>
      <c r="I354" s="67"/>
      <c r="J354" s="67"/>
      <c r="K354" s="65"/>
      <c r="L354" s="65"/>
      <c r="M354" s="65"/>
      <c r="N354" s="66"/>
      <c r="O354" s="66"/>
      <c r="P354" s="33" t="str">
        <f>IFERROR(MasterData!$B356,"")</f>
        <v/>
      </c>
      <c r="Q354" s="33" t="str">
        <f>IFERROR(MasterData!$C356,"")</f>
        <v/>
      </c>
      <c r="R354" s="33" t="str">
        <f>IFERROR(MasterData!$E356,"")</f>
        <v/>
      </c>
      <c r="S354" s="33" t="str">
        <f>IFERROR(MasterData!$G356,"")</f>
        <v/>
      </c>
      <c r="T354" s="33" t="str">
        <f>IFERROR(MasterData!$I356,"")</f>
        <v/>
      </c>
    </row>
    <row r="355" ht="21.75" customHeight="1">
      <c r="A355" s="56"/>
      <c r="B355" s="58"/>
      <c r="C355" s="53"/>
      <c r="D355" s="53"/>
      <c r="E355" s="56"/>
      <c r="F355" s="53"/>
      <c r="G355" s="53"/>
      <c r="H355" s="58"/>
      <c r="I355" s="58"/>
      <c r="J355" s="58"/>
      <c r="K355" s="49"/>
      <c r="L355" s="49"/>
      <c r="M355" s="49"/>
      <c r="N355" s="53"/>
      <c r="O355" s="53"/>
      <c r="P355" s="33" t="str">
        <f>IFERROR(MasterData!$B357,"")</f>
        <v/>
      </c>
      <c r="Q355" s="33" t="str">
        <f>IFERROR(MasterData!$C357,"")</f>
        <v/>
      </c>
      <c r="R355" s="33" t="str">
        <f>IFERROR(MasterData!$E357,"")</f>
        <v/>
      </c>
      <c r="S355" s="33" t="str">
        <f>IFERROR(MasterData!$G357,"")</f>
        <v/>
      </c>
      <c r="T355" s="33" t="str">
        <f>IFERROR(MasterData!$I357,"")</f>
        <v/>
      </c>
    </row>
    <row r="356" ht="21.75" customHeight="1">
      <c r="A356" s="68"/>
      <c r="B356" s="67"/>
      <c r="C356" s="66"/>
      <c r="D356" s="66"/>
      <c r="E356" s="68"/>
      <c r="F356" s="66"/>
      <c r="G356" s="66"/>
      <c r="H356" s="67"/>
      <c r="I356" s="67"/>
      <c r="J356" s="67"/>
      <c r="K356" s="65"/>
      <c r="L356" s="65"/>
      <c r="M356" s="65"/>
      <c r="N356" s="66"/>
      <c r="O356" s="66"/>
      <c r="P356" s="33" t="str">
        <f>IFERROR(MasterData!$B358,"")</f>
        <v/>
      </c>
      <c r="Q356" s="33" t="str">
        <f>IFERROR(MasterData!$C358,"")</f>
        <v/>
      </c>
      <c r="R356" s="33" t="str">
        <f>IFERROR(MasterData!$E358,"")</f>
        <v/>
      </c>
      <c r="S356" s="33" t="str">
        <f>IFERROR(MasterData!$G358,"")</f>
        <v/>
      </c>
      <c r="T356" s="33" t="str">
        <f>IFERROR(MasterData!$I358,"")</f>
        <v/>
      </c>
    </row>
    <row r="357" ht="21.75" customHeight="1">
      <c r="A357" s="56"/>
      <c r="B357" s="58"/>
      <c r="C357" s="53"/>
      <c r="D357" s="53"/>
      <c r="E357" s="56"/>
      <c r="F357" s="53"/>
      <c r="G357" s="53"/>
      <c r="H357" s="58"/>
      <c r="I357" s="58"/>
      <c r="J357" s="58"/>
      <c r="K357" s="49"/>
      <c r="L357" s="49"/>
      <c r="M357" s="49"/>
      <c r="N357" s="53"/>
      <c r="O357" s="53"/>
      <c r="P357" s="33" t="str">
        <f>IFERROR(MasterData!$B359,"")</f>
        <v/>
      </c>
      <c r="Q357" s="33" t="str">
        <f>IFERROR(MasterData!$C359,"")</f>
        <v/>
      </c>
      <c r="R357" s="33" t="str">
        <f>IFERROR(MasterData!$E359,"")</f>
        <v/>
      </c>
      <c r="S357" s="33" t="str">
        <f>IFERROR(MasterData!$G359,"")</f>
        <v/>
      </c>
      <c r="T357" s="33" t="str">
        <f>IFERROR(MasterData!$I359,"")</f>
        <v/>
      </c>
    </row>
    <row r="358" ht="21.75" customHeight="1">
      <c r="A358" s="68"/>
      <c r="B358" s="67"/>
      <c r="C358" s="66"/>
      <c r="D358" s="66"/>
      <c r="E358" s="68"/>
      <c r="F358" s="66"/>
      <c r="G358" s="66"/>
      <c r="H358" s="67"/>
      <c r="I358" s="67"/>
      <c r="J358" s="67"/>
      <c r="K358" s="65"/>
      <c r="L358" s="65"/>
      <c r="M358" s="65"/>
      <c r="N358" s="66"/>
      <c r="O358" s="66"/>
      <c r="P358" s="33" t="str">
        <f>IFERROR(MasterData!$B360,"")</f>
        <v/>
      </c>
      <c r="Q358" s="33" t="str">
        <f>IFERROR(MasterData!$C360,"")</f>
        <v/>
      </c>
      <c r="R358" s="33" t="str">
        <f>IFERROR(MasterData!$E360,"")</f>
        <v/>
      </c>
      <c r="S358" s="33" t="str">
        <f>IFERROR(MasterData!$G360,"")</f>
        <v/>
      </c>
      <c r="T358" s="33" t="str">
        <f>IFERROR(MasterData!$I360,"")</f>
        <v/>
      </c>
    </row>
    <row r="359" ht="21.75" customHeight="1">
      <c r="A359" s="56"/>
      <c r="B359" s="58"/>
      <c r="C359" s="53"/>
      <c r="D359" s="53"/>
      <c r="E359" s="56"/>
      <c r="F359" s="53"/>
      <c r="G359" s="53"/>
      <c r="H359" s="58"/>
      <c r="I359" s="58"/>
      <c r="J359" s="58"/>
      <c r="K359" s="49"/>
      <c r="L359" s="49"/>
      <c r="M359" s="49"/>
      <c r="N359" s="53"/>
      <c r="O359" s="53"/>
      <c r="P359" s="33" t="str">
        <f>IFERROR(MasterData!$B361,"")</f>
        <v/>
      </c>
      <c r="Q359" s="33" t="str">
        <f>IFERROR(MasterData!$C361,"")</f>
        <v/>
      </c>
      <c r="R359" s="33" t="str">
        <f>IFERROR(MasterData!$E361,"")</f>
        <v/>
      </c>
      <c r="S359" s="33" t="str">
        <f>IFERROR(MasterData!$G361,"")</f>
        <v/>
      </c>
      <c r="T359" s="33" t="str">
        <f>IFERROR(MasterData!$I361,"")</f>
        <v/>
      </c>
    </row>
    <row r="360" ht="21.75" customHeight="1">
      <c r="A360" s="68"/>
      <c r="B360" s="67"/>
      <c r="C360" s="66"/>
      <c r="D360" s="66"/>
      <c r="E360" s="68"/>
      <c r="F360" s="66"/>
      <c r="G360" s="66"/>
      <c r="H360" s="67"/>
      <c r="I360" s="67"/>
      <c r="J360" s="67"/>
      <c r="K360" s="65"/>
      <c r="L360" s="65"/>
      <c r="M360" s="65"/>
      <c r="N360" s="66"/>
      <c r="O360" s="66"/>
      <c r="P360" s="33" t="str">
        <f>IFERROR(MasterData!$B362,"")</f>
        <v/>
      </c>
      <c r="Q360" s="33" t="str">
        <f>IFERROR(MasterData!$C362,"")</f>
        <v/>
      </c>
      <c r="R360" s="33" t="str">
        <f>IFERROR(MasterData!$E362,"")</f>
        <v/>
      </c>
      <c r="S360" s="33" t="str">
        <f>IFERROR(MasterData!$G362,"")</f>
        <v/>
      </c>
      <c r="T360" s="33" t="str">
        <f>IFERROR(MasterData!$I362,"")</f>
        <v/>
      </c>
    </row>
    <row r="361" ht="21.75" customHeight="1">
      <c r="A361" s="56"/>
      <c r="B361" s="58"/>
      <c r="C361" s="53"/>
      <c r="D361" s="53"/>
      <c r="E361" s="56"/>
      <c r="F361" s="53"/>
      <c r="G361" s="53"/>
      <c r="H361" s="58"/>
      <c r="I361" s="58"/>
      <c r="J361" s="58"/>
      <c r="K361" s="49"/>
      <c r="L361" s="49"/>
      <c r="M361" s="49"/>
      <c r="N361" s="53"/>
      <c r="O361" s="53"/>
      <c r="P361" s="33" t="str">
        <f>IFERROR(MasterData!$B363,"")</f>
        <v/>
      </c>
      <c r="Q361" s="33" t="str">
        <f>IFERROR(MasterData!$C363,"")</f>
        <v/>
      </c>
      <c r="R361" s="33" t="str">
        <f>IFERROR(MasterData!$E363,"")</f>
        <v/>
      </c>
      <c r="S361" s="33" t="str">
        <f>IFERROR(MasterData!$G363,"")</f>
        <v/>
      </c>
      <c r="T361" s="33" t="str">
        <f>IFERROR(MasterData!$I363,"")</f>
        <v/>
      </c>
    </row>
    <row r="362" ht="21.75" customHeight="1">
      <c r="A362" s="68"/>
      <c r="B362" s="67"/>
      <c r="C362" s="66"/>
      <c r="D362" s="66"/>
      <c r="E362" s="68"/>
      <c r="F362" s="66"/>
      <c r="G362" s="66"/>
      <c r="H362" s="67"/>
      <c r="I362" s="67"/>
      <c r="J362" s="67"/>
      <c r="K362" s="65"/>
      <c r="L362" s="65"/>
      <c r="M362" s="65"/>
      <c r="N362" s="66"/>
      <c r="O362" s="66"/>
      <c r="P362" s="33" t="str">
        <f>IFERROR(MasterData!$B364,"")</f>
        <v/>
      </c>
      <c r="Q362" s="33" t="str">
        <f>IFERROR(MasterData!$C364,"")</f>
        <v/>
      </c>
      <c r="R362" s="33" t="str">
        <f>IFERROR(MasterData!$E364,"")</f>
        <v/>
      </c>
      <c r="S362" s="33" t="str">
        <f>IFERROR(MasterData!$G364,"")</f>
        <v/>
      </c>
      <c r="T362" s="33" t="str">
        <f>IFERROR(MasterData!$I364,"")</f>
        <v/>
      </c>
    </row>
    <row r="363" ht="21.75" customHeight="1">
      <c r="A363" s="56"/>
      <c r="B363" s="58"/>
      <c r="C363" s="53"/>
      <c r="D363" s="53"/>
      <c r="E363" s="56"/>
      <c r="F363" s="53"/>
      <c r="G363" s="53"/>
      <c r="H363" s="58"/>
      <c r="I363" s="58"/>
      <c r="J363" s="58"/>
      <c r="K363" s="49"/>
      <c r="L363" s="49"/>
      <c r="M363" s="49"/>
      <c r="N363" s="53"/>
      <c r="O363" s="53"/>
      <c r="P363" s="33" t="str">
        <f>IFERROR(MasterData!$B365,"")</f>
        <v/>
      </c>
      <c r="Q363" s="33" t="str">
        <f>IFERROR(MasterData!$C365,"")</f>
        <v/>
      </c>
      <c r="R363" s="33" t="str">
        <f>IFERROR(MasterData!$E365,"")</f>
        <v/>
      </c>
      <c r="S363" s="33" t="str">
        <f>IFERROR(MasterData!$G365,"")</f>
        <v/>
      </c>
      <c r="T363" s="33" t="str">
        <f>IFERROR(MasterData!$I365,"")</f>
        <v/>
      </c>
    </row>
    <row r="364" ht="21.75" customHeight="1">
      <c r="A364" s="68"/>
      <c r="B364" s="67"/>
      <c r="C364" s="66"/>
      <c r="D364" s="66"/>
      <c r="E364" s="68"/>
      <c r="F364" s="66"/>
      <c r="G364" s="66"/>
      <c r="H364" s="67"/>
      <c r="I364" s="67"/>
      <c r="J364" s="67"/>
      <c r="K364" s="65"/>
      <c r="L364" s="65"/>
      <c r="M364" s="65"/>
      <c r="N364" s="66"/>
      <c r="O364" s="66"/>
      <c r="P364" s="33" t="str">
        <f>IFERROR(MasterData!$B366,"")</f>
        <v/>
      </c>
      <c r="Q364" s="33" t="str">
        <f>IFERROR(MasterData!$C366,"")</f>
        <v/>
      </c>
      <c r="R364" s="33" t="str">
        <f>IFERROR(MasterData!$E366,"")</f>
        <v/>
      </c>
      <c r="S364" s="33" t="str">
        <f>IFERROR(MasterData!$G366,"")</f>
        <v/>
      </c>
      <c r="T364" s="33" t="str">
        <f>IFERROR(MasterData!$I366,"")</f>
        <v/>
      </c>
    </row>
    <row r="365" ht="21.75" customHeight="1">
      <c r="A365" s="56"/>
      <c r="B365" s="58"/>
      <c r="C365" s="53"/>
      <c r="D365" s="53"/>
      <c r="E365" s="56"/>
      <c r="F365" s="53"/>
      <c r="G365" s="53"/>
      <c r="H365" s="58"/>
      <c r="I365" s="58"/>
      <c r="J365" s="58"/>
      <c r="K365" s="49"/>
      <c r="L365" s="49"/>
      <c r="M365" s="49"/>
      <c r="N365" s="53"/>
      <c r="O365" s="53"/>
      <c r="P365" s="33" t="str">
        <f>IFERROR(MasterData!$B367,"")</f>
        <v/>
      </c>
      <c r="Q365" s="33" t="str">
        <f>IFERROR(MasterData!$C367,"")</f>
        <v/>
      </c>
      <c r="R365" s="33" t="str">
        <f>IFERROR(MasterData!$E367,"")</f>
        <v/>
      </c>
      <c r="S365" s="33" t="str">
        <f>IFERROR(MasterData!$G367,"")</f>
        <v/>
      </c>
      <c r="T365" s="33" t="str">
        <f>IFERROR(MasterData!$I367,"")</f>
        <v/>
      </c>
    </row>
    <row r="366" ht="21.75" customHeight="1">
      <c r="A366" s="68"/>
      <c r="B366" s="67"/>
      <c r="C366" s="66"/>
      <c r="D366" s="66"/>
      <c r="E366" s="68"/>
      <c r="F366" s="66"/>
      <c r="G366" s="66"/>
      <c r="H366" s="67"/>
      <c r="I366" s="67"/>
      <c r="J366" s="67"/>
      <c r="K366" s="65"/>
      <c r="L366" s="65"/>
      <c r="M366" s="65"/>
      <c r="N366" s="66"/>
      <c r="O366" s="66"/>
      <c r="P366" s="33" t="str">
        <f>IFERROR(MasterData!$B368,"")</f>
        <v/>
      </c>
      <c r="Q366" s="33" t="str">
        <f>IFERROR(MasterData!$C368,"")</f>
        <v/>
      </c>
      <c r="R366" s="33" t="str">
        <f>IFERROR(MasterData!$E368,"")</f>
        <v/>
      </c>
      <c r="S366" s="33" t="str">
        <f>IFERROR(MasterData!$G368,"")</f>
        <v/>
      </c>
      <c r="T366" s="33" t="str">
        <f>IFERROR(MasterData!$I368,"")</f>
        <v/>
      </c>
    </row>
    <row r="367" ht="21.75" customHeight="1">
      <c r="A367" s="56"/>
      <c r="B367" s="58"/>
      <c r="C367" s="53"/>
      <c r="D367" s="53"/>
      <c r="E367" s="56"/>
      <c r="F367" s="53"/>
      <c r="G367" s="53"/>
      <c r="H367" s="58"/>
      <c r="I367" s="58"/>
      <c r="J367" s="58"/>
      <c r="K367" s="49"/>
      <c r="L367" s="49"/>
      <c r="M367" s="49"/>
      <c r="N367" s="53"/>
      <c r="O367" s="53"/>
      <c r="P367" s="33" t="str">
        <f>IFERROR(MasterData!$B369,"")</f>
        <v/>
      </c>
      <c r="Q367" s="33" t="str">
        <f>IFERROR(MasterData!$C369,"")</f>
        <v/>
      </c>
      <c r="R367" s="33" t="str">
        <f>IFERROR(MasterData!$E369,"")</f>
        <v/>
      </c>
      <c r="S367" s="33" t="str">
        <f>IFERROR(MasterData!$G369,"")</f>
        <v/>
      </c>
      <c r="T367" s="33" t="str">
        <f>IFERROR(MasterData!$I369,"")</f>
        <v/>
      </c>
    </row>
    <row r="368" ht="21.75" customHeight="1">
      <c r="A368" s="68"/>
      <c r="B368" s="67"/>
      <c r="C368" s="66"/>
      <c r="D368" s="66"/>
      <c r="E368" s="68"/>
      <c r="F368" s="66"/>
      <c r="G368" s="66"/>
      <c r="H368" s="67"/>
      <c r="I368" s="67"/>
      <c r="J368" s="67"/>
      <c r="K368" s="65"/>
      <c r="L368" s="65"/>
      <c r="M368" s="65"/>
      <c r="N368" s="66"/>
      <c r="O368" s="66"/>
      <c r="P368" s="33" t="str">
        <f>IFERROR(MasterData!$B370,"")</f>
        <v/>
      </c>
      <c r="Q368" s="33" t="str">
        <f>IFERROR(MasterData!$C370,"")</f>
        <v/>
      </c>
      <c r="R368" s="33" t="str">
        <f>IFERROR(MasterData!$E370,"")</f>
        <v/>
      </c>
      <c r="S368" s="33" t="str">
        <f>IFERROR(MasterData!$G370,"")</f>
        <v/>
      </c>
      <c r="T368" s="33" t="str">
        <f>IFERROR(MasterData!$I370,"")</f>
        <v/>
      </c>
    </row>
    <row r="369" ht="21.75" customHeight="1">
      <c r="A369" s="56"/>
      <c r="B369" s="58"/>
      <c r="C369" s="53"/>
      <c r="D369" s="53"/>
      <c r="E369" s="56"/>
      <c r="F369" s="53"/>
      <c r="G369" s="53"/>
      <c r="H369" s="58"/>
      <c r="I369" s="58"/>
      <c r="J369" s="58"/>
      <c r="K369" s="49"/>
      <c r="L369" s="49"/>
      <c r="M369" s="49"/>
      <c r="N369" s="53"/>
      <c r="O369" s="53"/>
      <c r="P369" s="33" t="str">
        <f>IFERROR(MasterData!$B371,"")</f>
        <v/>
      </c>
      <c r="Q369" s="33" t="str">
        <f>IFERROR(MasterData!$C371,"")</f>
        <v/>
      </c>
      <c r="R369" s="33" t="str">
        <f>IFERROR(MasterData!$E371,"")</f>
        <v/>
      </c>
      <c r="S369" s="33" t="str">
        <f>IFERROR(MasterData!$G371,"")</f>
        <v/>
      </c>
      <c r="T369" s="33" t="str">
        <f>IFERROR(MasterData!$I371,"")</f>
        <v/>
      </c>
    </row>
    <row r="370" ht="21.75" customHeight="1">
      <c r="A370" s="68"/>
      <c r="B370" s="67"/>
      <c r="C370" s="66"/>
      <c r="D370" s="66"/>
      <c r="E370" s="68"/>
      <c r="F370" s="66"/>
      <c r="G370" s="66"/>
      <c r="H370" s="67"/>
      <c r="I370" s="67"/>
      <c r="J370" s="67"/>
      <c r="K370" s="65"/>
      <c r="L370" s="65"/>
      <c r="M370" s="65"/>
      <c r="N370" s="66"/>
      <c r="O370" s="66"/>
      <c r="P370" s="33" t="str">
        <f>IFERROR(MasterData!$B372,"")</f>
        <v/>
      </c>
      <c r="Q370" s="33" t="str">
        <f>IFERROR(MasterData!$C372,"")</f>
        <v/>
      </c>
      <c r="R370" s="33" t="str">
        <f>IFERROR(MasterData!$E372,"")</f>
        <v/>
      </c>
      <c r="S370" s="33" t="str">
        <f>IFERROR(MasterData!$G372,"")</f>
        <v/>
      </c>
      <c r="T370" s="33" t="str">
        <f>IFERROR(MasterData!$I372,"")</f>
        <v/>
      </c>
    </row>
    <row r="371" ht="21.75" customHeight="1">
      <c r="A371" s="56"/>
      <c r="B371" s="58"/>
      <c r="C371" s="53"/>
      <c r="D371" s="53"/>
      <c r="E371" s="56"/>
      <c r="F371" s="53"/>
      <c r="G371" s="53"/>
      <c r="H371" s="58"/>
      <c r="I371" s="58"/>
      <c r="J371" s="58"/>
      <c r="K371" s="49"/>
      <c r="L371" s="49"/>
      <c r="M371" s="49"/>
      <c r="N371" s="53"/>
      <c r="O371" s="53"/>
      <c r="P371" s="33" t="str">
        <f>IFERROR(MasterData!$B373,"")</f>
        <v/>
      </c>
      <c r="Q371" s="33" t="str">
        <f>IFERROR(MasterData!$C373,"")</f>
        <v/>
      </c>
      <c r="R371" s="33" t="str">
        <f>IFERROR(MasterData!$E373,"")</f>
        <v/>
      </c>
      <c r="S371" s="33" t="str">
        <f>IFERROR(MasterData!$G373,"")</f>
        <v/>
      </c>
      <c r="T371" s="33" t="str">
        <f>IFERROR(MasterData!$I373,"")</f>
        <v/>
      </c>
    </row>
    <row r="372" ht="21.75" customHeight="1">
      <c r="A372" s="68"/>
      <c r="B372" s="67"/>
      <c r="C372" s="66"/>
      <c r="D372" s="66"/>
      <c r="E372" s="68"/>
      <c r="F372" s="66"/>
      <c r="G372" s="66"/>
      <c r="H372" s="67"/>
      <c r="I372" s="67"/>
      <c r="J372" s="67"/>
      <c r="K372" s="65"/>
      <c r="L372" s="65"/>
      <c r="M372" s="65"/>
      <c r="N372" s="66"/>
      <c r="O372" s="66"/>
      <c r="P372" s="33" t="str">
        <f>IFERROR(MasterData!$B374,"")</f>
        <v/>
      </c>
      <c r="Q372" s="33" t="str">
        <f>IFERROR(MasterData!$C374,"")</f>
        <v/>
      </c>
      <c r="R372" s="33" t="str">
        <f>IFERROR(MasterData!$E374,"")</f>
        <v/>
      </c>
      <c r="S372" s="33" t="str">
        <f>IFERROR(MasterData!$G374,"")</f>
        <v/>
      </c>
      <c r="T372" s="33" t="str">
        <f>IFERROR(MasterData!$I374,"")</f>
        <v/>
      </c>
    </row>
    <row r="373" ht="21.75" customHeight="1">
      <c r="A373" s="56"/>
      <c r="B373" s="58"/>
      <c r="C373" s="53"/>
      <c r="D373" s="53"/>
      <c r="E373" s="56"/>
      <c r="F373" s="53"/>
      <c r="G373" s="53"/>
      <c r="H373" s="58"/>
      <c r="I373" s="58"/>
      <c r="J373" s="58"/>
      <c r="K373" s="49"/>
      <c r="L373" s="49"/>
      <c r="M373" s="49"/>
      <c r="N373" s="53"/>
      <c r="O373" s="53"/>
      <c r="P373" s="33" t="str">
        <f>IFERROR(MasterData!$B375,"")</f>
        <v/>
      </c>
      <c r="Q373" s="33" t="str">
        <f>IFERROR(MasterData!$C375,"")</f>
        <v/>
      </c>
      <c r="R373" s="33" t="str">
        <f>IFERROR(MasterData!$E375,"")</f>
        <v/>
      </c>
      <c r="S373" s="33" t="str">
        <f>IFERROR(MasterData!$G375,"")</f>
        <v/>
      </c>
      <c r="T373" s="33" t="str">
        <f>IFERROR(MasterData!$I375,"")</f>
        <v/>
      </c>
    </row>
    <row r="374" ht="21.75" customHeight="1">
      <c r="A374" s="68"/>
      <c r="B374" s="67"/>
      <c r="C374" s="66"/>
      <c r="D374" s="66"/>
      <c r="E374" s="68"/>
      <c r="F374" s="66"/>
      <c r="G374" s="66"/>
      <c r="H374" s="67"/>
      <c r="I374" s="67"/>
      <c r="J374" s="67"/>
      <c r="K374" s="65"/>
      <c r="L374" s="65"/>
      <c r="M374" s="65"/>
      <c r="N374" s="66"/>
      <c r="O374" s="66"/>
      <c r="P374" s="33" t="str">
        <f>IFERROR(MasterData!$B376,"")</f>
        <v/>
      </c>
      <c r="Q374" s="33" t="str">
        <f>IFERROR(MasterData!$C376,"")</f>
        <v/>
      </c>
      <c r="R374" s="33" t="str">
        <f>IFERROR(MasterData!$E376,"")</f>
        <v/>
      </c>
      <c r="S374" s="33" t="str">
        <f>IFERROR(MasterData!$G376,"")</f>
        <v/>
      </c>
      <c r="T374" s="33" t="str">
        <f>IFERROR(MasterData!$I376,"")</f>
        <v/>
      </c>
    </row>
    <row r="375" ht="21.75" customHeight="1">
      <c r="A375" s="56"/>
      <c r="B375" s="58"/>
      <c r="C375" s="53"/>
      <c r="D375" s="53"/>
      <c r="E375" s="56"/>
      <c r="F375" s="53"/>
      <c r="G375" s="53"/>
      <c r="H375" s="58"/>
      <c r="I375" s="58"/>
      <c r="J375" s="58"/>
      <c r="K375" s="49"/>
      <c r="L375" s="49"/>
      <c r="M375" s="49"/>
      <c r="N375" s="53"/>
      <c r="O375" s="53"/>
      <c r="P375" s="33" t="str">
        <f>IFERROR(MasterData!$B377,"")</f>
        <v/>
      </c>
      <c r="Q375" s="33" t="str">
        <f>IFERROR(MasterData!$C377,"")</f>
        <v/>
      </c>
      <c r="R375" s="33" t="str">
        <f>IFERROR(MasterData!$E377,"")</f>
        <v/>
      </c>
      <c r="S375" s="33" t="str">
        <f>IFERROR(MasterData!$G377,"")</f>
        <v/>
      </c>
      <c r="T375" s="33" t="str">
        <f>IFERROR(MasterData!$I377,"")</f>
        <v/>
      </c>
    </row>
    <row r="376" ht="21.75" customHeight="1">
      <c r="A376" s="68"/>
      <c r="B376" s="67"/>
      <c r="C376" s="66"/>
      <c r="D376" s="66"/>
      <c r="E376" s="68"/>
      <c r="F376" s="66"/>
      <c r="G376" s="66"/>
      <c r="H376" s="67"/>
      <c r="I376" s="67"/>
      <c r="J376" s="67"/>
      <c r="K376" s="65"/>
      <c r="L376" s="65"/>
      <c r="M376" s="65"/>
      <c r="N376" s="66"/>
      <c r="O376" s="66"/>
      <c r="P376" s="33" t="str">
        <f>IFERROR(MasterData!$B378,"")</f>
        <v/>
      </c>
      <c r="Q376" s="33" t="str">
        <f>IFERROR(MasterData!$C378,"")</f>
        <v/>
      </c>
      <c r="R376" s="33" t="str">
        <f>IFERROR(MasterData!$E378,"")</f>
        <v/>
      </c>
      <c r="S376" s="33" t="str">
        <f>IFERROR(MasterData!$G378,"")</f>
        <v/>
      </c>
      <c r="T376" s="33" t="str">
        <f>IFERROR(MasterData!$I378,"")</f>
        <v/>
      </c>
    </row>
    <row r="377" ht="21.75" customHeight="1">
      <c r="A377" s="56"/>
      <c r="B377" s="58"/>
      <c r="C377" s="53"/>
      <c r="D377" s="53"/>
      <c r="E377" s="56"/>
      <c r="F377" s="53"/>
      <c r="G377" s="53"/>
      <c r="H377" s="58"/>
      <c r="I377" s="58"/>
      <c r="J377" s="58"/>
      <c r="K377" s="49"/>
      <c r="L377" s="49"/>
      <c r="M377" s="49"/>
      <c r="N377" s="53"/>
      <c r="O377" s="53"/>
      <c r="P377" s="33" t="str">
        <f>IFERROR(MasterData!$B379,"")</f>
        <v/>
      </c>
      <c r="Q377" s="33" t="str">
        <f>IFERROR(MasterData!$C379,"")</f>
        <v/>
      </c>
      <c r="R377" s="33" t="str">
        <f>IFERROR(MasterData!$E379,"")</f>
        <v/>
      </c>
      <c r="S377" s="33" t="str">
        <f>IFERROR(MasterData!$G379,"")</f>
        <v/>
      </c>
      <c r="T377" s="33" t="str">
        <f>IFERROR(MasterData!$I379,"")</f>
        <v/>
      </c>
    </row>
    <row r="378" ht="21.75" customHeight="1">
      <c r="A378" s="68"/>
      <c r="B378" s="67"/>
      <c r="C378" s="66"/>
      <c r="D378" s="66"/>
      <c r="E378" s="68"/>
      <c r="F378" s="66"/>
      <c r="G378" s="66"/>
      <c r="H378" s="67"/>
      <c r="I378" s="67"/>
      <c r="J378" s="67"/>
      <c r="K378" s="65"/>
      <c r="L378" s="65"/>
      <c r="M378" s="65"/>
      <c r="N378" s="66"/>
      <c r="O378" s="66"/>
      <c r="P378" s="33" t="str">
        <f>IFERROR(MasterData!$B380,"")</f>
        <v/>
      </c>
      <c r="Q378" s="33" t="str">
        <f>IFERROR(MasterData!$C380,"")</f>
        <v/>
      </c>
      <c r="R378" s="33" t="str">
        <f>IFERROR(MasterData!$E380,"")</f>
        <v/>
      </c>
      <c r="S378" s="33" t="str">
        <f>IFERROR(MasterData!$G380,"")</f>
        <v/>
      </c>
      <c r="T378" s="33" t="str">
        <f>IFERROR(MasterData!$I380,"")</f>
        <v/>
      </c>
    </row>
    <row r="379" ht="21.75" customHeight="1">
      <c r="A379" s="56"/>
      <c r="B379" s="58"/>
      <c r="C379" s="53"/>
      <c r="D379" s="53"/>
      <c r="E379" s="56"/>
      <c r="F379" s="53"/>
      <c r="G379" s="53"/>
      <c r="H379" s="58"/>
      <c r="I379" s="58"/>
      <c r="J379" s="58"/>
      <c r="K379" s="49"/>
      <c r="L379" s="49"/>
      <c r="M379" s="49"/>
      <c r="N379" s="53"/>
      <c r="O379" s="53"/>
      <c r="P379" s="33" t="str">
        <f>IFERROR(MasterData!$B381,"")</f>
        <v/>
      </c>
      <c r="Q379" s="33" t="str">
        <f>IFERROR(MasterData!$C381,"")</f>
        <v/>
      </c>
      <c r="R379" s="33" t="str">
        <f>IFERROR(MasterData!$E381,"")</f>
        <v/>
      </c>
      <c r="S379" s="33" t="str">
        <f>IFERROR(MasterData!$G381,"")</f>
        <v/>
      </c>
      <c r="T379" s="33" t="str">
        <f>IFERROR(MasterData!$I381,"")</f>
        <v/>
      </c>
    </row>
    <row r="380" ht="21.75" customHeight="1">
      <c r="A380" s="68"/>
      <c r="B380" s="67"/>
      <c r="C380" s="66"/>
      <c r="D380" s="66"/>
      <c r="E380" s="68"/>
      <c r="F380" s="66"/>
      <c r="G380" s="66"/>
      <c r="H380" s="67"/>
      <c r="I380" s="67"/>
      <c r="J380" s="67"/>
      <c r="K380" s="65"/>
      <c r="L380" s="65"/>
      <c r="M380" s="65"/>
      <c r="N380" s="66"/>
      <c r="O380" s="66"/>
      <c r="P380" s="33" t="str">
        <f>IFERROR(MasterData!$B382,"")</f>
        <v/>
      </c>
      <c r="Q380" s="33" t="str">
        <f>IFERROR(MasterData!$C382,"")</f>
        <v/>
      </c>
      <c r="R380" s="33" t="str">
        <f>IFERROR(MasterData!$E382,"")</f>
        <v/>
      </c>
      <c r="S380" s="33" t="str">
        <f>IFERROR(MasterData!$G382,"")</f>
        <v/>
      </c>
      <c r="T380" s="33" t="str">
        <f>IFERROR(MasterData!$I382,"")</f>
        <v/>
      </c>
    </row>
    <row r="381" ht="21.75" customHeight="1">
      <c r="A381" s="56"/>
      <c r="B381" s="58"/>
      <c r="C381" s="53"/>
      <c r="D381" s="53"/>
      <c r="E381" s="56"/>
      <c r="F381" s="53"/>
      <c r="G381" s="53"/>
      <c r="H381" s="58"/>
      <c r="I381" s="58"/>
      <c r="J381" s="58"/>
      <c r="K381" s="49"/>
      <c r="L381" s="49"/>
      <c r="M381" s="49"/>
      <c r="N381" s="53"/>
      <c r="O381" s="53"/>
      <c r="P381" s="33" t="str">
        <f>IFERROR(MasterData!$B383,"")</f>
        <v/>
      </c>
      <c r="Q381" s="33" t="str">
        <f>IFERROR(MasterData!$C383,"")</f>
        <v/>
      </c>
      <c r="R381" s="33" t="str">
        <f>IFERROR(MasterData!$E383,"")</f>
        <v/>
      </c>
      <c r="S381" s="33" t="str">
        <f>IFERROR(MasterData!$G383,"")</f>
        <v/>
      </c>
      <c r="T381" s="33" t="str">
        <f>IFERROR(MasterData!$I383,"")</f>
        <v/>
      </c>
    </row>
    <row r="382" ht="21.75" customHeight="1">
      <c r="A382" s="68"/>
      <c r="B382" s="67"/>
      <c r="C382" s="66"/>
      <c r="D382" s="66"/>
      <c r="E382" s="68"/>
      <c r="F382" s="66"/>
      <c r="G382" s="66"/>
      <c r="H382" s="67"/>
      <c r="I382" s="67"/>
      <c r="J382" s="67"/>
      <c r="K382" s="65"/>
      <c r="L382" s="65"/>
      <c r="M382" s="65"/>
      <c r="N382" s="66"/>
      <c r="O382" s="66"/>
      <c r="P382" s="33" t="str">
        <f>IFERROR(MasterData!$B384,"")</f>
        <v/>
      </c>
      <c r="Q382" s="33" t="str">
        <f>IFERROR(MasterData!$C384,"")</f>
        <v/>
      </c>
      <c r="R382" s="33" t="str">
        <f>IFERROR(MasterData!$E384,"")</f>
        <v/>
      </c>
      <c r="S382" s="33" t="str">
        <f>IFERROR(MasterData!$G384,"")</f>
        <v/>
      </c>
      <c r="T382" s="33" t="str">
        <f>IFERROR(MasterData!$I384,"")</f>
        <v/>
      </c>
    </row>
    <row r="383" ht="21.75" customHeight="1">
      <c r="A383" s="56"/>
      <c r="B383" s="58"/>
      <c r="C383" s="53"/>
      <c r="D383" s="53"/>
      <c r="E383" s="56"/>
      <c r="F383" s="53"/>
      <c r="G383" s="53"/>
      <c r="H383" s="58"/>
      <c r="I383" s="58"/>
      <c r="J383" s="58"/>
      <c r="K383" s="49"/>
      <c r="L383" s="49"/>
      <c r="M383" s="49"/>
      <c r="N383" s="53"/>
      <c r="O383" s="53"/>
      <c r="P383" s="33" t="str">
        <f>IFERROR(MasterData!$B385,"")</f>
        <v/>
      </c>
      <c r="Q383" s="33" t="str">
        <f>IFERROR(MasterData!$C385,"")</f>
        <v/>
      </c>
      <c r="R383" s="33" t="str">
        <f>IFERROR(MasterData!$E385,"")</f>
        <v/>
      </c>
      <c r="S383" s="33" t="str">
        <f>IFERROR(MasterData!$G385,"")</f>
        <v/>
      </c>
      <c r="T383" s="33" t="str">
        <f>IFERROR(MasterData!$I385,"")</f>
        <v/>
      </c>
    </row>
    <row r="384" ht="21.75" customHeight="1">
      <c r="A384" s="68"/>
      <c r="B384" s="67"/>
      <c r="C384" s="66"/>
      <c r="D384" s="66"/>
      <c r="E384" s="68"/>
      <c r="F384" s="66"/>
      <c r="G384" s="66"/>
      <c r="H384" s="67"/>
      <c r="I384" s="67"/>
      <c r="J384" s="67"/>
      <c r="K384" s="65"/>
      <c r="L384" s="65"/>
      <c r="M384" s="65"/>
      <c r="N384" s="66"/>
      <c r="O384" s="66"/>
      <c r="P384" s="33" t="str">
        <f>IFERROR(MasterData!$B386,"")</f>
        <v/>
      </c>
      <c r="Q384" s="33" t="str">
        <f>IFERROR(MasterData!$C386,"")</f>
        <v/>
      </c>
      <c r="R384" s="33" t="str">
        <f>IFERROR(MasterData!$E386,"")</f>
        <v/>
      </c>
      <c r="S384" s="33" t="str">
        <f>IFERROR(MasterData!$G386,"")</f>
        <v/>
      </c>
      <c r="T384" s="33" t="str">
        <f>IFERROR(MasterData!$I386,"")</f>
        <v/>
      </c>
    </row>
    <row r="385" ht="21.75" customHeight="1">
      <c r="A385" s="56"/>
      <c r="B385" s="58"/>
      <c r="C385" s="53"/>
      <c r="D385" s="53"/>
      <c r="E385" s="56"/>
      <c r="F385" s="53"/>
      <c r="G385" s="53"/>
      <c r="H385" s="58"/>
      <c r="I385" s="58"/>
      <c r="J385" s="58"/>
      <c r="K385" s="49"/>
      <c r="L385" s="49"/>
      <c r="M385" s="49"/>
      <c r="N385" s="53"/>
      <c r="O385" s="53"/>
      <c r="P385" s="33" t="str">
        <f>IFERROR(MasterData!$B387,"")</f>
        <v/>
      </c>
      <c r="Q385" s="33" t="str">
        <f>IFERROR(MasterData!$C387,"")</f>
        <v/>
      </c>
      <c r="R385" s="33" t="str">
        <f>IFERROR(MasterData!$E387,"")</f>
        <v/>
      </c>
      <c r="S385" s="33" t="str">
        <f>IFERROR(MasterData!$G387,"")</f>
        <v/>
      </c>
      <c r="T385" s="33" t="str">
        <f>IFERROR(MasterData!$I387,"")</f>
        <v/>
      </c>
    </row>
    <row r="386" ht="21.75" customHeight="1">
      <c r="A386" s="68"/>
      <c r="B386" s="67"/>
      <c r="C386" s="66"/>
      <c r="D386" s="66"/>
      <c r="E386" s="68"/>
      <c r="F386" s="66"/>
      <c r="G386" s="66"/>
      <c r="H386" s="67"/>
      <c r="I386" s="67"/>
      <c r="J386" s="67"/>
      <c r="K386" s="65"/>
      <c r="L386" s="65"/>
      <c r="M386" s="65"/>
      <c r="N386" s="66"/>
      <c r="O386" s="66"/>
      <c r="P386" s="33" t="str">
        <f>IFERROR(MasterData!$B388,"")</f>
        <v/>
      </c>
      <c r="Q386" s="33" t="str">
        <f>IFERROR(MasterData!$C388,"")</f>
        <v/>
      </c>
      <c r="R386" s="33" t="str">
        <f>IFERROR(MasterData!$E388,"")</f>
        <v/>
      </c>
      <c r="S386" s="33" t="str">
        <f>IFERROR(MasterData!$G388,"")</f>
        <v/>
      </c>
      <c r="T386" s="33" t="str">
        <f>IFERROR(MasterData!$I388,"")</f>
        <v/>
      </c>
    </row>
    <row r="387" ht="21.75" customHeight="1">
      <c r="A387" s="56"/>
      <c r="B387" s="58"/>
      <c r="C387" s="53"/>
      <c r="D387" s="53"/>
      <c r="E387" s="56"/>
      <c r="F387" s="53"/>
      <c r="G387" s="53"/>
      <c r="H387" s="58"/>
      <c r="I387" s="58"/>
      <c r="J387" s="58"/>
      <c r="K387" s="49"/>
      <c r="L387" s="49"/>
      <c r="M387" s="49"/>
      <c r="N387" s="53"/>
      <c r="O387" s="53"/>
      <c r="P387" s="33" t="str">
        <f>IFERROR(MasterData!$B389,"")</f>
        <v/>
      </c>
      <c r="Q387" s="33" t="str">
        <f>IFERROR(MasterData!$C389,"")</f>
        <v/>
      </c>
      <c r="R387" s="33" t="str">
        <f>IFERROR(MasterData!$E389,"")</f>
        <v/>
      </c>
      <c r="S387" s="33" t="str">
        <f>IFERROR(MasterData!$G389,"")</f>
        <v/>
      </c>
      <c r="T387" s="33" t="str">
        <f>IFERROR(MasterData!$I389,"")</f>
        <v/>
      </c>
    </row>
    <row r="388" ht="21.75" customHeight="1">
      <c r="A388" s="68"/>
      <c r="B388" s="67"/>
      <c r="C388" s="66"/>
      <c r="D388" s="66"/>
      <c r="E388" s="68"/>
      <c r="F388" s="66"/>
      <c r="G388" s="66"/>
      <c r="H388" s="67"/>
      <c r="I388" s="67"/>
      <c r="J388" s="67"/>
      <c r="K388" s="65"/>
      <c r="L388" s="65"/>
      <c r="M388" s="65"/>
      <c r="N388" s="66"/>
      <c r="O388" s="66"/>
      <c r="P388" s="33" t="str">
        <f>IFERROR(MasterData!$B390,"")</f>
        <v/>
      </c>
      <c r="Q388" s="33" t="str">
        <f>IFERROR(MasterData!$C390,"")</f>
        <v/>
      </c>
      <c r="R388" s="33" t="str">
        <f>IFERROR(MasterData!$E390,"")</f>
        <v/>
      </c>
      <c r="S388" s="33" t="str">
        <f>IFERROR(MasterData!$G390,"")</f>
        <v/>
      </c>
      <c r="T388" s="33" t="str">
        <f>IFERROR(MasterData!$I390,"")</f>
        <v/>
      </c>
    </row>
    <row r="389" ht="21.75" customHeight="1">
      <c r="A389" s="56"/>
      <c r="B389" s="58"/>
      <c r="C389" s="53"/>
      <c r="D389" s="53"/>
      <c r="E389" s="56"/>
      <c r="F389" s="53"/>
      <c r="G389" s="53"/>
      <c r="H389" s="58"/>
      <c r="I389" s="58"/>
      <c r="J389" s="58"/>
      <c r="K389" s="49"/>
      <c r="L389" s="49"/>
      <c r="M389" s="49"/>
      <c r="N389" s="53"/>
      <c r="O389" s="53"/>
      <c r="P389" s="33" t="str">
        <f>IFERROR(MasterData!$B391,"")</f>
        <v/>
      </c>
      <c r="Q389" s="33" t="str">
        <f>IFERROR(MasterData!$C391,"")</f>
        <v/>
      </c>
      <c r="R389" s="33" t="str">
        <f>IFERROR(MasterData!$E391,"")</f>
        <v/>
      </c>
      <c r="S389" s="33" t="str">
        <f>IFERROR(MasterData!$G391,"")</f>
        <v/>
      </c>
      <c r="T389" s="33" t="str">
        <f>IFERROR(MasterData!$I391,"")</f>
        <v/>
      </c>
    </row>
    <row r="390" ht="21.75" customHeight="1">
      <c r="A390" s="68"/>
      <c r="B390" s="67"/>
      <c r="C390" s="66"/>
      <c r="D390" s="66"/>
      <c r="E390" s="68"/>
      <c r="F390" s="66"/>
      <c r="G390" s="66"/>
      <c r="H390" s="67"/>
      <c r="I390" s="67"/>
      <c r="J390" s="67"/>
      <c r="K390" s="65"/>
      <c r="L390" s="65"/>
      <c r="M390" s="65"/>
      <c r="N390" s="66"/>
      <c r="O390" s="66"/>
      <c r="P390" s="33" t="str">
        <f>IFERROR(MasterData!$B392,"")</f>
        <v/>
      </c>
      <c r="Q390" s="33" t="str">
        <f>IFERROR(MasterData!$C392,"")</f>
        <v/>
      </c>
      <c r="R390" s="33" t="str">
        <f>IFERROR(MasterData!$E392,"")</f>
        <v/>
      </c>
      <c r="S390" s="33" t="str">
        <f>IFERROR(MasterData!$G392,"")</f>
        <v/>
      </c>
      <c r="T390" s="33" t="str">
        <f>IFERROR(MasterData!$I392,"")</f>
        <v/>
      </c>
    </row>
    <row r="391" ht="21.75" customHeight="1">
      <c r="A391" s="56"/>
      <c r="B391" s="58"/>
      <c r="C391" s="53"/>
      <c r="D391" s="53"/>
      <c r="E391" s="56"/>
      <c r="F391" s="53"/>
      <c r="G391" s="53"/>
      <c r="H391" s="58"/>
      <c r="I391" s="58"/>
      <c r="J391" s="58"/>
      <c r="K391" s="49"/>
      <c r="L391" s="49"/>
      <c r="M391" s="49"/>
      <c r="N391" s="53"/>
      <c r="O391" s="53"/>
      <c r="P391" s="33" t="str">
        <f>IFERROR(MasterData!$B393,"")</f>
        <v/>
      </c>
      <c r="Q391" s="33" t="str">
        <f>IFERROR(MasterData!$C393,"")</f>
        <v/>
      </c>
      <c r="R391" s="33" t="str">
        <f>IFERROR(MasterData!$E393,"")</f>
        <v/>
      </c>
      <c r="S391" s="33" t="str">
        <f>IFERROR(MasterData!$G393,"")</f>
        <v/>
      </c>
      <c r="T391" s="33" t="str">
        <f>IFERROR(MasterData!$I393,"")</f>
        <v/>
      </c>
    </row>
    <row r="392" ht="21.75" customHeight="1">
      <c r="A392" s="68"/>
      <c r="B392" s="67"/>
      <c r="C392" s="66"/>
      <c r="D392" s="66"/>
      <c r="E392" s="68"/>
      <c r="F392" s="66"/>
      <c r="G392" s="66"/>
      <c r="H392" s="67"/>
      <c r="I392" s="67"/>
      <c r="J392" s="67"/>
      <c r="K392" s="65"/>
      <c r="L392" s="65"/>
      <c r="M392" s="65"/>
      <c r="N392" s="66"/>
      <c r="O392" s="66"/>
      <c r="P392" s="33" t="str">
        <f>IFERROR(MasterData!$B394,"")</f>
        <v/>
      </c>
      <c r="Q392" s="33" t="str">
        <f>IFERROR(MasterData!$C394,"")</f>
        <v/>
      </c>
      <c r="R392" s="33" t="str">
        <f>IFERROR(MasterData!$E394,"")</f>
        <v/>
      </c>
      <c r="S392" s="33" t="str">
        <f>IFERROR(MasterData!$G394,"")</f>
        <v/>
      </c>
      <c r="T392" s="33" t="str">
        <f>IFERROR(MasterData!$I394,"")</f>
        <v/>
      </c>
    </row>
    <row r="393" ht="21.75" customHeight="1">
      <c r="A393" s="56"/>
      <c r="B393" s="58"/>
      <c r="C393" s="53"/>
      <c r="D393" s="53"/>
      <c r="E393" s="56"/>
      <c r="F393" s="53"/>
      <c r="G393" s="53"/>
      <c r="H393" s="58"/>
      <c r="I393" s="58"/>
      <c r="J393" s="58"/>
      <c r="K393" s="49"/>
      <c r="L393" s="49"/>
      <c r="M393" s="49"/>
      <c r="N393" s="53"/>
      <c r="O393" s="53"/>
      <c r="P393" s="33" t="str">
        <f>IFERROR(MasterData!$B395,"")</f>
        <v/>
      </c>
      <c r="Q393" s="33" t="str">
        <f>IFERROR(MasterData!$C395,"")</f>
        <v/>
      </c>
      <c r="R393" s="33" t="str">
        <f>IFERROR(MasterData!$E395,"")</f>
        <v/>
      </c>
      <c r="S393" s="33" t="str">
        <f>IFERROR(MasterData!$G395,"")</f>
        <v/>
      </c>
      <c r="T393" s="33" t="str">
        <f>IFERROR(MasterData!$I395,"")</f>
        <v/>
      </c>
    </row>
    <row r="394" ht="21.75" customHeight="1">
      <c r="A394" s="68"/>
      <c r="B394" s="67"/>
      <c r="C394" s="66"/>
      <c r="D394" s="66"/>
      <c r="E394" s="68"/>
      <c r="F394" s="66"/>
      <c r="G394" s="66"/>
      <c r="H394" s="67"/>
      <c r="I394" s="67"/>
      <c r="J394" s="67"/>
      <c r="K394" s="65"/>
      <c r="L394" s="65"/>
      <c r="M394" s="65"/>
      <c r="N394" s="66"/>
      <c r="O394" s="66"/>
      <c r="P394" s="33" t="str">
        <f>IFERROR(MasterData!$B396,"")</f>
        <v/>
      </c>
      <c r="Q394" s="33" t="str">
        <f>IFERROR(MasterData!$C396,"")</f>
        <v/>
      </c>
      <c r="R394" s="33" t="str">
        <f>IFERROR(MasterData!$E396,"")</f>
        <v/>
      </c>
      <c r="S394" s="33" t="str">
        <f>IFERROR(MasterData!$G396,"")</f>
        <v/>
      </c>
      <c r="T394" s="33" t="str">
        <f>IFERROR(MasterData!$I396,"")</f>
        <v/>
      </c>
    </row>
    <row r="395" ht="21.75" customHeight="1">
      <c r="A395" s="56"/>
      <c r="B395" s="58"/>
      <c r="C395" s="53"/>
      <c r="D395" s="53"/>
      <c r="E395" s="56"/>
      <c r="F395" s="53"/>
      <c r="G395" s="53"/>
      <c r="H395" s="58"/>
      <c r="I395" s="58"/>
      <c r="J395" s="58"/>
      <c r="K395" s="49"/>
      <c r="L395" s="49"/>
      <c r="M395" s="49"/>
      <c r="N395" s="53"/>
      <c r="O395" s="53"/>
      <c r="P395" s="33" t="str">
        <f>IFERROR(MasterData!$B397,"")</f>
        <v/>
      </c>
      <c r="Q395" s="33" t="str">
        <f>IFERROR(MasterData!$C397,"")</f>
        <v/>
      </c>
      <c r="R395" s="33" t="str">
        <f>IFERROR(MasterData!$E397,"")</f>
        <v/>
      </c>
      <c r="S395" s="33" t="str">
        <f>IFERROR(MasterData!$G397,"")</f>
        <v/>
      </c>
      <c r="T395" s="33" t="str">
        <f>IFERROR(MasterData!$I397,"")</f>
        <v/>
      </c>
    </row>
    <row r="396" ht="21.75" customHeight="1">
      <c r="A396" s="68"/>
      <c r="B396" s="67"/>
      <c r="C396" s="66"/>
      <c r="D396" s="66"/>
      <c r="E396" s="68"/>
      <c r="F396" s="66"/>
      <c r="G396" s="66"/>
      <c r="H396" s="67"/>
      <c r="I396" s="67"/>
      <c r="J396" s="67"/>
      <c r="K396" s="65"/>
      <c r="L396" s="65"/>
      <c r="M396" s="65"/>
      <c r="N396" s="66"/>
      <c r="O396" s="66"/>
      <c r="P396" s="33" t="str">
        <f>IFERROR(MasterData!$B398,"")</f>
        <v/>
      </c>
      <c r="Q396" s="33" t="str">
        <f>IFERROR(MasterData!$C398,"")</f>
        <v/>
      </c>
      <c r="R396" s="33" t="str">
        <f>IFERROR(MasterData!$E398,"")</f>
        <v/>
      </c>
      <c r="S396" s="33" t="str">
        <f>IFERROR(MasterData!$G398,"")</f>
        <v/>
      </c>
      <c r="T396" s="33" t="str">
        <f>IFERROR(MasterData!$I398,"")</f>
        <v/>
      </c>
    </row>
    <row r="397" ht="21.75" customHeight="1">
      <c r="A397" s="56"/>
      <c r="B397" s="58"/>
      <c r="C397" s="53"/>
      <c r="D397" s="53"/>
      <c r="E397" s="56"/>
      <c r="F397" s="53"/>
      <c r="G397" s="53"/>
      <c r="H397" s="58"/>
      <c r="I397" s="58"/>
      <c r="J397" s="58"/>
      <c r="K397" s="49"/>
      <c r="L397" s="49"/>
      <c r="M397" s="49"/>
      <c r="N397" s="53"/>
      <c r="O397" s="53"/>
      <c r="P397" s="33" t="str">
        <f>IFERROR(MasterData!$B399,"")</f>
        <v/>
      </c>
      <c r="Q397" s="33" t="str">
        <f>IFERROR(MasterData!$C399,"")</f>
        <v/>
      </c>
      <c r="R397" s="33" t="str">
        <f>IFERROR(MasterData!$E399,"")</f>
        <v/>
      </c>
      <c r="S397" s="33" t="str">
        <f>IFERROR(MasterData!$G399,"")</f>
        <v/>
      </c>
      <c r="T397" s="33" t="str">
        <f>IFERROR(MasterData!$I399,"")</f>
        <v/>
      </c>
    </row>
    <row r="398" ht="21.75" customHeight="1">
      <c r="A398" s="68"/>
      <c r="B398" s="67"/>
      <c r="C398" s="66"/>
      <c r="D398" s="66"/>
      <c r="E398" s="68"/>
      <c r="F398" s="66"/>
      <c r="G398" s="66"/>
      <c r="H398" s="67"/>
      <c r="I398" s="67"/>
      <c r="J398" s="67"/>
      <c r="K398" s="65"/>
      <c r="L398" s="65"/>
      <c r="M398" s="65"/>
      <c r="N398" s="66"/>
      <c r="O398" s="66"/>
      <c r="P398" s="33" t="str">
        <f>IFERROR(MasterData!$B400,"")</f>
        <v/>
      </c>
      <c r="Q398" s="33" t="str">
        <f>IFERROR(MasterData!$C400,"")</f>
        <v/>
      </c>
      <c r="R398" s="33" t="str">
        <f>IFERROR(MasterData!$E400,"")</f>
        <v/>
      </c>
      <c r="S398" s="33" t="str">
        <f>IFERROR(MasterData!$G400,"")</f>
        <v/>
      </c>
      <c r="T398" s="33" t="str">
        <f>IFERROR(MasterData!$I400,"")</f>
        <v/>
      </c>
    </row>
    <row r="399" ht="21.75" customHeight="1">
      <c r="A399" s="56"/>
      <c r="B399" s="58"/>
      <c r="C399" s="53"/>
      <c r="D399" s="53"/>
      <c r="E399" s="56"/>
      <c r="F399" s="53"/>
      <c r="G399" s="53"/>
      <c r="H399" s="58"/>
      <c r="I399" s="58"/>
      <c r="J399" s="58"/>
      <c r="K399" s="49"/>
      <c r="L399" s="49"/>
      <c r="M399" s="49"/>
      <c r="N399" s="53"/>
      <c r="O399" s="53"/>
      <c r="P399" s="33" t="str">
        <f>IFERROR(MasterData!$B401,"")</f>
        <v/>
      </c>
      <c r="Q399" s="33" t="str">
        <f>IFERROR(MasterData!$C401,"")</f>
        <v/>
      </c>
      <c r="R399" s="33" t="str">
        <f>IFERROR(MasterData!$E401,"")</f>
        <v/>
      </c>
      <c r="S399" s="33" t="str">
        <f>IFERROR(MasterData!$G401,"")</f>
        <v/>
      </c>
      <c r="T399" s="33" t="str">
        <f>IFERROR(MasterData!$I401,"")</f>
        <v/>
      </c>
    </row>
    <row r="400" ht="21.75" customHeight="1">
      <c r="A400" s="68"/>
      <c r="B400" s="67"/>
      <c r="C400" s="66"/>
      <c r="D400" s="66"/>
      <c r="E400" s="68"/>
      <c r="F400" s="66"/>
      <c r="G400" s="66"/>
      <c r="H400" s="67"/>
      <c r="I400" s="67"/>
      <c r="J400" s="67"/>
      <c r="K400" s="65"/>
      <c r="L400" s="65"/>
      <c r="M400" s="65"/>
      <c r="N400" s="66"/>
      <c r="O400" s="66"/>
      <c r="P400" s="33" t="str">
        <f>IFERROR(MasterData!$B402,"")</f>
        <v/>
      </c>
      <c r="Q400" s="33" t="str">
        <f>IFERROR(MasterData!$C402,"")</f>
        <v/>
      </c>
      <c r="R400" s="33" t="str">
        <f>IFERROR(MasterData!$E402,"")</f>
        <v/>
      </c>
      <c r="S400" s="33" t="str">
        <f>IFERROR(MasterData!$G402,"")</f>
        <v/>
      </c>
      <c r="T400" s="33" t="str">
        <f>IFERROR(MasterData!$I402,"")</f>
        <v/>
      </c>
    </row>
    <row r="401" ht="21.75" customHeight="1">
      <c r="A401" s="56"/>
      <c r="B401" s="58"/>
      <c r="C401" s="53"/>
      <c r="D401" s="53"/>
      <c r="E401" s="56"/>
      <c r="F401" s="53"/>
      <c r="G401" s="53"/>
      <c r="H401" s="58"/>
      <c r="I401" s="58"/>
      <c r="J401" s="58"/>
      <c r="K401" s="49"/>
      <c r="L401" s="49"/>
      <c r="M401" s="49"/>
      <c r="N401" s="53"/>
      <c r="O401" s="53"/>
      <c r="P401" s="33" t="str">
        <f>IFERROR(MasterData!$B403,"")</f>
        <v/>
      </c>
      <c r="Q401" s="33" t="str">
        <f>IFERROR(MasterData!$C403,"")</f>
        <v/>
      </c>
      <c r="R401" s="33" t="str">
        <f>IFERROR(MasterData!$E403,"")</f>
        <v/>
      </c>
      <c r="S401" s="33" t="str">
        <f>IFERROR(MasterData!$G403,"")</f>
        <v/>
      </c>
      <c r="T401" s="33" t="str">
        <f>IFERROR(MasterData!$I403,"")</f>
        <v/>
      </c>
    </row>
    <row r="402" ht="21.75" customHeight="1">
      <c r="A402" s="68"/>
      <c r="B402" s="67"/>
      <c r="C402" s="66"/>
      <c r="D402" s="66"/>
      <c r="E402" s="68"/>
      <c r="F402" s="66"/>
      <c r="G402" s="66"/>
      <c r="H402" s="67"/>
      <c r="I402" s="67"/>
      <c r="J402" s="67"/>
      <c r="K402" s="65"/>
      <c r="L402" s="65"/>
      <c r="M402" s="65"/>
      <c r="N402" s="66"/>
      <c r="O402" s="66"/>
      <c r="P402" s="33" t="str">
        <f>IFERROR(MasterData!$B404,"")</f>
        <v/>
      </c>
      <c r="Q402" s="33" t="str">
        <f>IFERROR(MasterData!$C404,"")</f>
        <v/>
      </c>
      <c r="R402" s="33" t="str">
        <f>IFERROR(MasterData!$E404,"")</f>
        <v/>
      </c>
      <c r="S402" s="33" t="str">
        <f>IFERROR(MasterData!$G404,"")</f>
        <v/>
      </c>
      <c r="T402" s="33" t="str">
        <f>IFERROR(MasterData!$I404,"")</f>
        <v/>
      </c>
    </row>
    <row r="403" ht="21.75" customHeight="1">
      <c r="A403" s="56"/>
      <c r="B403" s="58"/>
      <c r="C403" s="53"/>
      <c r="D403" s="53"/>
      <c r="E403" s="56"/>
      <c r="F403" s="53"/>
      <c r="G403" s="53"/>
      <c r="H403" s="58"/>
      <c r="I403" s="58"/>
      <c r="J403" s="58"/>
      <c r="K403" s="49"/>
      <c r="L403" s="49"/>
      <c r="M403" s="49"/>
      <c r="N403" s="53"/>
      <c r="O403" s="53"/>
      <c r="P403" s="33" t="str">
        <f>IFERROR(MasterData!$B405,"")</f>
        <v/>
      </c>
      <c r="Q403" s="33" t="str">
        <f>IFERROR(MasterData!$C405,"")</f>
        <v/>
      </c>
      <c r="R403" s="33" t="str">
        <f>IFERROR(MasterData!$E405,"")</f>
        <v/>
      </c>
      <c r="S403" s="33" t="str">
        <f>IFERROR(MasterData!$G405,"")</f>
        <v/>
      </c>
      <c r="T403" s="33" t="str">
        <f>IFERROR(MasterData!$I405,"")</f>
        <v/>
      </c>
    </row>
    <row r="404" ht="21.75" customHeight="1">
      <c r="A404" s="68"/>
      <c r="B404" s="67"/>
      <c r="C404" s="66"/>
      <c r="D404" s="66"/>
      <c r="E404" s="68"/>
      <c r="F404" s="66"/>
      <c r="G404" s="66"/>
      <c r="H404" s="67"/>
      <c r="I404" s="67"/>
      <c r="J404" s="67"/>
      <c r="K404" s="65"/>
      <c r="L404" s="65"/>
      <c r="M404" s="65"/>
      <c r="N404" s="66"/>
      <c r="O404" s="66"/>
      <c r="P404" s="33" t="str">
        <f>IFERROR(MasterData!$B406,"")</f>
        <v/>
      </c>
      <c r="Q404" s="33" t="str">
        <f>IFERROR(MasterData!$C406,"")</f>
        <v/>
      </c>
      <c r="R404" s="33" t="str">
        <f>IFERROR(MasterData!$E406,"")</f>
        <v/>
      </c>
      <c r="S404" s="33" t="str">
        <f>IFERROR(MasterData!$G406,"")</f>
        <v/>
      </c>
      <c r="T404" s="33" t="str">
        <f>IFERROR(MasterData!$I406,"")</f>
        <v/>
      </c>
    </row>
    <row r="405" ht="21.75" customHeight="1">
      <c r="A405" s="56"/>
      <c r="B405" s="58"/>
      <c r="C405" s="53"/>
      <c r="D405" s="53"/>
      <c r="E405" s="56"/>
      <c r="F405" s="53"/>
      <c r="G405" s="53"/>
      <c r="H405" s="58"/>
      <c r="I405" s="58"/>
      <c r="J405" s="58"/>
      <c r="K405" s="49"/>
      <c r="L405" s="49"/>
      <c r="M405" s="49"/>
      <c r="N405" s="53"/>
      <c r="O405" s="53"/>
      <c r="P405" s="33" t="str">
        <f>IFERROR(MasterData!$B407,"")</f>
        <v/>
      </c>
      <c r="Q405" s="33" t="str">
        <f>IFERROR(MasterData!$C407,"")</f>
        <v/>
      </c>
      <c r="R405" s="33" t="str">
        <f>IFERROR(MasterData!$E407,"")</f>
        <v/>
      </c>
      <c r="S405" s="33" t="str">
        <f>IFERROR(MasterData!$G407,"")</f>
        <v/>
      </c>
      <c r="T405" s="33" t="str">
        <f>IFERROR(MasterData!$I407,"")</f>
        <v/>
      </c>
    </row>
    <row r="406" ht="21.75" customHeight="1">
      <c r="A406" s="68"/>
      <c r="B406" s="67"/>
      <c r="C406" s="66"/>
      <c r="D406" s="66"/>
      <c r="E406" s="68"/>
      <c r="F406" s="66"/>
      <c r="G406" s="66"/>
      <c r="H406" s="67"/>
      <c r="I406" s="67"/>
      <c r="J406" s="67"/>
      <c r="K406" s="65"/>
      <c r="L406" s="65"/>
      <c r="M406" s="65"/>
      <c r="N406" s="66"/>
      <c r="O406" s="66"/>
      <c r="P406" s="33" t="str">
        <f>IFERROR(MasterData!$B408,"")</f>
        <v/>
      </c>
      <c r="Q406" s="33" t="str">
        <f>IFERROR(MasterData!$C408,"")</f>
        <v/>
      </c>
      <c r="R406" s="33" t="str">
        <f>IFERROR(MasterData!$E408,"")</f>
        <v/>
      </c>
      <c r="S406" s="33" t="str">
        <f>IFERROR(MasterData!$G408,"")</f>
        <v/>
      </c>
      <c r="T406" s="33" t="str">
        <f>IFERROR(MasterData!$I408,"")</f>
        <v/>
      </c>
    </row>
    <row r="407" ht="21.75" customHeight="1">
      <c r="A407" s="56"/>
      <c r="B407" s="58"/>
      <c r="C407" s="53"/>
      <c r="D407" s="53"/>
      <c r="E407" s="56"/>
      <c r="F407" s="53"/>
      <c r="G407" s="53"/>
      <c r="H407" s="58"/>
      <c r="I407" s="58"/>
      <c r="J407" s="58"/>
      <c r="K407" s="49"/>
      <c r="L407" s="49"/>
      <c r="M407" s="49"/>
      <c r="N407" s="53"/>
      <c r="O407" s="53"/>
      <c r="P407" s="33" t="str">
        <f>IFERROR(MasterData!$B409,"")</f>
        <v/>
      </c>
      <c r="Q407" s="33" t="str">
        <f>IFERROR(MasterData!$C409,"")</f>
        <v/>
      </c>
      <c r="R407" s="33" t="str">
        <f>IFERROR(MasterData!$E409,"")</f>
        <v/>
      </c>
      <c r="S407" s="33" t="str">
        <f>IFERROR(MasterData!$G409,"")</f>
        <v/>
      </c>
      <c r="T407" s="33" t="str">
        <f>IFERROR(MasterData!$I409,"")</f>
        <v/>
      </c>
    </row>
    <row r="408" ht="21.75" customHeight="1">
      <c r="A408" s="68"/>
      <c r="B408" s="67"/>
      <c r="C408" s="66"/>
      <c r="D408" s="66"/>
      <c r="E408" s="68"/>
      <c r="F408" s="66"/>
      <c r="G408" s="66"/>
      <c r="H408" s="67"/>
      <c r="I408" s="67"/>
      <c r="J408" s="67"/>
      <c r="K408" s="65"/>
      <c r="L408" s="65"/>
      <c r="M408" s="65"/>
      <c r="N408" s="66"/>
      <c r="O408" s="66"/>
      <c r="P408" s="33" t="str">
        <f>IFERROR(MasterData!$B410,"")</f>
        <v/>
      </c>
      <c r="Q408" s="33" t="str">
        <f>IFERROR(MasterData!$C410,"")</f>
        <v/>
      </c>
      <c r="R408" s="33" t="str">
        <f>IFERROR(MasterData!$E410,"")</f>
        <v/>
      </c>
      <c r="S408" s="33" t="str">
        <f>IFERROR(MasterData!$G410,"")</f>
        <v/>
      </c>
      <c r="T408" s="33" t="str">
        <f>IFERROR(MasterData!$I410,"")</f>
        <v/>
      </c>
    </row>
    <row r="409" ht="21.75" customHeight="1">
      <c r="A409" s="56"/>
      <c r="B409" s="58"/>
      <c r="C409" s="53"/>
      <c r="D409" s="53"/>
      <c r="E409" s="56"/>
      <c r="F409" s="53"/>
      <c r="G409" s="53"/>
      <c r="H409" s="58"/>
      <c r="I409" s="58"/>
      <c r="J409" s="58"/>
      <c r="K409" s="49"/>
      <c r="L409" s="49"/>
      <c r="M409" s="49"/>
      <c r="N409" s="53"/>
      <c r="O409" s="53"/>
      <c r="P409" s="33" t="str">
        <f>IFERROR(MasterData!$B411,"")</f>
        <v/>
      </c>
      <c r="Q409" s="33" t="str">
        <f>IFERROR(MasterData!$C411,"")</f>
        <v/>
      </c>
      <c r="R409" s="33" t="str">
        <f>IFERROR(MasterData!$E411,"")</f>
        <v/>
      </c>
      <c r="S409" s="33" t="str">
        <f>IFERROR(MasterData!$G411,"")</f>
        <v/>
      </c>
      <c r="T409" s="33" t="str">
        <f>IFERROR(MasterData!$I411,"")</f>
        <v/>
      </c>
    </row>
    <row r="410" ht="21.75" customHeight="1">
      <c r="A410" s="68"/>
      <c r="B410" s="67"/>
      <c r="C410" s="66"/>
      <c r="D410" s="66"/>
      <c r="E410" s="68"/>
      <c r="F410" s="66"/>
      <c r="G410" s="66"/>
      <c r="H410" s="67"/>
      <c r="I410" s="67"/>
      <c r="J410" s="67"/>
      <c r="K410" s="65"/>
      <c r="L410" s="65"/>
      <c r="M410" s="65"/>
      <c r="N410" s="66"/>
      <c r="O410" s="66"/>
      <c r="P410" s="33" t="str">
        <f>IFERROR(MasterData!$B412,"")</f>
        <v/>
      </c>
      <c r="Q410" s="33" t="str">
        <f>IFERROR(MasterData!$C412,"")</f>
        <v/>
      </c>
      <c r="R410" s="33" t="str">
        <f>IFERROR(MasterData!$E412,"")</f>
        <v/>
      </c>
      <c r="S410" s="33" t="str">
        <f>IFERROR(MasterData!$G412,"")</f>
        <v/>
      </c>
      <c r="T410" s="33" t="str">
        <f>IFERROR(MasterData!$I412,"")</f>
        <v/>
      </c>
    </row>
    <row r="411" ht="21.75" customHeight="1">
      <c r="A411" s="56"/>
      <c r="B411" s="58"/>
      <c r="C411" s="53"/>
      <c r="D411" s="53"/>
      <c r="E411" s="56"/>
      <c r="F411" s="53"/>
      <c r="G411" s="53"/>
      <c r="H411" s="58"/>
      <c r="I411" s="58"/>
      <c r="J411" s="58"/>
      <c r="K411" s="49"/>
      <c r="L411" s="49"/>
      <c r="M411" s="49"/>
      <c r="N411" s="53"/>
      <c r="O411" s="53"/>
      <c r="P411" s="33" t="str">
        <f>IFERROR(MasterData!$B413,"")</f>
        <v/>
      </c>
      <c r="Q411" s="33" t="str">
        <f>IFERROR(MasterData!$C413,"")</f>
        <v/>
      </c>
      <c r="R411" s="33" t="str">
        <f>IFERROR(MasterData!$E413,"")</f>
        <v/>
      </c>
      <c r="S411" s="33" t="str">
        <f>IFERROR(MasterData!$G413,"")</f>
        <v/>
      </c>
      <c r="T411" s="33" t="str">
        <f>IFERROR(MasterData!$I413,"")</f>
        <v/>
      </c>
    </row>
    <row r="412" ht="21.75" customHeight="1">
      <c r="A412" s="68"/>
      <c r="B412" s="67"/>
      <c r="C412" s="66"/>
      <c r="D412" s="66"/>
      <c r="E412" s="68"/>
      <c r="F412" s="66"/>
      <c r="G412" s="66"/>
      <c r="H412" s="67"/>
      <c r="I412" s="67"/>
      <c r="J412" s="67"/>
      <c r="K412" s="65"/>
      <c r="L412" s="65"/>
      <c r="M412" s="65"/>
      <c r="N412" s="66"/>
      <c r="O412" s="66"/>
      <c r="P412" s="33" t="str">
        <f>IFERROR(MasterData!$B414,"")</f>
        <v/>
      </c>
      <c r="Q412" s="33" t="str">
        <f>IFERROR(MasterData!$C414,"")</f>
        <v/>
      </c>
      <c r="R412" s="33" t="str">
        <f>IFERROR(MasterData!$E414,"")</f>
        <v/>
      </c>
      <c r="S412" s="33" t="str">
        <f>IFERROR(MasterData!$G414,"")</f>
        <v/>
      </c>
      <c r="T412" s="33" t="str">
        <f>IFERROR(MasterData!$I414,"")</f>
        <v/>
      </c>
    </row>
    <row r="413" ht="21.75" customHeight="1">
      <c r="A413" s="56"/>
      <c r="B413" s="58"/>
      <c r="C413" s="53"/>
      <c r="D413" s="53"/>
      <c r="E413" s="56"/>
      <c r="F413" s="53"/>
      <c r="G413" s="53"/>
      <c r="H413" s="58"/>
      <c r="I413" s="58"/>
      <c r="J413" s="58"/>
      <c r="K413" s="49"/>
      <c r="L413" s="49"/>
      <c r="M413" s="49"/>
      <c r="N413" s="53"/>
      <c r="O413" s="53"/>
      <c r="P413" s="33" t="str">
        <f>IFERROR(MasterData!$B415,"")</f>
        <v/>
      </c>
      <c r="Q413" s="33" t="str">
        <f>IFERROR(MasterData!$C415,"")</f>
        <v/>
      </c>
      <c r="R413" s="33" t="str">
        <f>IFERROR(MasterData!$E415,"")</f>
        <v/>
      </c>
      <c r="S413" s="33" t="str">
        <f>IFERROR(MasterData!$G415,"")</f>
        <v/>
      </c>
      <c r="T413" s="33" t="str">
        <f>IFERROR(MasterData!$I415,"")</f>
        <v/>
      </c>
    </row>
    <row r="414" ht="21.75" customHeight="1">
      <c r="A414" s="68"/>
      <c r="B414" s="67"/>
      <c r="C414" s="66"/>
      <c r="D414" s="66"/>
      <c r="E414" s="68"/>
      <c r="F414" s="66"/>
      <c r="G414" s="66"/>
      <c r="H414" s="67"/>
      <c r="I414" s="67"/>
      <c r="J414" s="67"/>
      <c r="K414" s="65"/>
      <c r="L414" s="65"/>
      <c r="M414" s="65"/>
      <c r="N414" s="66"/>
      <c r="O414" s="66"/>
      <c r="P414" s="33" t="str">
        <f>IFERROR(MasterData!$B416,"")</f>
        <v/>
      </c>
      <c r="Q414" s="33" t="str">
        <f>IFERROR(MasterData!$C416,"")</f>
        <v/>
      </c>
      <c r="R414" s="33" t="str">
        <f>IFERROR(MasterData!$E416,"")</f>
        <v/>
      </c>
      <c r="S414" s="33" t="str">
        <f>IFERROR(MasterData!$G416,"")</f>
        <v/>
      </c>
      <c r="T414" s="33" t="str">
        <f>IFERROR(MasterData!$I416,"")</f>
        <v/>
      </c>
    </row>
    <row r="415" ht="21.75" customHeight="1">
      <c r="A415" s="56"/>
      <c r="B415" s="58"/>
      <c r="C415" s="53"/>
      <c r="D415" s="53"/>
      <c r="E415" s="56"/>
      <c r="F415" s="53"/>
      <c r="G415" s="53"/>
      <c r="H415" s="58"/>
      <c r="I415" s="58"/>
      <c r="J415" s="58"/>
      <c r="K415" s="49"/>
      <c r="L415" s="49"/>
      <c r="M415" s="49"/>
      <c r="N415" s="53"/>
      <c r="O415" s="53"/>
      <c r="P415" s="33" t="str">
        <f>IFERROR(MasterData!$B417,"")</f>
        <v/>
      </c>
      <c r="Q415" s="33" t="str">
        <f>IFERROR(MasterData!$C417,"")</f>
        <v/>
      </c>
      <c r="R415" s="33" t="str">
        <f>IFERROR(MasterData!$E417,"")</f>
        <v/>
      </c>
      <c r="S415" s="33" t="str">
        <f>IFERROR(MasterData!$G417,"")</f>
        <v/>
      </c>
      <c r="T415" s="33" t="str">
        <f>IFERROR(MasterData!$I417,"")</f>
        <v/>
      </c>
    </row>
    <row r="416" ht="21.75" customHeight="1">
      <c r="A416" s="68"/>
      <c r="B416" s="67"/>
      <c r="C416" s="66"/>
      <c r="D416" s="66"/>
      <c r="E416" s="68"/>
      <c r="F416" s="66"/>
      <c r="G416" s="66"/>
      <c r="H416" s="67"/>
      <c r="I416" s="67"/>
      <c r="J416" s="67"/>
      <c r="K416" s="65"/>
      <c r="L416" s="65"/>
      <c r="M416" s="65"/>
      <c r="N416" s="66"/>
      <c r="O416" s="66"/>
      <c r="P416" s="33" t="str">
        <f>IFERROR(MasterData!$B418,"")</f>
        <v/>
      </c>
      <c r="Q416" s="33" t="str">
        <f>IFERROR(MasterData!$C418,"")</f>
        <v/>
      </c>
      <c r="R416" s="33" t="str">
        <f>IFERROR(MasterData!$E418,"")</f>
        <v/>
      </c>
      <c r="S416" s="33" t="str">
        <f>IFERROR(MasterData!$G418,"")</f>
        <v/>
      </c>
      <c r="T416" s="33" t="str">
        <f>IFERROR(MasterData!$I418,"")</f>
        <v/>
      </c>
    </row>
    <row r="417" ht="21.75" customHeight="1">
      <c r="A417" s="56"/>
      <c r="B417" s="58"/>
      <c r="C417" s="53"/>
      <c r="D417" s="53"/>
      <c r="E417" s="56"/>
      <c r="F417" s="53"/>
      <c r="G417" s="53"/>
      <c r="H417" s="58"/>
      <c r="I417" s="58"/>
      <c r="J417" s="58"/>
      <c r="K417" s="49"/>
      <c r="L417" s="49"/>
      <c r="M417" s="49"/>
      <c r="N417" s="53"/>
      <c r="O417" s="53"/>
      <c r="P417" s="33" t="str">
        <f>IFERROR(MasterData!$B419,"")</f>
        <v/>
      </c>
      <c r="Q417" s="33" t="str">
        <f>IFERROR(MasterData!$C419,"")</f>
        <v/>
      </c>
      <c r="R417" s="33" t="str">
        <f>IFERROR(MasterData!$E419,"")</f>
        <v/>
      </c>
      <c r="S417" s="33" t="str">
        <f>IFERROR(MasterData!$G419,"")</f>
        <v/>
      </c>
      <c r="T417" s="33" t="str">
        <f>IFERROR(MasterData!$I419,"")</f>
        <v/>
      </c>
    </row>
    <row r="418" ht="21.75" customHeight="1">
      <c r="A418" s="68"/>
      <c r="B418" s="67"/>
      <c r="C418" s="66"/>
      <c r="D418" s="66"/>
      <c r="E418" s="68"/>
      <c r="F418" s="66"/>
      <c r="G418" s="66"/>
      <c r="H418" s="67"/>
      <c r="I418" s="67"/>
      <c r="J418" s="67"/>
      <c r="K418" s="65"/>
      <c r="L418" s="65"/>
      <c r="M418" s="65"/>
      <c r="N418" s="66"/>
      <c r="O418" s="66"/>
      <c r="P418" s="33" t="str">
        <f>IFERROR(MasterData!$B420,"")</f>
        <v/>
      </c>
      <c r="Q418" s="33" t="str">
        <f>IFERROR(MasterData!$C420,"")</f>
        <v/>
      </c>
      <c r="R418" s="33" t="str">
        <f>IFERROR(MasterData!$E420,"")</f>
        <v/>
      </c>
      <c r="S418" s="33" t="str">
        <f>IFERROR(MasterData!$G420,"")</f>
        <v/>
      </c>
      <c r="T418" s="33" t="str">
        <f>IFERROR(MasterData!$I420,"")</f>
        <v/>
      </c>
    </row>
    <row r="419" ht="21.75" customHeight="1">
      <c r="A419" s="56"/>
      <c r="B419" s="58"/>
      <c r="C419" s="53"/>
      <c r="D419" s="53"/>
      <c r="E419" s="56"/>
      <c r="F419" s="53"/>
      <c r="G419" s="53"/>
      <c r="H419" s="58"/>
      <c r="I419" s="58"/>
      <c r="J419" s="58"/>
      <c r="K419" s="49"/>
      <c r="L419" s="49"/>
      <c r="M419" s="49"/>
      <c r="N419" s="53"/>
      <c r="O419" s="53"/>
      <c r="P419" s="33" t="str">
        <f>IFERROR(MasterData!$B421,"")</f>
        <v/>
      </c>
      <c r="Q419" s="33" t="str">
        <f>IFERROR(MasterData!$C421,"")</f>
        <v/>
      </c>
      <c r="R419" s="33" t="str">
        <f>IFERROR(MasterData!$E421,"")</f>
        <v/>
      </c>
      <c r="S419" s="33" t="str">
        <f>IFERROR(MasterData!$G421,"")</f>
        <v/>
      </c>
      <c r="T419" s="33" t="str">
        <f>IFERROR(MasterData!$I421,"")</f>
        <v/>
      </c>
    </row>
    <row r="420" ht="21.75" customHeight="1">
      <c r="A420" s="68"/>
      <c r="B420" s="67"/>
      <c r="C420" s="66"/>
      <c r="D420" s="66"/>
      <c r="E420" s="68"/>
      <c r="F420" s="66"/>
      <c r="G420" s="66"/>
      <c r="H420" s="67"/>
      <c r="I420" s="67"/>
      <c r="J420" s="67"/>
      <c r="K420" s="65"/>
      <c r="L420" s="65"/>
      <c r="M420" s="65"/>
      <c r="N420" s="66"/>
      <c r="O420" s="66"/>
      <c r="P420" s="33" t="str">
        <f>IFERROR(MasterData!$B422,"")</f>
        <v/>
      </c>
      <c r="Q420" s="33" t="str">
        <f>IFERROR(MasterData!$C422,"")</f>
        <v/>
      </c>
      <c r="R420" s="33" t="str">
        <f>IFERROR(MasterData!$E422,"")</f>
        <v/>
      </c>
      <c r="S420" s="33" t="str">
        <f>IFERROR(MasterData!$G422,"")</f>
        <v/>
      </c>
      <c r="T420" s="33" t="str">
        <f>IFERROR(MasterData!$I422,"")</f>
        <v/>
      </c>
    </row>
    <row r="421" ht="21.75" customHeight="1">
      <c r="A421" s="56"/>
      <c r="B421" s="58"/>
      <c r="C421" s="53"/>
      <c r="D421" s="53"/>
      <c r="E421" s="56"/>
      <c r="F421" s="53"/>
      <c r="G421" s="53"/>
      <c r="H421" s="58"/>
      <c r="I421" s="58"/>
      <c r="J421" s="58"/>
      <c r="K421" s="49"/>
      <c r="L421" s="49"/>
      <c r="M421" s="49"/>
      <c r="N421" s="53"/>
      <c r="O421" s="53"/>
      <c r="P421" s="33" t="str">
        <f>IFERROR(MasterData!$B423,"")</f>
        <v/>
      </c>
      <c r="Q421" s="33" t="str">
        <f>IFERROR(MasterData!$C423,"")</f>
        <v/>
      </c>
      <c r="R421" s="33" t="str">
        <f>IFERROR(MasterData!$E423,"")</f>
        <v/>
      </c>
      <c r="S421" s="33" t="str">
        <f>IFERROR(MasterData!$G423,"")</f>
        <v/>
      </c>
      <c r="T421" s="33" t="str">
        <f>IFERROR(MasterData!$I423,"")</f>
        <v/>
      </c>
    </row>
    <row r="422" ht="21.75" customHeight="1">
      <c r="A422" s="68"/>
      <c r="B422" s="67"/>
      <c r="C422" s="66"/>
      <c r="D422" s="66"/>
      <c r="E422" s="68"/>
      <c r="F422" s="66"/>
      <c r="G422" s="66"/>
      <c r="H422" s="67"/>
      <c r="I422" s="67"/>
      <c r="J422" s="67"/>
      <c r="K422" s="65"/>
      <c r="L422" s="65"/>
      <c r="M422" s="65"/>
      <c r="N422" s="66"/>
      <c r="O422" s="66"/>
      <c r="P422" s="33" t="str">
        <f>IFERROR(MasterData!$B424,"")</f>
        <v/>
      </c>
      <c r="Q422" s="33" t="str">
        <f>IFERROR(MasterData!$C424,"")</f>
        <v/>
      </c>
      <c r="R422" s="33" t="str">
        <f>IFERROR(MasterData!$E424,"")</f>
        <v/>
      </c>
      <c r="S422" s="33" t="str">
        <f>IFERROR(MasterData!$G424,"")</f>
        <v/>
      </c>
      <c r="T422" s="33" t="str">
        <f>IFERROR(MasterData!$I424,"")</f>
        <v/>
      </c>
    </row>
    <row r="423" ht="21.75" customHeight="1">
      <c r="A423" s="56"/>
      <c r="B423" s="58"/>
      <c r="C423" s="53"/>
      <c r="D423" s="53"/>
      <c r="E423" s="56"/>
      <c r="F423" s="53"/>
      <c r="G423" s="53"/>
      <c r="H423" s="58"/>
      <c r="I423" s="58"/>
      <c r="J423" s="58"/>
      <c r="K423" s="49"/>
      <c r="L423" s="49"/>
      <c r="M423" s="49"/>
      <c r="N423" s="53"/>
      <c r="O423" s="53"/>
      <c r="P423" s="33" t="str">
        <f>IFERROR(MasterData!$B425,"")</f>
        <v/>
      </c>
      <c r="Q423" s="33" t="str">
        <f>IFERROR(MasterData!$C425,"")</f>
        <v/>
      </c>
      <c r="R423" s="33" t="str">
        <f>IFERROR(MasterData!$E425,"")</f>
        <v/>
      </c>
      <c r="S423" s="33" t="str">
        <f>IFERROR(MasterData!$G425,"")</f>
        <v/>
      </c>
      <c r="T423" s="33" t="str">
        <f>IFERROR(MasterData!$I425,"")</f>
        <v/>
      </c>
    </row>
    <row r="424" ht="21.75" customHeight="1">
      <c r="A424" s="68"/>
      <c r="B424" s="67"/>
      <c r="C424" s="66"/>
      <c r="D424" s="66"/>
      <c r="E424" s="68"/>
      <c r="F424" s="66"/>
      <c r="G424" s="66"/>
      <c r="H424" s="67"/>
      <c r="I424" s="67"/>
      <c r="J424" s="67"/>
      <c r="K424" s="65"/>
      <c r="L424" s="65"/>
      <c r="M424" s="65"/>
      <c r="N424" s="66"/>
      <c r="O424" s="66"/>
      <c r="P424" s="33" t="str">
        <f>IFERROR(MasterData!$B426,"")</f>
        <v/>
      </c>
      <c r="Q424" s="33" t="str">
        <f>IFERROR(MasterData!$C426,"")</f>
        <v/>
      </c>
      <c r="R424" s="33" t="str">
        <f>IFERROR(MasterData!$E426,"")</f>
        <v/>
      </c>
      <c r="S424" s="33" t="str">
        <f>IFERROR(MasterData!$G426,"")</f>
        <v/>
      </c>
      <c r="T424" s="33" t="str">
        <f>IFERROR(MasterData!$I426,"")</f>
        <v/>
      </c>
    </row>
    <row r="425" ht="21.75" customHeight="1">
      <c r="A425" s="56"/>
      <c r="B425" s="58"/>
      <c r="C425" s="53"/>
      <c r="D425" s="53"/>
      <c r="E425" s="56"/>
      <c r="F425" s="53"/>
      <c r="G425" s="53"/>
      <c r="H425" s="58"/>
      <c r="I425" s="58"/>
      <c r="J425" s="58"/>
      <c r="K425" s="49"/>
      <c r="L425" s="49"/>
      <c r="M425" s="49"/>
      <c r="N425" s="53"/>
      <c r="O425" s="53"/>
      <c r="P425" s="33" t="str">
        <f>IFERROR(MasterData!$B427,"")</f>
        <v/>
      </c>
      <c r="Q425" s="33" t="str">
        <f>IFERROR(MasterData!$C427,"")</f>
        <v/>
      </c>
      <c r="R425" s="33" t="str">
        <f>IFERROR(MasterData!$E427,"")</f>
        <v/>
      </c>
      <c r="S425" s="33" t="str">
        <f>IFERROR(MasterData!$G427,"")</f>
        <v/>
      </c>
      <c r="T425" s="33" t="str">
        <f>IFERROR(MasterData!$I427,"")</f>
        <v/>
      </c>
    </row>
    <row r="426" ht="21.75" customHeight="1">
      <c r="A426" s="68"/>
      <c r="B426" s="67"/>
      <c r="C426" s="66"/>
      <c r="D426" s="66"/>
      <c r="E426" s="68"/>
      <c r="F426" s="66"/>
      <c r="G426" s="66"/>
      <c r="H426" s="67"/>
      <c r="I426" s="67"/>
      <c r="J426" s="67"/>
      <c r="K426" s="65"/>
      <c r="L426" s="65"/>
      <c r="M426" s="65"/>
      <c r="N426" s="66"/>
      <c r="O426" s="66"/>
      <c r="P426" s="33" t="str">
        <f>IFERROR(MasterData!$B428,"")</f>
        <v/>
      </c>
      <c r="Q426" s="33" t="str">
        <f>IFERROR(MasterData!$C428,"")</f>
        <v/>
      </c>
      <c r="R426" s="33" t="str">
        <f>IFERROR(MasterData!$E428,"")</f>
        <v/>
      </c>
      <c r="S426" s="33" t="str">
        <f>IFERROR(MasterData!$G428,"")</f>
        <v/>
      </c>
      <c r="T426" s="33" t="str">
        <f>IFERROR(MasterData!$I428,"")</f>
        <v/>
      </c>
    </row>
    <row r="427" ht="21.75" customHeight="1">
      <c r="A427" s="56"/>
      <c r="B427" s="58"/>
      <c r="C427" s="53"/>
      <c r="D427" s="53"/>
      <c r="E427" s="56"/>
      <c r="F427" s="53"/>
      <c r="G427" s="53"/>
      <c r="H427" s="58"/>
      <c r="I427" s="58"/>
      <c r="J427" s="58"/>
      <c r="K427" s="49"/>
      <c r="L427" s="49"/>
      <c r="M427" s="49"/>
      <c r="N427" s="53"/>
      <c r="O427" s="53"/>
      <c r="P427" s="33" t="str">
        <f>IFERROR(MasterData!$B429,"")</f>
        <v/>
      </c>
      <c r="Q427" s="33" t="str">
        <f>IFERROR(MasterData!$C429,"")</f>
        <v/>
      </c>
      <c r="R427" s="33" t="str">
        <f>IFERROR(MasterData!$E429,"")</f>
        <v/>
      </c>
      <c r="S427" s="33" t="str">
        <f>IFERROR(MasterData!$G429,"")</f>
        <v/>
      </c>
      <c r="T427" s="33" t="str">
        <f>IFERROR(MasterData!$I429,"")</f>
        <v/>
      </c>
    </row>
    <row r="428" ht="21.75" customHeight="1">
      <c r="A428" s="68"/>
      <c r="B428" s="67"/>
      <c r="C428" s="66"/>
      <c r="D428" s="66"/>
      <c r="E428" s="68"/>
      <c r="F428" s="66"/>
      <c r="G428" s="66"/>
      <c r="H428" s="67"/>
      <c r="I428" s="67"/>
      <c r="J428" s="67"/>
      <c r="K428" s="65"/>
      <c r="L428" s="65"/>
      <c r="M428" s="65"/>
      <c r="N428" s="66"/>
      <c r="O428" s="66"/>
      <c r="P428" s="33" t="str">
        <f>IFERROR(MasterData!$B430,"")</f>
        <v/>
      </c>
      <c r="Q428" s="33" t="str">
        <f>IFERROR(MasterData!$C430,"")</f>
        <v/>
      </c>
      <c r="R428" s="33" t="str">
        <f>IFERROR(MasterData!$E430,"")</f>
        <v/>
      </c>
      <c r="S428" s="33" t="str">
        <f>IFERROR(MasterData!$G430,"")</f>
        <v/>
      </c>
      <c r="T428" s="33" t="str">
        <f>IFERROR(MasterData!$I430,"")</f>
        <v/>
      </c>
    </row>
    <row r="429" ht="21.75" customHeight="1">
      <c r="A429" s="56"/>
      <c r="B429" s="58"/>
      <c r="C429" s="53"/>
      <c r="D429" s="53"/>
      <c r="E429" s="56"/>
      <c r="F429" s="53"/>
      <c r="G429" s="53"/>
      <c r="H429" s="58"/>
      <c r="I429" s="58"/>
      <c r="J429" s="58"/>
      <c r="K429" s="49"/>
      <c r="L429" s="49"/>
      <c r="M429" s="49"/>
      <c r="N429" s="53"/>
      <c r="O429" s="53"/>
      <c r="P429" s="33" t="str">
        <f>IFERROR(MasterData!$B431,"")</f>
        <v/>
      </c>
      <c r="Q429" s="33" t="str">
        <f>IFERROR(MasterData!$C431,"")</f>
        <v/>
      </c>
      <c r="R429" s="33" t="str">
        <f>IFERROR(MasterData!$E431,"")</f>
        <v/>
      </c>
      <c r="S429" s="33" t="str">
        <f>IFERROR(MasterData!$G431,"")</f>
        <v/>
      </c>
      <c r="T429" s="33" t="str">
        <f>IFERROR(MasterData!$I431,"")</f>
        <v/>
      </c>
    </row>
    <row r="430" ht="21.75" customHeight="1">
      <c r="A430" s="68"/>
      <c r="B430" s="67"/>
      <c r="C430" s="66"/>
      <c r="D430" s="66"/>
      <c r="E430" s="68"/>
      <c r="F430" s="66"/>
      <c r="G430" s="66"/>
      <c r="H430" s="67"/>
      <c r="I430" s="67"/>
      <c r="J430" s="67"/>
      <c r="K430" s="65"/>
      <c r="L430" s="65"/>
      <c r="M430" s="65"/>
      <c r="N430" s="66"/>
      <c r="O430" s="66"/>
      <c r="P430" s="33" t="str">
        <f>IFERROR(MasterData!$B432,"")</f>
        <v/>
      </c>
      <c r="Q430" s="33" t="str">
        <f>IFERROR(MasterData!$C432,"")</f>
        <v/>
      </c>
      <c r="R430" s="33" t="str">
        <f>IFERROR(MasterData!$E432,"")</f>
        <v/>
      </c>
      <c r="S430" s="33" t="str">
        <f>IFERROR(MasterData!$G432,"")</f>
        <v/>
      </c>
      <c r="T430" s="33" t="str">
        <f>IFERROR(MasterData!$I432,"")</f>
        <v/>
      </c>
    </row>
    <row r="431" ht="21.75" customHeight="1">
      <c r="A431" s="56"/>
      <c r="B431" s="58"/>
      <c r="C431" s="53"/>
      <c r="D431" s="53"/>
      <c r="E431" s="56"/>
      <c r="F431" s="53"/>
      <c r="G431" s="53"/>
      <c r="H431" s="58"/>
      <c r="I431" s="58"/>
      <c r="J431" s="58"/>
      <c r="K431" s="49"/>
      <c r="L431" s="49"/>
      <c r="M431" s="49"/>
      <c r="N431" s="53"/>
      <c r="O431" s="53"/>
      <c r="P431" s="33" t="str">
        <f>IFERROR(MasterData!$B433,"")</f>
        <v/>
      </c>
      <c r="Q431" s="33" t="str">
        <f>IFERROR(MasterData!$C433,"")</f>
        <v/>
      </c>
      <c r="R431" s="33" t="str">
        <f>IFERROR(MasterData!$E433,"")</f>
        <v/>
      </c>
      <c r="S431" s="33" t="str">
        <f>IFERROR(MasterData!$G433,"")</f>
        <v/>
      </c>
      <c r="T431" s="33" t="str">
        <f>IFERROR(MasterData!$I433,"")</f>
        <v/>
      </c>
    </row>
    <row r="432" ht="21.75" customHeight="1">
      <c r="A432" s="68"/>
      <c r="B432" s="67"/>
      <c r="C432" s="66"/>
      <c r="D432" s="66"/>
      <c r="E432" s="68"/>
      <c r="F432" s="66"/>
      <c r="G432" s="66"/>
      <c r="H432" s="67"/>
      <c r="I432" s="67"/>
      <c r="J432" s="67"/>
      <c r="K432" s="65"/>
      <c r="L432" s="65"/>
      <c r="M432" s="65"/>
      <c r="N432" s="66"/>
      <c r="O432" s="66"/>
      <c r="P432" s="33" t="str">
        <f>IFERROR(MasterData!$B434,"")</f>
        <v/>
      </c>
      <c r="Q432" s="33" t="str">
        <f>IFERROR(MasterData!$C434,"")</f>
        <v/>
      </c>
      <c r="R432" s="33" t="str">
        <f>IFERROR(MasterData!$E434,"")</f>
        <v/>
      </c>
      <c r="S432" s="33" t="str">
        <f>IFERROR(MasterData!$G434,"")</f>
        <v/>
      </c>
      <c r="T432" s="33" t="str">
        <f>IFERROR(MasterData!$I434,"")</f>
        <v/>
      </c>
    </row>
    <row r="433" ht="21.75" customHeight="1">
      <c r="A433" s="56"/>
      <c r="B433" s="58"/>
      <c r="C433" s="53"/>
      <c r="D433" s="53"/>
      <c r="E433" s="56"/>
      <c r="F433" s="53"/>
      <c r="G433" s="53"/>
      <c r="H433" s="58"/>
      <c r="I433" s="58"/>
      <c r="J433" s="58"/>
      <c r="K433" s="49"/>
      <c r="L433" s="49"/>
      <c r="M433" s="49"/>
      <c r="N433" s="53"/>
      <c r="O433" s="53"/>
      <c r="P433" s="33" t="str">
        <f>IFERROR(MasterData!$B435,"")</f>
        <v/>
      </c>
      <c r="Q433" s="33" t="str">
        <f>IFERROR(MasterData!$C435,"")</f>
        <v/>
      </c>
      <c r="R433" s="33" t="str">
        <f>IFERROR(MasterData!$E435,"")</f>
        <v/>
      </c>
      <c r="S433" s="33" t="str">
        <f>IFERROR(MasterData!$G435,"")</f>
        <v/>
      </c>
      <c r="T433" s="33" t="str">
        <f>IFERROR(MasterData!$I435,"")</f>
        <v/>
      </c>
    </row>
    <row r="434" ht="21.75" customHeight="1">
      <c r="A434" s="68"/>
      <c r="B434" s="67"/>
      <c r="C434" s="66"/>
      <c r="D434" s="66"/>
      <c r="E434" s="68"/>
      <c r="F434" s="66"/>
      <c r="G434" s="66"/>
      <c r="H434" s="67"/>
      <c r="I434" s="67"/>
      <c r="J434" s="67"/>
      <c r="K434" s="65"/>
      <c r="L434" s="65"/>
      <c r="M434" s="65"/>
      <c r="N434" s="66"/>
      <c r="O434" s="66"/>
      <c r="P434" s="33" t="str">
        <f>IFERROR(MasterData!$B436,"")</f>
        <v/>
      </c>
      <c r="Q434" s="33" t="str">
        <f>IFERROR(MasterData!$C436,"")</f>
        <v/>
      </c>
      <c r="R434" s="33" t="str">
        <f>IFERROR(MasterData!$E436,"")</f>
        <v/>
      </c>
      <c r="S434" s="33" t="str">
        <f>IFERROR(MasterData!$G436,"")</f>
        <v/>
      </c>
      <c r="T434" s="33" t="str">
        <f>IFERROR(MasterData!$I436,"")</f>
        <v/>
      </c>
    </row>
    <row r="435" ht="21.75" customHeight="1">
      <c r="A435" s="56"/>
      <c r="B435" s="58"/>
      <c r="C435" s="53"/>
      <c r="D435" s="53"/>
      <c r="E435" s="56"/>
      <c r="F435" s="53"/>
      <c r="G435" s="53"/>
      <c r="H435" s="58"/>
      <c r="I435" s="58"/>
      <c r="J435" s="58"/>
      <c r="K435" s="49"/>
      <c r="L435" s="49"/>
      <c r="M435" s="49"/>
      <c r="N435" s="53"/>
      <c r="O435" s="53"/>
      <c r="P435" s="33" t="str">
        <f>IFERROR(MasterData!$B437,"")</f>
        <v/>
      </c>
      <c r="Q435" s="33" t="str">
        <f>IFERROR(MasterData!$C437,"")</f>
        <v/>
      </c>
      <c r="R435" s="33" t="str">
        <f>IFERROR(MasterData!$E437,"")</f>
        <v/>
      </c>
      <c r="S435" s="33" t="str">
        <f>IFERROR(MasterData!$G437,"")</f>
        <v/>
      </c>
      <c r="T435" s="33" t="str">
        <f>IFERROR(MasterData!$I437,"")</f>
        <v/>
      </c>
    </row>
    <row r="436" ht="21.75" customHeight="1">
      <c r="A436" s="68"/>
      <c r="B436" s="67"/>
      <c r="C436" s="66"/>
      <c r="D436" s="66"/>
      <c r="E436" s="68"/>
      <c r="F436" s="66"/>
      <c r="G436" s="66"/>
      <c r="H436" s="67"/>
      <c r="I436" s="67"/>
      <c r="J436" s="67"/>
      <c r="K436" s="65"/>
      <c r="L436" s="65"/>
      <c r="M436" s="65"/>
      <c r="N436" s="66"/>
      <c r="O436" s="66"/>
      <c r="P436" s="33" t="str">
        <f>IFERROR(MasterData!$B438,"")</f>
        <v/>
      </c>
      <c r="Q436" s="33" t="str">
        <f>IFERROR(MasterData!$C438,"")</f>
        <v/>
      </c>
      <c r="R436" s="33" t="str">
        <f>IFERROR(MasterData!$E438,"")</f>
        <v/>
      </c>
      <c r="S436" s="33" t="str">
        <f>IFERROR(MasterData!$G438,"")</f>
        <v/>
      </c>
      <c r="T436" s="33" t="str">
        <f>IFERROR(MasterData!$I438,"")</f>
        <v/>
      </c>
    </row>
    <row r="437" ht="21.75" customHeight="1">
      <c r="A437" s="56"/>
      <c r="B437" s="58"/>
      <c r="C437" s="53"/>
      <c r="D437" s="53"/>
      <c r="E437" s="56"/>
      <c r="F437" s="53"/>
      <c r="G437" s="53"/>
      <c r="H437" s="58"/>
      <c r="I437" s="58"/>
      <c r="J437" s="58"/>
      <c r="K437" s="49"/>
      <c r="L437" s="49"/>
      <c r="M437" s="49"/>
      <c r="N437" s="53"/>
      <c r="O437" s="53"/>
      <c r="P437" s="33" t="str">
        <f>IFERROR(MasterData!$B439,"")</f>
        <v/>
      </c>
      <c r="Q437" s="33" t="str">
        <f>IFERROR(MasterData!$C439,"")</f>
        <v/>
      </c>
      <c r="R437" s="33" t="str">
        <f>IFERROR(MasterData!$E439,"")</f>
        <v/>
      </c>
      <c r="S437" s="33" t="str">
        <f>IFERROR(MasterData!$G439,"")</f>
        <v/>
      </c>
      <c r="T437" s="33" t="str">
        <f>IFERROR(MasterData!$I439,"")</f>
        <v/>
      </c>
    </row>
    <row r="438" ht="21.75" customHeight="1">
      <c r="A438" s="68"/>
      <c r="B438" s="67"/>
      <c r="C438" s="66"/>
      <c r="D438" s="66"/>
      <c r="E438" s="68"/>
      <c r="F438" s="66"/>
      <c r="G438" s="66"/>
      <c r="H438" s="67"/>
      <c r="I438" s="67"/>
      <c r="J438" s="67"/>
      <c r="K438" s="65"/>
      <c r="L438" s="65"/>
      <c r="M438" s="65"/>
      <c r="N438" s="66"/>
      <c r="O438" s="66"/>
      <c r="P438" s="33" t="str">
        <f>IFERROR(MasterData!$B440,"")</f>
        <v/>
      </c>
      <c r="Q438" s="33" t="str">
        <f>IFERROR(MasterData!$C440,"")</f>
        <v/>
      </c>
      <c r="R438" s="33" t="str">
        <f>IFERROR(MasterData!$E440,"")</f>
        <v/>
      </c>
      <c r="S438" s="33" t="str">
        <f>IFERROR(MasterData!$G440,"")</f>
        <v/>
      </c>
      <c r="T438" s="33" t="str">
        <f>IFERROR(MasterData!$I440,"")</f>
        <v/>
      </c>
    </row>
    <row r="439" ht="21.75" customHeight="1">
      <c r="A439" s="56"/>
      <c r="B439" s="58"/>
      <c r="C439" s="53"/>
      <c r="D439" s="53"/>
      <c r="E439" s="56"/>
      <c r="F439" s="53"/>
      <c r="G439" s="53"/>
      <c r="H439" s="58"/>
      <c r="I439" s="58"/>
      <c r="J439" s="58"/>
      <c r="K439" s="49"/>
      <c r="L439" s="49"/>
      <c r="M439" s="49"/>
      <c r="N439" s="53"/>
      <c r="O439" s="53"/>
      <c r="P439" s="33" t="str">
        <f>IFERROR(MasterData!$B441,"")</f>
        <v/>
      </c>
      <c r="Q439" s="33" t="str">
        <f>IFERROR(MasterData!$C441,"")</f>
        <v/>
      </c>
      <c r="R439" s="33" t="str">
        <f>IFERROR(MasterData!$E441,"")</f>
        <v/>
      </c>
      <c r="S439" s="33" t="str">
        <f>IFERROR(MasterData!$G441,"")</f>
        <v/>
      </c>
      <c r="T439" s="33" t="str">
        <f>IFERROR(MasterData!$I441,"")</f>
        <v/>
      </c>
    </row>
    <row r="440" ht="21.75" customHeight="1">
      <c r="A440" s="68"/>
      <c r="B440" s="67"/>
      <c r="C440" s="66"/>
      <c r="D440" s="66"/>
      <c r="E440" s="68"/>
      <c r="F440" s="66"/>
      <c r="G440" s="66"/>
      <c r="H440" s="67"/>
      <c r="I440" s="67"/>
      <c r="J440" s="67"/>
      <c r="K440" s="65"/>
      <c r="L440" s="65"/>
      <c r="M440" s="65"/>
      <c r="N440" s="66"/>
      <c r="O440" s="66"/>
      <c r="P440" s="33" t="str">
        <f>IFERROR(MasterData!$B442,"")</f>
        <v/>
      </c>
      <c r="Q440" s="33" t="str">
        <f>IFERROR(MasterData!$C442,"")</f>
        <v/>
      </c>
      <c r="R440" s="33" t="str">
        <f>IFERROR(MasterData!$E442,"")</f>
        <v/>
      </c>
      <c r="S440" s="33" t="str">
        <f>IFERROR(MasterData!$G442,"")</f>
        <v/>
      </c>
      <c r="T440" s="33" t="str">
        <f>IFERROR(MasterData!$I442,"")</f>
        <v/>
      </c>
    </row>
    <row r="441" ht="21.75" customHeight="1">
      <c r="A441" s="56"/>
      <c r="B441" s="58"/>
      <c r="C441" s="53"/>
      <c r="D441" s="53"/>
      <c r="E441" s="56"/>
      <c r="F441" s="53"/>
      <c r="G441" s="53"/>
      <c r="H441" s="58"/>
      <c r="I441" s="58"/>
      <c r="J441" s="58"/>
      <c r="K441" s="49"/>
      <c r="L441" s="49"/>
      <c r="M441" s="49"/>
      <c r="N441" s="53"/>
      <c r="O441" s="53"/>
      <c r="P441" s="33" t="str">
        <f>IFERROR(MasterData!$B443,"")</f>
        <v/>
      </c>
      <c r="Q441" s="33" t="str">
        <f>IFERROR(MasterData!$C443,"")</f>
        <v/>
      </c>
      <c r="R441" s="33" t="str">
        <f>IFERROR(MasterData!$E443,"")</f>
        <v/>
      </c>
      <c r="S441" s="33" t="str">
        <f>IFERROR(MasterData!$G443,"")</f>
        <v/>
      </c>
      <c r="T441" s="33" t="str">
        <f>IFERROR(MasterData!$I443,"")</f>
        <v/>
      </c>
    </row>
    <row r="442" ht="21.75" customHeight="1">
      <c r="A442" s="68"/>
      <c r="B442" s="67"/>
      <c r="C442" s="66"/>
      <c r="D442" s="66"/>
      <c r="E442" s="68"/>
      <c r="F442" s="66"/>
      <c r="G442" s="66"/>
      <c r="H442" s="67"/>
      <c r="I442" s="67"/>
      <c r="J442" s="67"/>
      <c r="K442" s="65"/>
      <c r="L442" s="65"/>
      <c r="M442" s="65"/>
      <c r="N442" s="66"/>
      <c r="O442" s="66"/>
      <c r="P442" s="33" t="str">
        <f>IFERROR(MasterData!$B444,"")</f>
        <v/>
      </c>
      <c r="Q442" s="33" t="str">
        <f>IFERROR(MasterData!$C444,"")</f>
        <v/>
      </c>
      <c r="R442" s="33" t="str">
        <f>IFERROR(MasterData!$E444,"")</f>
        <v/>
      </c>
      <c r="S442" s="33" t="str">
        <f>IFERROR(MasterData!$G444,"")</f>
        <v/>
      </c>
      <c r="T442" s="33" t="str">
        <f>IFERROR(MasterData!$I444,"")</f>
        <v/>
      </c>
    </row>
    <row r="443" ht="21.75" customHeight="1">
      <c r="A443" s="56"/>
      <c r="B443" s="58"/>
      <c r="C443" s="53"/>
      <c r="D443" s="53"/>
      <c r="E443" s="56"/>
      <c r="F443" s="53"/>
      <c r="G443" s="53"/>
      <c r="H443" s="58"/>
      <c r="I443" s="58"/>
      <c r="J443" s="58"/>
      <c r="K443" s="49"/>
      <c r="L443" s="49"/>
      <c r="M443" s="49"/>
      <c r="N443" s="53"/>
      <c r="O443" s="53"/>
      <c r="P443" s="33" t="str">
        <f>IFERROR(MasterData!$B445,"")</f>
        <v/>
      </c>
      <c r="Q443" s="33" t="str">
        <f>IFERROR(MasterData!$C445,"")</f>
        <v/>
      </c>
      <c r="R443" s="33" t="str">
        <f>IFERROR(MasterData!$E445,"")</f>
        <v/>
      </c>
      <c r="S443" s="33" t="str">
        <f>IFERROR(MasterData!$G445,"")</f>
        <v/>
      </c>
      <c r="T443" s="33" t="str">
        <f>IFERROR(MasterData!$I445,"")</f>
        <v/>
      </c>
    </row>
    <row r="444" ht="21.75" customHeight="1">
      <c r="A444" s="68"/>
      <c r="B444" s="67"/>
      <c r="C444" s="66"/>
      <c r="D444" s="66"/>
      <c r="E444" s="68"/>
      <c r="F444" s="66"/>
      <c r="G444" s="66"/>
      <c r="H444" s="67"/>
      <c r="I444" s="67"/>
      <c r="J444" s="67"/>
      <c r="K444" s="65"/>
      <c r="L444" s="65"/>
      <c r="M444" s="65"/>
      <c r="N444" s="66"/>
      <c r="O444" s="66"/>
      <c r="P444" s="33" t="str">
        <f>IFERROR(MasterData!$B446,"")</f>
        <v/>
      </c>
      <c r="Q444" s="33" t="str">
        <f>IFERROR(MasterData!$C446,"")</f>
        <v/>
      </c>
      <c r="R444" s="33" t="str">
        <f>IFERROR(MasterData!$E446,"")</f>
        <v/>
      </c>
      <c r="S444" s="33" t="str">
        <f>IFERROR(MasterData!$G446,"")</f>
        <v/>
      </c>
      <c r="T444" s="33" t="str">
        <f>IFERROR(MasterData!$I446,"")</f>
        <v/>
      </c>
    </row>
    <row r="445" ht="21.75" customHeight="1">
      <c r="A445" s="56"/>
      <c r="B445" s="58"/>
      <c r="C445" s="53"/>
      <c r="D445" s="53"/>
      <c r="E445" s="56"/>
      <c r="F445" s="53"/>
      <c r="G445" s="53"/>
      <c r="H445" s="58"/>
      <c r="I445" s="58"/>
      <c r="J445" s="58"/>
      <c r="K445" s="49"/>
      <c r="L445" s="49"/>
      <c r="M445" s="49"/>
      <c r="N445" s="53"/>
      <c r="O445" s="53"/>
      <c r="P445" s="33" t="str">
        <f>IFERROR(MasterData!$B447,"")</f>
        <v/>
      </c>
      <c r="Q445" s="33" t="str">
        <f>IFERROR(MasterData!$C447,"")</f>
        <v/>
      </c>
      <c r="R445" s="33" t="str">
        <f>IFERROR(MasterData!$E447,"")</f>
        <v/>
      </c>
      <c r="S445" s="33" t="str">
        <f>IFERROR(MasterData!$G447,"")</f>
        <v/>
      </c>
      <c r="T445" s="33" t="str">
        <f>IFERROR(MasterData!$I447,"")</f>
        <v/>
      </c>
    </row>
    <row r="446" ht="21.75" customHeight="1">
      <c r="A446" s="68"/>
      <c r="B446" s="67"/>
      <c r="C446" s="66"/>
      <c r="D446" s="66"/>
      <c r="E446" s="68"/>
      <c r="F446" s="66"/>
      <c r="G446" s="66"/>
      <c r="H446" s="67"/>
      <c r="I446" s="67"/>
      <c r="J446" s="67"/>
      <c r="K446" s="65"/>
      <c r="L446" s="65"/>
      <c r="M446" s="65"/>
      <c r="N446" s="66"/>
      <c r="O446" s="66"/>
      <c r="P446" s="33" t="str">
        <f>IFERROR(MasterData!$B448,"")</f>
        <v/>
      </c>
      <c r="Q446" s="33" t="str">
        <f>IFERROR(MasterData!$C448,"")</f>
        <v/>
      </c>
      <c r="R446" s="33" t="str">
        <f>IFERROR(MasterData!$E448,"")</f>
        <v/>
      </c>
      <c r="S446" s="33" t="str">
        <f>IFERROR(MasterData!$G448,"")</f>
        <v/>
      </c>
      <c r="T446" s="33" t="str">
        <f>IFERROR(MasterData!$I448,"")</f>
        <v/>
      </c>
    </row>
    <row r="447" ht="21.75" customHeight="1">
      <c r="A447" s="56"/>
      <c r="B447" s="58"/>
      <c r="C447" s="53"/>
      <c r="D447" s="53"/>
      <c r="E447" s="56"/>
      <c r="F447" s="53"/>
      <c r="G447" s="53"/>
      <c r="H447" s="58"/>
      <c r="I447" s="58"/>
      <c r="J447" s="58"/>
      <c r="K447" s="49"/>
      <c r="L447" s="49"/>
      <c r="M447" s="49"/>
      <c r="N447" s="53"/>
      <c r="O447" s="53"/>
      <c r="P447" s="33" t="str">
        <f>IFERROR(MasterData!$B449,"")</f>
        <v/>
      </c>
      <c r="Q447" s="33" t="str">
        <f>IFERROR(MasterData!$C449,"")</f>
        <v/>
      </c>
      <c r="R447" s="33" t="str">
        <f>IFERROR(MasterData!$E449,"")</f>
        <v/>
      </c>
      <c r="S447" s="33" t="str">
        <f>IFERROR(MasterData!$G449,"")</f>
        <v/>
      </c>
      <c r="T447" s="33" t="str">
        <f>IFERROR(MasterData!$I449,"")</f>
        <v/>
      </c>
    </row>
    <row r="448" ht="21.75" customHeight="1">
      <c r="A448" s="68"/>
      <c r="B448" s="67"/>
      <c r="C448" s="66"/>
      <c r="D448" s="66"/>
      <c r="E448" s="68"/>
      <c r="F448" s="66"/>
      <c r="G448" s="66"/>
      <c r="H448" s="67"/>
      <c r="I448" s="67"/>
      <c r="J448" s="67"/>
      <c r="K448" s="65"/>
      <c r="L448" s="65"/>
      <c r="M448" s="65"/>
      <c r="N448" s="66"/>
      <c r="O448" s="66"/>
      <c r="P448" s="33" t="str">
        <f>IFERROR(MasterData!$B450,"")</f>
        <v/>
      </c>
      <c r="Q448" s="33" t="str">
        <f>IFERROR(MasterData!$C450,"")</f>
        <v/>
      </c>
      <c r="R448" s="33" t="str">
        <f>IFERROR(MasterData!$E450,"")</f>
        <v/>
      </c>
      <c r="S448" s="33" t="str">
        <f>IFERROR(MasterData!$G450,"")</f>
        <v/>
      </c>
      <c r="T448" s="33" t="str">
        <f>IFERROR(MasterData!$I450,"")</f>
        <v/>
      </c>
    </row>
    <row r="449" ht="21.75" customHeight="1">
      <c r="A449" s="56"/>
      <c r="B449" s="58"/>
      <c r="C449" s="53"/>
      <c r="D449" s="53"/>
      <c r="E449" s="56"/>
      <c r="F449" s="53"/>
      <c r="G449" s="53"/>
      <c r="H449" s="58"/>
      <c r="I449" s="58"/>
      <c r="J449" s="58"/>
      <c r="K449" s="49"/>
      <c r="L449" s="49"/>
      <c r="M449" s="49"/>
      <c r="N449" s="53"/>
      <c r="O449" s="53"/>
      <c r="P449" s="33" t="str">
        <f>IFERROR(MasterData!$B451,"")</f>
        <v/>
      </c>
      <c r="Q449" s="33" t="str">
        <f>IFERROR(MasterData!$C451,"")</f>
        <v/>
      </c>
      <c r="R449" s="33" t="str">
        <f>IFERROR(MasterData!$E451,"")</f>
        <v/>
      </c>
      <c r="S449" s="33" t="str">
        <f>IFERROR(MasterData!$G451,"")</f>
        <v/>
      </c>
      <c r="T449" s="33" t="str">
        <f>IFERROR(MasterData!$I451,"")</f>
        <v/>
      </c>
    </row>
    <row r="450" ht="21.75" customHeight="1">
      <c r="A450" s="68"/>
      <c r="B450" s="67"/>
      <c r="C450" s="66"/>
      <c r="D450" s="66"/>
      <c r="E450" s="68"/>
      <c r="F450" s="66"/>
      <c r="G450" s="66"/>
      <c r="H450" s="67"/>
      <c r="I450" s="67"/>
      <c r="J450" s="67"/>
      <c r="K450" s="65"/>
      <c r="L450" s="65"/>
      <c r="M450" s="65"/>
      <c r="N450" s="66"/>
      <c r="O450" s="66"/>
      <c r="P450" s="33" t="str">
        <f>IFERROR(MasterData!$B452,"")</f>
        <v/>
      </c>
      <c r="Q450" s="33" t="str">
        <f>IFERROR(MasterData!$C452,"")</f>
        <v/>
      </c>
      <c r="R450" s="33" t="str">
        <f>IFERROR(MasterData!$E452,"")</f>
        <v/>
      </c>
      <c r="S450" s="33" t="str">
        <f>IFERROR(MasterData!$G452,"")</f>
        <v/>
      </c>
      <c r="T450" s="33" t="str">
        <f>IFERROR(MasterData!$I452,"")</f>
        <v/>
      </c>
    </row>
    <row r="451" ht="21.75" customHeight="1">
      <c r="A451" s="56"/>
      <c r="B451" s="58"/>
      <c r="C451" s="53"/>
      <c r="D451" s="53"/>
      <c r="E451" s="56"/>
      <c r="F451" s="53"/>
      <c r="G451" s="53"/>
      <c r="H451" s="58"/>
      <c r="I451" s="58"/>
      <c r="J451" s="58"/>
      <c r="K451" s="49"/>
      <c r="L451" s="49"/>
      <c r="M451" s="49"/>
      <c r="N451" s="53"/>
      <c r="O451" s="53"/>
      <c r="P451" s="33" t="str">
        <f>IFERROR(MasterData!$B453,"")</f>
        <v/>
      </c>
      <c r="Q451" s="33" t="str">
        <f>IFERROR(MasterData!$C453,"")</f>
        <v/>
      </c>
      <c r="R451" s="33" t="str">
        <f>IFERROR(MasterData!$E453,"")</f>
        <v/>
      </c>
      <c r="S451" s="33" t="str">
        <f>IFERROR(MasterData!$G453,"")</f>
        <v/>
      </c>
      <c r="T451" s="33" t="str">
        <f>IFERROR(MasterData!$I453,"")</f>
        <v/>
      </c>
    </row>
    <row r="452" ht="21.75" customHeight="1">
      <c r="A452" s="68"/>
      <c r="B452" s="67"/>
      <c r="C452" s="66"/>
      <c r="D452" s="66"/>
      <c r="E452" s="68"/>
      <c r="F452" s="66"/>
      <c r="G452" s="66"/>
      <c r="H452" s="67"/>
      <c r="I452" s="67"/>
      <c r="J452" s="67"/>
      <c r="K452" s="65"/>
      <c r="L452" s="65"/>
      <c r="M452" s="65"/>
      <c r="N452" s="66"/>
      <c r="O452" s="66"/>
      <c r="P452" s="33" t="str">
        <f>IFERROR(MasterData!$B454,"")</f>
        <v/>
      </c>
      <c r="Q452" s="33" t="str">
        <f>IFERROR(MasterData!$C454,"")</f>
        <v/>
      </c>
      <c r="R452" s="33" t="str">
        <f>IFERROR(MasterData!$E454,"")</f>
        <v/>
      </c>
      <c r="S452" s="33" t="str">
        <f>IFERROR(MasterData!$G454,"")</f>
        <v/>
      </c>
      <c r="T452" s="33" t="str">
        <f>IFERROR(MasterData!$I454,"")</f>
        <v/>
      </c>
    </row>
    <row r="453" ht="21.75" customHeight="1">
      <c r="A453" s="56"/>
      <c r="B453" s="58"/>
      <c r="C453" s="53"/>
      <c r="D453" s="53"/>
      <c r="E453" s="56"/>
      <c r="F453" s="53"/>
      <c r="G453" s="53"/>
      <c r="H453" s="58"/>
      <c r="I453" s="58"/>
      <c r="J453" s="58"/>
      <c r="K453" s="49"/>
      <c r="L453" s="49"/>
      <c r="M453" s="49"/>
      <c r="N453" s="53"/>
      <c r="O453" s="53"/>
      <c r="P453" s="33" t="str">
        <f>IFERROR(MasterData!$B455,"")</f>
        <v/>
      </c>
      <c r="Q453" s="33" t="str">
        <f>IFERROR(MasterData!$C455,"")</f>
        <v/>
      </c>
      <c r="R453" s="33" t="str">
        <f>IFERROR(MasterData!$E455,"")</f>
        <v/>
      </c>
      <c r="S453" s="33" t="str">
        <f>IFERROR(MasterData!$G455,"")</f>
        <v/>
      </c>
      <c r="T453" s="33" t="str">
        <f>IFERROR(MasterData!$I455,"")</f>
        <v/>
      </c>
    </row>
    <row r="454" ht="21.75" customHeight="1">
      <c r="A454" s="68"/>
      <c r="B454" s="67"/>
      <c r="C454" s="66"/>
      <c r="D454" s="66"/>
      <c r="E454" s="68"/>
      <c r="F454" s="66"/>
      <c r="G454" s="66"/>
      <c r="H454" s="67"/>
      <c r="I454" s="67"/>
      <c r="J454" s="67"/>
      <c r="K454" s="65"/>
      <c r="L454" s="65"/>
      <c r="M454" s="65"/>
      <c r="N454" s="66"/>
      <c r="O454" s="66"/>
      <c r="P454" s="33" t="str">
        <f>IFERROR(MasterData!$B456,"")</f>
        <v/>
      </c>
      <c r="Q454" s="33" t="str">
        <f>IFERROR(MasterData!$C456,"")</f>
        <v/>
      </c>
      <c r="R454" s="33" t="str">
        <f>IFERROR(MasterData!$E456,"")</f>
        <v/>
      </c>
      <c r="S454" s="33" t="str">
        <f>IFERROR(MasterData!$G456,"")</f>
        <v/>
      </c>
      <c r="T454" s="33" t="str">
        <f>IFERROR(MasterData!$I456,"")</f>
        <v/>
      </c>
    </row>
    <row r="455" ht="21.75" customHeight="1">
      <c r="A455" s="56"/>
      <c r="B455" s="58"/>
      <c r="C455" s="53"/>
      <c r="D455" s="53"/>
      <c r="E455" s="56"/>
      <c r="F455" s="53"/>
      <c r="G455" s="53"/>
      <c r="H455" s="58"/>
      <c r="I455" s="58"/>
      <c r="J455" s="58"/>
      <c r="K455" s="49"/>
      <c r="L455" s="49"/>
      <c r="M455" s="49"/>
      <c r="N455" s="53"/>
      <c r="O455" s="53"/>
      <c r="P455" s="33" t="str">
        <f>IFERROR(MasterData!$B457,"")</f>
        <v/>
      </c>
      <c r="Q455" s="33" t="str">
        <f>IFERROR(MasterData!$C457,"")</f>
        <v/>
      </c>
      <c r="R455" s="33" t="str">
        <f>IFERROR(MasterData!$E457,"")</f>
        <v/>
      </c>
      <c r="S455" s="33" t="str">
        <f>IFERROR(MasterData!$G457,"")</f>
        <v/>
      </c>
      <c r="T455" s="33" t="str">
        <f>IFERROR(MasterData!$I457,"")</f>
        <v/>
      </c>
    </row>
    <row r="456" ht="21.75" customHeight="1">
      <c r="A456" s="68"/>
      <c r="B456" s="67"/>
      <c r="C456" s="66"/>
      <c r="D456" s="66"/>
      <c r="E456" s="68"/>
      <c r="F456" s="66"/>
      <c r="G456" s="66"/>
      <c r="H456" s="67"/>
      <c r="I456" s="67"/>
      <c r="J456" s="67"/>
      <c r="K456" s="65"/>
      <c r="L456" s="65"/>
      <c r="M456" s="65"/>
      <c r="N456" s="66"/>
      <c r="O456" s="66"/>
      <c r="P456" s="33" t="str">
        <f>IFERROR(MasterData!$B458,"")</f>
        <v/>
      </c>
      <c r="Q456" s="33" t="str">
        <f>IFERROR(MasterData!$C458,"")</f>
        <v/>
      </c>
      <c r="R456" s="33" t="str">
        <f>IFERROR(MasterData!$E458,"")</f>
        <v/>
      </c>
      <c r="S456" s="33" t="str">
        <f>IFERROR(MasterData!$G458,"")</f>
        <v/>
      </c>
      <c r="T456" s="33" t="str">
        <f>IFERROR(MasterData!$I458,"")</f>
        <v/>
      </c>
    </row>
    <row r="457" ht="21.75" customHeight="1">
      <c r="A457" s="56"/>
      <c r="B457" s="58"/>
      <c r="C457" s="53"/>
      <c r="D457" s="53"/>
      <c r="E457" s="56"/>
      <c r="F457" s="53"/>
      <c r="G457" s="53"/>
      <c r="H457" s="58"/>
      <c r="I457" s="58"/>
      <c r="J457" s="58"/>
      <c r="K457" s="49"/>
      <c r="L457" s="49"/>
      <c r="M457" s="49"/>
      <c r="N457" s="53"/>
      <c r="O457" s="53"/>
      <c r="P457" s="33" t="str">
        <f>IFERROR(MasterData!$B459,"")</f>
        <v/>
      </c>
      <c r="Q457" s="33" t="str">
        <f>IFERROR(MasterData!$C459,"")</f>
        <v/>
      </c>
      <c r="R457" s="33" t="str">
        <f>IFERROR(MasterData!$E459,"")</f>
        <v/>
      </c>
      <c r="S457" s="33" t="str">
        <f>IFERROR(MasterData!$G459,"")</f>
        <v/>
      </c>
      <c r="T457" s="33" t="str">
        <f>IFERROR(MasterData!$I459,"")</f>
        <v/>
      </c>
    </row>
    <row r="458" ht="21.75" customHeight="1">
      <c r="A458" s="68"/>
      <c r="B458" s="67"/>
      <c r="C458" s="66"/>
      <c r="D458" s="66"/>
      <c r="E458" s="68"/>
      <c r="F458" s="66"/>
      <c r="G458" s="66"/>
      <c r="H458" s="67"/>
      <c r="I458" s="67"/>
      <c r="J458" s="67"/>
      <c r="K458" s="65"/>
      <c r="L458" s="65"/>
      <c r="M458" s="65"/>
      <c r="N458" s="66"/>
      <c r="O458" s="66"/>
      <c r="P458" s="33" t="str">
        <f>IFERROR(MasterData!$B460,"")</f>
        <v/>
      </c>
      <c r="Q458" s="33" t="str">
        <f>IFERROR(MasterData!$C460,"")</f>
        <v/>
      </c>
      <c r="R458" s="33" t="str">
        <f>IFERROR(MasterData!$E460,"")</f>
        <v/>
      </c>
      <c r="S458" s="33" t="str">
        <f>IFERROR(MasterData!$G460,"")</f>
        <v/>
      </c>
      <c r="T458" s="33" t="str">
        <f>IFERROR(MasterData!$I460,"")</f>
        <v/>
      </c>
    </row>
    <row r="459" ht="21.75" customHeight="1">
      <c r="A459" s="56"/>
      <c r="B459" s="58"/>
      <c r="C459" s="53"/>
      <c r="D459" s="53"/>
      <c r="E459" s="56"/>
      <c r="F459" s="53"/>
      <c r="G459" s="53"/>
      <c r="H459" s="58"/>
      <c r="I459" s="58"/>
      <c r="J459" s="58"/>
      <c r="K459" s="49"/>
      <c r="L459" s="49"/>
      <c r="M459" s="49"/>
      <c r="N459" s="53"/>
      <c r="O459" s="53"/>
      <c r="P459" s="33" t="str">
        <f>IFERROR(MasterData!$B461,"")</f>
        <v/>
      </c>
      <c r="Q459" s="33" t="str">
        <f>IFERROR(MasterData!$C461,"")</f>
        <v/>
      </c>
      <c r="R459" s="33" t="str">
        <f>IFERROR(MasterData!$E461,"")</f>
        <v/>
      </c>
      <c r="S459" s="33" t="str">
        <f>IFERROR(MasterData!$G461,"")</f>
        <v/>
      </c>
      <c r="T459" s="33" t="str">
        <f>IFERROR(MasterData!$I461,"")</f>
        <v/>
      </c>
    </row>
    <row r="460" ht="21.75" customHeight="1">
      <c r="A460" s="68"/>
      <c r="B460" s="67"/>
      <c r="C460" s="66"/>
      <c r="D460" s="66"/>
      <c r="E460" s="68"/>
      <c r="F460" s="66"/>
      <c r="G460" s="66"/>
      <c r="H460" s="67"/>
      <c r="I460" s="67"/>
      <c r="J460" s="67"/>
      <c r="K460" s="65"/>
      <c r="L460" s="65"/>
      <c r="M460" s="65"/>
      <c r="N460" s="66"/>
      <c r="O460" s="66"/>
      <c r="P460" s="33" t="str">
        <f>IFERROR(MasterData!$B462,"")</f>
        <v/>
      </c>
      <c r="Q460" s="33" t="str">
        <f>IFERROR(MasterData!$C462,"")</f>
        <v/>
      </c>
      <c r="R460" s="33" t="str">
        <f>IFERROR(MasterData!$E462,"")</f>
        <v/>
      </c>
      <c r="S460" s="33" t="str">
        <f>IFERROR(MasterData!$G462,"")</f>
        <v/>
      </c>
      <c r="T460" s="33" t="str">
        <f>IFERROR(MasterData!$I462,"")</f>
        <v/>
      </c>
    </row>
    <row r="461" ht="21.75" customHeight="1">
      <c r="A461" s="56"/>
      <c r="B461" s="58"/>
      <c r="C461" s="53"/>
      <c r="D461" s="53"/>
      <c r="E461" s="56"/>
      <c r="F461" s="53"/>
      <c r="G461" s="53"/>
      <c r="H461" s="58"/>
      <c r="I461" s="58"/>
      <c r="J461" s="58"/>
      <c r="K461" s="49"/>
      <c r="L461" s="49"/>
      <c r="M461" s="49"/>
      <c r="N461" s="53"/>
      <c r="O461" s="53"/>
      <c r="P461" s="33" t="str">
        <f>IFERROR(MasterData!$B463,"")</f>
        <v/>
      </c>
      <c r="Q461" s="33" t="str">
        <f>IFERROR(MasterData!$C463,"")</f>
        <v/>
      </c>
      <c r="R461" s="33" t="str">
        <f>IFERROR(MasterData!$E463,"")</f>
        <v/>
      </c>
      <c r="S461" s="33" t="str">
        <f>IFERROR(MasterData!$G463,"")</f>
        <v/>
      </c>
      <c r="T461" s="33" t="str">
        <f>IFERROR(MasterData!$I463,"")</f>
        <v/>
      </c>
    </row>
    <row r="462" ht="21.75" customHeight="1">
      <c r="A462" s="68"/>
      <c r="B462" s="67"/>
      <c r="C462" s="66"/>
      <c r="D462" s="66"/>
      <c r="E462" s="68"/>
      <c r="F462" s="66"/>
      <c r="G462" s="66"/>
      <c r="H462" s="67"/>
      <c r="I462" s="67"/>
      <c r="J462" s="67"/>
      <c r="K462" s="65"/>
      <c r="L462" s="65"/>
      <c r="M462" s="65"/>
      <c r="N462" s="66"/>
      <c r="O462" s="66"/>
      <c r="P462" s="33" t="str">
        <f>IFERROR(MasterData!$B464,"")</f>
        <v/>
      </c>
      <c r="Q462" s="33" t="str">
        <f>IFERROR(MasterData!$C464,"")</f>
        <v/>
      </c>
      <c r="R462" s="33" t="str">
        <f>IFERROR(MasterData!$E464,"")</f>
        <v/>
      </c>
      <c r="S462" s="33" t="str">
        <f>IFERROR(MasterData!$G464,"")</f>
        <v/>
      </c>
      <c r="T462" s="33" t="str">
        <f>IFERROR(MasterData!$I464,"")</f>
        <v/>
      </c>
    </row>
    <row r="463" ht="21.75" customHeight="1">
      <c r="A463" s="56"/>
      <c r="B463" s="58"/>
      <c r="C463" s="53"/>
      <c r="D463" s="53"/>
      <c r="E463" s="56"/>
      <c r="F463" s="53"/>
      <c r="G463" s="53"/>
      <c r="H463" s="58"/>
      <c r="I463" s="58"/>
      <c r="J463" s="58"/>
      <c r="K463" s="49"/>
      <c r="L463" s="49"/>
      <c r="M463" s="49"/>
      <c r="N463" s="53"/>
      <c r="O463" s="53"/>
      <c r="P463" s="33" t="str">
        <f>IFERROR(MasterData!$B465,"")</f>
        <v/>
      </c>
      <c r="Q463" s="33" t="str">
        <f>IFERROR(MasterData!$C465,"")</f>
        <v/>
      </c>
      <c r="R463" s="33" t="str">
        <f>IFERROR(MasterData!$E465,"")</f>
        <v/>
      </c>
      <c r="S463" s="33" t="str">
        <f>IFERROR(MasterData!$G465,"")</f>
        <v/>
      </c>
      <c r="T463" s="33" t="str">
        <f>IFERROR(MasterData!$I465,"")</f>
        <v/>
      </c>
    </row>
    <row r="464" ht="21.75" customHeight="1">
      <c r="A464" s="68"/>
      <c r="B464" s="67"/>
      <c r="C464" s="66"/>
      <c r="D464" s="66"/>
      <c r="E464" s="68"/>
      <c r="F464" s="66"/>
      <c r="G464" s="66"/>
      <c r="H464" s="67"/>
      <c r="I464" s="67"/>
      <c r="J464" s="67"/>
      <c r="K464" s="65"/>
      <c r="L464" s="65"/>
      <c r="M464" s="65"/>
      <c r="N464" s="66"/>
      <c r="O464" s="66"/>
      <c r="P464" s="33" t="str">
        <f>IFERROR(MasterData!$B466,"")</f>
        <v/>
      </c>
      <c r="Q464" s="33" t="str">
        <f>IFERROR(MasterData!$C466,"")</f>
        <v/>
      </c>
      <c r="R464" s="33" t="str">
        <f>IFERROR(MasterData!$E466,"")</f>
        <v/>
      </c>
      <c r="S464" s="33" t="str">
        <f>IFERROR(MasterData!$G466,"")</f>
        <v/>
      </c>
      <c r="T464" s="33" t="str">
        <f>IFERROR(MasterData!$I466,"")</f>
        <v/>
      </c>
    </row>
    <row r="465" ht="21.75" customHeight="1">
      <c r="A465" s="56"/>
      <c r="B465" s="58"/>
      <c r="C465" s="53"/>
      <c r="D465" s="53"/>
      <c r="E465" s="56"/>
      <c r="F465" s="53"/>
      <c r="G465" s="53"/>
      <c r="H465" s="58"/>
      <c r="I465" s="58"/>
      <c r="J465" s="58"/>
      <c r="K465" s="49"/>
      <c r="L465" s="49"/>
      <c r="M465" s="49"/>
      <c r="N465" s="53"/>
      <c r="O465" s="53"/>
      <c r="P465" s="33" t="str">
        <f>IFERROR(MasterData!$B467,"")</f>
        <v/>
      </c>
      <c r="Q465" s="33" t="str">
        <f>IFERROR(MasterData!$C467,"")</f>
        <v/>
      </c>
      <c r="R465" s="33" t="str">
        <f>IFERROR(MasterData!$E467,"")</f>
        <v/>
      </c>
      <c r="S465" s="33" t="str">
        <f>IFERROR(MasterData!$G467,"")</f>
        <v/>
      </c>
      <c r="T465" s="33" t="str">
        <f>IFERROR(MasterData!$I467,"")</f>
        <v/>
      </c>
    </row>
    <row r="466" ht="21.75" customHeight="1">
      <c r="A466" s="68"/>
      <c r="B466" s="67"/>
      <c r="C466" s="66"/>
      <c r="D466" s="66"/>
      <c r="E466" s="68"/>
      <c r="F466" s="66"/>
      <c r="G466" s="66"/>
      <c r="H466" s="67"/>
      <c r="I466" s="67"/>
      <c r="J466" s="67"/>
      <c r="K466" s="65"/>
      <c r="L466" s="65"/>
      <c r="M466" s="65"/>
      <c r="N466" s="66"/>
      <c r="O466" s="66"/>
      <c r="P466" s="33" t="str">
        <f>IFERROR(MasterData!$B468,"")</f>
        <v/>
      </c>
      <c r="Q466" s="33" t="str">
        <f>IFERROR(MasterData!$C468,"")</f>
        <v/>
      </c>
      <c r="R466" s="33" t="str">
        <f>IFERROR(MasterData!$E468,"")</f>
        <v/>
      </c>
      <c r="S466" s="33" t="str">
        <f>IFERROR(MasterData!$G468,"")</f>
        <v/>
      </c>
      <c r="T466" s="33" t="str">
        <f>IFERROR(MasterData!$I468,"")</f>
        <v/>
      </c>
    </row>
    <row r="467" ht="21.75" customHeight="1">
      <c r="A467" s="56"/>
      <c r="B467" s="58"/>
      <c r="C467" s="53"/>
      <c r="D467" s="53"/>
      <c r="E467" s="56"/>
      <c r="F467" s="53"/>
      <c r="G467" s="53"/>
      <c r="H467" s="58"/>
      <c r="I467" s="58"/>
      <c r="J467" s="58"/>
      <c r="K467" s="49"/>
      <c r="L467" s="49"/>
      <c r="M467" s="49"/>
      <c r="N467" s="53"/>
      <c r="O467" s="53"/>
      <c r="P467" s="33" t="str">
        <f>IFERROR(MasterData!$B469,"")</f>
        <v/>
      </c>
      <c r="Q467" s="33" t="str">
        <f>IFERROR(MasterData!$C469,"")</f>
        <v/>
      </c>
      <c r="R467" s="33" t="str">
        <f>IFERROR(MasterData!$E469,"")</f>
        <v/>
      </c>
      <c r="S467" s="33" t="str">
        <f>IFERROR(MasterData!$G469,"")</f>
        <v/>
      </c>
      <c r="T467" s="33" t="str">
        <f>IFERROR(MasterData!$I469,"")</f>
        <v/>
      </c>
    </row>
    <row r="468" ht="21.75" customHeight="1">
      <c r="A468" s="68"/>
      <c r="B468" s="67"/>
      <c r="C468" s="66"/>
      <c r="D468" s="66"/>
      <c r="E468" s="68"/>
      <c r="F468" s="66"/>
      <c r="G468" s="66"/>
      <c r="H468" s="67"/>
      <c r="I468" s="67"/>
      <c r="J468" s="67"/>
      <c r="K468" s="65"/>
      <c r="L468" s="65"/>
      <c r="M468" s="65"/>
      <c r="N468" s="66"/>
      <c r="O468" s="66"/>
      <c r="P468" s="33" t="str">
        <f>IFERROR(MasterData!$B470,"")</f>
        <v/>
      </c>
      <c r="Q468" s="33" t="str">
        <f>IFERROR(MasterData!$C470,"")</f>
        <v/>
      </c>
      <c r="R468" s="33" t="str">
        <f>IFERROR(MasterData!$E470,"")</f>
        <v/>
      </c>
      <c r="S468" s="33" t="str">
        <f>IFERROR(MasterData!$G470,"")</f>
        <v/>
      </c>
      <c r="T468" s="33" t="str">
        <f>IFERROR(MasterData!$I470,"")</f>
        <v/>
      </c>
    </row>
    <row r="469" ht="21.75" customHeight="1">
      <c r="A469" s="56"/>
      <c r="B469" s="58"/>
      <c r="C469" s="53"/>
      <c r="D469" s="53"/>
      <c r="E469" s="56"/>
      <c r="F469" s="53"/>
      <c r="G469" s="53"/>
      <c r="H469" s="58"/>
      <c r="I469" s="58"/>
      <c r="J469" s="58"/>
      <c r="K469" s="49"/>
      <c r="L469" s="49"/>
      <c r="M469" s="49"/>
      <c r="N469" s="53"/>
      <c r="O469" s="53"/>
      <c r="P469" s="33" t="str">
        <f>IFERROR(MasterData!$B471,"")</f>
        <v/>
      </c>
      <c r="Q469" s="33" t="str">
        <f>IFERROR(MasterData!$C471,"")</f>
        <v/>
      </c>
      <c r="R469" s="33" t="str">
        <f>IFERROR(MasterData!$E471,"")</f>
        <v/>
      </c>
      <c r="S469" s="33" t="str">
        <f>IFERROR(MasterData!$G471,"")</f>
        <v/>
      </c>
      <c r="T469" s="33" t="str">
        <f>IFERROR(MasterData!$I471,"")</f>
        <v/>
      </c>
    </row>
    <row r="470" ht="21.75" customHeight="1">
      <c r="A470" s="68"/>
      <c r="B470" s="67"/>
      <c r="C470" s="66"/>
      <c r="D470" s="66"/>
      <c r="E470" s="68"/>
      <c r="F470" s="66"/>
      <c r="G470" s="66"/>
      <c r="H470" s="67"/>
      <c r="I470" s="67"/>
      <c r="J470" s="67"/>
      <c r="K470" s="65"/>
      <c r="L470" s="65"/>
      <c r="M470" s="65"/>
      <c r="N470" s="66"/>
      <c r="O470" s="66"/>
      <c r="P470" s="33" t="str">
        <f>IFERROR(MasterData!$B472,"")</f>
        <v/>
      </c>
      <c r="Q470" s="33" t="str">
        <f>IFERROR(MasterData!$C472,"")</f>
        <v/>
      </c>
      <c r="R470" s="33" t="str">
        <f>IFERROR(MasterData!$E472,"")</f>
        <v/>
      </c>
      <c r="S470" s="33" t="str">
        <f>IFERROR(MasterData!$G472,"")</f>
        <v/>
      </c>
      <c r="T470" s="33" t="str">
        <f>IFERROR(MasterData!$I472,"")</f>
        <v/>
      </c>
    </row>
    <row r="471" ht="21.75" customHeight="1">
      <c r="A471" s="56"/>
      <c r="B471" s="58"/>
      <c r="C471" s="53"/>
      <c r="D471" s="53"/>
      <c r="E471" s="56"/>
      <c r="F471" s="53"/>
      <c r="G471" s="53"/>
      <c r="H471" s="58"/>
      <c r="I471" s="58"/>
      <c r="J471" s="58"/>
      <c r="K471" s="49"/>
      <c r="L471" s="49"/>
      <c r="M471" s="49"/>
      <c r="N471" s="53"/>
      <c r="O471" s="53"/>
      <c r="P471" s="33" t="str">
        <f>IFERROR(MasterData!$B473,"")</f>
        <v/>
      </c>
      <c r="Q471" s="33" t="str">
        <f>IFERROR(MasterData!$C473,"")</f>
        <v/>
      </c>
      <c r="R471" s="33" t="str">
        <f>IFERROR(MasterData!$E473,"")</f>
        <v/>
      </c>
      <c r="S471" s="33" t="str">
        <f>IFERROR(MasterData!$G473,"")</f>
        <v/>
      </c>
      <c r="T471" s="33" t="str">
        <f>IFERROR(MasterData!$I473,"")</f>
        <v/>
      </c>
    </row>
    <row r="472" ht="21.75" customHeight="1">
      <c r="A472" s="68"/>
      <c r="B472" s="67"/>
      <c r="C472" s="66"/>
      <c r="D472" s="66"/>
      <c r="E472" s="68"/>
      <c r="F472" s="66"/>
      <c r="G472" s="66"/>
      <c r="H472" s="67"/>
      <c r="I472" s="67"/>
      <c r="J472" s="67"/>
      <c r="K472" s="65"/>
      <c r="L472" s="65"/>
      <c r="M472" s="65"/>
      <c r="N472" s="66"/>
      <c r="O472" s="66"/>
      <c r="P472" s="33" t="str">
        <f>IFERROR(MasterData!$B474,"")</f>
        <v/>
      </c>
      <c r="Q472" s="33" t="str">
        <f>IFERROR(MasterData!$C474,"")</f>
        <v/>
      </c>
      <c r="R472" s="33" t="str">
        <f>IFERROR(MasterData!$E474,"")</f>
        <v/>
      </c>
      <c r="S472" s="33" t="str">
        <f>IFERROR(MasterData!$G474,"")</f>
        <v/>
      </c>
      <c r="T472" s="33" t="str">
        <f>IFERROR(MasterData!$I474,"")</f>
        <v/>
      </c>
    </row>
    <row r="473" ht="21.75" customHeight="1">
      <c r="A473" s="56"/>
      <c r="B473" s="58"/>
      <c r="C473" s="53"/>
      <c r="D473" s="53"/>
      <c r="E473" s="56"/>
      <c r="F473" s="53"/>
      <c r="G473" s="53"/>
      <c r="H473" s="58"/>
      <c r="I473" s="58"/>
      <c r="J473" s="58"/>
      <c r="K473" s="49"/>
      <c r="L473" s="49"/>
      <c r="M473" s="49"/>
      <c r="N473" s="53"/>
      <c r="O473" s="53"/>
      <c r="P473" s="33" t="str">
        <f>IFERROR(MasterData!$B475,"")</f>
        <v/>
      </c>
      <c r="Q473" s="33" t="str">
        <f>IFERROR(MasterData!$C475,"")</f>
        <v/>
      </c>
      <c r="R473" s="33" t="str">
        <f>IFERROR(MasterData!$E475,"")</f>
        <v/>
      </c>
      <c r="S473" s="33" t="str">
        <f>IFERROR(MasterData!$G475,"")</f>
        <v/>
      </c>
      <c r="T473" s="33" t="str">
        <f>IFERROR(MasterData!$I475,"")</f>
        <v/>
      </c>
    </row>
    <row r="474" ht="21.75" customHeight="1">
      <c r="A474" s="68"/>
      <c r="B474" s="67"/>
      <c r="C474" s="66"/>
      <c r="D474" s="66"/>
      <c r="E474" s="68"/>
      <c r="F474" s="66"/>
      <c r="G474" s="66"/>
      <c r="H474" s="67"/>
      <c r="I474" s="67"/>
      <c r="J474" s="67"/>
      <c r="K474" s="65"/>
      <c r="L474" s="65"/>
      <c r="M474" s="65"/>
      <c r="N474" s="66"/>
      <c r="O474" s="66"/>
      <c r="P474" s="33" t="str">
        <f>IFERROR(MasterData!$B476,"")</f>
        <v/>
      </c>
      <c r="Q474" s="33" t="str">
        <f>IFERROR(MasterData!$C476,"")</f>
        <v/>
      </c>
      <c r="R474" s="33" t="str">
        <f>IFERROR(MasterData!$E476,"")</f>
        <v/>
      </c>
      <c r="S474" s="33" t="str">
        <f>IFERROR(MasterData!$G476,"")</f>
        <v/>
      </c>
      <c r="T474" s="33" t="str">
        <f>IFERROR(MasterData!$I476,"")</f>
        <v/>
      </c>
    </row>
    <row r="475" ht="21.75" customHeight="1">
      <c r="A475" s="56"/>
      <c r="B475" s="58"/>
      <c r="C475" s="53"/>
      <c r="D475" s="53"/>
      <c r="E475" s="56"/>
      <c r="F475" s="53"/>
      <c r="G475" s="53"/>
      <c r="H475" s="58"/>
      <c r="I475" s="58"/>
      <c r="J475" s="58"/>
      <c r="K475" s="49"/>
      <c r="L475" s="49"/>
      <c r="M475" s="49"/>
      <c r="N475" s="53"/>
      <c r="O475" s="53"/>
      <c r="P475" s="33" t="str">
        <f>IFERROR(MasterData!$B477,"")</f>
        <v/>
      </c>
      <c r="Q475" s="33" t="str">
        <f>IFERROR(MasterData!$C477,"")</f>
        <v/>
      </c>
      <c r="R475" s="33" t="str">
        <f>IFERROR(MasterData!$E477,"")</f>
        <v/>
      </c>
      <c r="S475" s="33" t="str">
        <f>IFERROR(MasterData!$G477,"")</f>
        <v/>
      </c>
      <c r="T475" s="33" t="str">
        <f>IFERROR(MasterData!$I477,"")</f>
        <v/>
      </c>
    </row>
    <row r="476" ht="21.75" customHeight="1">
      <c r="A476" s="68"/>
      <c r="B476" s="67"/>
      <c r="C476" s="66"/>
      <c r="D476" s="66"/>
      <c r="E476" s="68"/>
      <c r="F476" s="66"/>
      <c r="G476" s="66"/>
      <c r="H476" s="67"/>
      <c r="I476" s="67"/>
      <c r="J476" s="67"/>
      <c r="K476" s="65"/>
      <c r="L476" s="65"/>
      <c r="M476" s="65"/>
      <c r="N476" s="66"/>
      <c r="O476" s="66"/>
      <c r="P476" s="33" t="str">
        <f>IFERROR(MasterData!$B478,"")</f>
        <v/>
      </c>
      <c r="Q476" s="33" t="str">
        <f>IFERROR(MasterData!$C478,"")</f>
        <v/>
      </c>
      <c r="R476" s="33" t="str">
        <f>IFERROR(MasterData!$E478,"")</f>
        <v/>
      </c>
      <c r="S476" s="33" t="str">
        <f>IFERROR(MasterData!$G478,"")</f>
        <v/>
      </c>
      <c r="T476" s="33" t="str">
        <f>IFERROR(MasterData!$I478,"")</f>
        <v/>
      </c>
    </row>
    <row r="477" ht="21.75" customHeight="1">
      <c r="A477" s="56"/>
      <c r="B477" s="58"/>
      <c r="C477" s="53"/>
      <c r="D477" s="53"/>
      <c r="E477" s="56"/>
      <c r="F477" s="53"/>
      <c r="G477" s="53"/>
      <c r="H477" s="58"/>
      <c r="I477" s="58"/>
      <c r="J477" s="58"/>
      <c r="K477" s="49"/>
      <c r="L477" s="49"/>
      <c r="M477" s="49"/>
      <c r="N477" s="53"/>
      <c r="O477" s="53"/>
      <c r="P477" s="33" t="str">
        <f>IFERROR(MasterData!$B479,"")</f>
        <v/>
      </c>
      <c r="Q477" s="33" t="str">
        <f>IFERROR(MasterData!$C479,"")</f>
        <v/>
      </c>
      <c r="R477" s="33" t="str">
        <f>IFERROR(MasterData!$E479,"")</f>
        <v/>
      </c>
      <c r="S477" s="33" t="str">
        <f>IFERROR(MasterData!$G479,"")</f>
        <v/>
      </c>
      <c r="T477" s="33" t="str">
        <f>IFERROR(MasterData!$I479,"")</f>
        <v/>
      </c>
    </row>
    <row r="478" ht="21.75" customHeight="1">
      <c r="A478" s="68"/>
      <c r="B478" s="67"/>
      <c r="C478" s="66"/>
      <c r="D478" s="66"/>
      <c r="E478" s="68"/>
      <c r="F478" s="66"/>
      <c r="G478" s="66"/>
      <c r="H478" s="67"/>
      <c r="I478" s="67"/>
      <c r="J478" s="67"/>
      <c r="K478" s="65"/>
      <c r="L478" s="65"/>
      <c r="M478" s="65"/>
      <c r="N478" s="66"/>
      <c r="O478" s="66"/>
      <c r="P478" s="33" t="str">
        <f>IFERROR(MasterData!$B480,"")</f>
        <v/>
      </c>
      <c r="Q478" s="33" t="str">
        <f>IFERROR(MasterData!$C480,"")</f>
        <v/>
      </c>
      <c r="R478" s="33" t="str">
        <f>IFERROR(MasterData!$E480,"")</f>
        <v/>
      </c>
      <c r="S478" s="33" t="str">
        <f>IFERROR(MasterData!$G480,"")</f>
        <v/>
      </c>
      <c r="T478" s="33" t="str">
        <f>IFERROR(MasterData!$I480,"")</f>
        <v/>
      </c>
    </row>
    <row r="479" ht="21.75" customHeight="1">
      <c r="A479" s="56"/>
      <c r="B479" s="58"/>
      <c r="C479" s="53"/>
      <c r="D479" s="53"/>
      <c r="E479" s="56"/>
      <c r="F479" s="53"/>
      <c r="G479" s="53"/>
      <c r="H479" s="58"/>
      <c r="I479" s="58"/>
      <c r="J479" s="58"/>
      <c r="K479" s="49"/>
      <c r="L479" s="49"/>
      <c r="M479" s="49"/>
      <c r="N479" s="53"/>
      <c r="O479" s="53"/>
      <c r="P479" s="33" t="str">
        <f>IFERROR(MasterData!$B481,"")</f>
        <v/>
      </c>
      <c r="Q479" s="33" t="str">
        <f>IFERROR(MasterData!$C481,"")</f>
        <v/>
      </c>
      <c r="R479" s="33" t="str">
        <f>IFERROR(MasterData!$E481,"")</f>
        <v/>
      </c>
      <c r="S479" s="33" t="str">
        <f>IFERROR(MasterData!$G481,"")</f>
        <v/>
      </c>
      <c r="T479" s="33" t="str">
        <f>IFERROR(MasterData!$I481,"")</f>
        <v/>
      </c>
    </row>
    <row r="480" ht="21.75" customHeight="1">
      <c r="A480" s="68"/>
      <c r="B480" s="67"/>
      <c r="C480" s="66"/>
      <c r="D480" s="66"/>
      <c r="E480" s="68"/>
      <c r="F480" s="66"/>
      <c r="G480" s="66"/>
      <c r="H480" s="67"/>
      <c r="I480" s="67"/>
      <c r="J480" s="67"/>
      <c r="K480" s="65"/>
      <c r="L480" s="65"/>
      <c r="M480" s="65"/>
      <c r="N480" s="66"/>
      <c r="O480" s="66"/>
      <c r="P480" s="33" t="str">
        <f>IFERROR(MasterData!$B482,"")</f>
        <v/>
      </c>
      <c r="Q480" s="33" t="str">
        <f>IFERROR(MasterData!$C482,"")</f>
        <v/>
      </c>
      <c r="R480" s="33" t="str">
        <f>IFERROR(MasterData!$E482,"")</f>
        <v/>
      </c>
      <c r="S480" s="33" t="str">
        <f>IFERROR(MasterData!$G482,"")</f>
        <v/>
      </c>
      <c r="T480" s="33" t="str">
        <f>IFERROR(MasterData!$I482,"")</f>
        <v/>
      </c>
    </row>
    <row r="481" ht="21.75" customHeight="1">
      <c r="A481" s="56"/>
      <c r="B481" s="58"/>
      <c r="C481" s="53"/>
      <c r="D481" s="53"/>
      <c r="E481" s="56"/>
      <c r="F481" s="53"/>
      <c r="G481" s="53"/>
      <c r="H481" s="58"/>
      <c r="I481" s="58"/>
      <c r="J481" s="58"/>
      <c r="K481" s="49"/>
      <c r="L481" s="49"/>
      <c r="M481" s="49"/>
      <c r="N481" s="53"/>
      <c r="O481" s="53"/>
      <c r="P481" s="33" t="str">
        <f>IFERROR(MasterData!$B483,"")</f>
        <v/>
      </c>
      <c r="Q481" s="33" t="str">
        <f>IFERROR(MasterData!$C483,"")</f>
        <v/>
      </c>
      <c r="R481" s="33" t="str">
        <f>IFERROR(MasterData!$E483,"")</f>
        <v/>
      </c>
      <c r="S481" s="33" t="str">
        <f>IFERROR(MasterData!$G483,"")</f>
        <v/>
      </c>
      <c r="T481" s="33" t="str">
        <f>IFERROR(MasterData!$I483,"")</f>
        <v/>
      </c>
    </row>
    <row r="482" ht="21.75" customHeight="1">
      <c r="A482" s="68"/>
      <c r="B482" s="67"/>
      <c r="C482" s="66"/>
      <c r="D482" s="66"/>
      <c r="E482" s="68"/>
      <c r="F482" s="66"/>
      <c r="G482" s="66"/>
      <c r="H482" s="67"/>
      <c r="I482" s="67"/>
      <c r="J482" s="67"/>
      <c r="K482" s="65"/>
      <c r="L482" s="65"/>
      <c r="M482" s="65"/>
      <c r="N482" s="66"/>
      <c r="O482" s="66"/>
      <c r="P482" s="33" t="str">
        <f>IFERROR(MasterData!$B484,"")</f>
        <v/>
      </c>
      <c r="Q482" s="33" t="str">
        <f>IFERROR(MasterData!$C484,"")</f>
        <v/>
      </c>
      <c r="R482" s="33" t="str">
        <f>IFERROR(MasterData!$E484,"")</f>
        <v/>
      </c>
      <c r="S482" s="33" t="str">
        <f>IFERROR(MasterData!$G484,"")</f>
        <v/>
      </c>
      <c r="T482" s="33" t="str">
        <f>IFERROR(MasterData!$I484,"")</f>
        <v/>
      </c>
    </row>
    <row r="483" ht="21.75" customHeight="1">
      <c r="A483" s="56"/>
      <c r="B483" s="58"/>
      <c r="C483" s="53"/>
      <c r="D483" s="53"/>
      <c r="E483" s="56"/>
      <c r="F483" s="53"/>
      <c r="G483" s="53"/>
      <c r="H483" s="58"/>
      <c r="I483" s="58"/>
      <c r="J483" s="58"/>
      <c r="K483" s="49"/>
      <c r="L483" s="49"/>
      <c r="M483" s="49"/>
      <c r="N483" s="53"/>
      <c r="O483" s="53"/>
      <c r="P483" s="33" t="str">
        <f>IFERROR(MasterData!$B485,"")</f>
        <v/>
      </c>
      <c r="Q483" s="33" t="str">
        <f>IFERROR(MasterData!$C485,"")</f>
        <v/>
      </c>
      <c r="R483" s="33" t="str">
        <f>IFERROR(MasterData!$E485,"")</f>
        <v/>
      </c>
      <c r="S483" s="33" t="str">
        <f>IFERROR(MasterData!$G485,"")</f>
        <v/>
      </c>
      <c r="T483" s="33" t="str">
        <f>IFERROR(MasterData!$I485,"")</f>
        <v/>
      </c>
    </row>
    <row r="484" ht="21.75" customHeight="1">
      <c r="A484" s="68"/>
      <c r="B484" s="67"/>
      <c r="C484" s="66"/>
      <c r="D484" s="66"/>
      <c r="E484" s="68"/>
      <c r="F484" s="66"/>
      <c r="G484" s="66"/>
      <c r="H484" s="67"/>
      <c r="I484" s="67"/>
      <c r="J484" s="67"/>
      <c r="K484" s="65"/>
      <c r="L484" s="65"/>
      <c r="M484" s="65"/>
      <c r="N484" s="66"/>
      <c r="O484" s="66"/>
      <c r="P484" s="33" t="str">
        <f>IFERROR(MasterData!$B486,"")</f>
        <v/>
      </c>
      <c r="Q484" s="33" t="str">
        <f>IFERROR(MasterData!$C486,"")</f>
        <v/>
      </c>
      <c r="R484" s="33" t="str">
        <f>IFERROR(MasterData!$E486,"")</f>
        <v/>
      </c>
      <c r="S484" s="33" t="str">
        <f>IFERROR(MasterData!$G486,"")</f>
        <v/>
      </c>
      <c r="T484" s="33" t="str">
        <f>IFERROR(MasterData!$I486,"")</f>
        <v/>
      </c>
    </row>
    <row r="485" ht="21.75" customHeight="1">
      <c r="A485" s="56"/>
      <c r="B485" s="58"/>
      <c r="C485" s="53"/>
      <c r="D485" s="53"/>
      <c r="E485" s="56"/>
      <c r="F485" s="53"/>
      <c r="G485" s="53"/>
      <c r="H485" s="58"/>
      <c r="I485" s="58"/>
      <c r="J485" s="58"/>
      <c r="K485" s="49"/>
      <c r="L485" s="49"/>
      <c r="M485" s="49"/>
      <c r="N485" s="53"/>
      <c r="O485" s="53"/>
      <c r="P485" s="33" t="str">
        <f>IFERROR(MasterData!$B487,"")</f>
        <v/>
      </c>
      <c r="Q485" s="33" t="str">
        <f>IFERROR(MasterData!$C487,"")</f>
        <v/>
      </c>
      <c r="R485" s="33" t="str">
        <f>IFERROR(MasterData!$E487,"")</f>
        <v/>
      </c>
      <c r="S485" s="33" t="str">
        <f>IFERROR(MasterData!$G487,"")</f>
        <v/>
      </c>
      <c r="T485" s="33" t="str">
        <f>IFERROR(MasterData!$I487,"")</f>
        <v/>
      </c>
    </row>
    <row r="486" ht="21.75" customHeight="1">
      <c r="A486" s="68"/>
      <c r="B486" s="67"/>
      <c r="C486" s="66"/>
      <c r="D486" s="66"/>
      <c r="E486" s="68"/>
      <c r="F486" s="66"/>
      <c r="G486" s="66"/>
      <c r="H486" s="67"/>
      <c r="I486" s="67"/>
      <c r="J486" s="67"/>
      <c r="K486" s="65"/>
      <c r="L486" s="65"/>
      <c r="M486" s="65"/>
      <c r="N486" s="66"/>
      <c r="O486" s="66"/>
      <c r="P486" s="33" t="str">
        <f>IFERROR(MasterData!$B488,"")</f>
        <v/>
      </c>
      <c r="Q486" s="33" t="str">
        <f>IFERROR(MasterData!$C488,"")</f>
        <v/>
      </c>
      <c r="R486" s="33" t="str">
        <f>IFERROR(MasterData!$E488,"")</f>
        <v/>
      </c>
      <c r="S486" s="33" t="str">
        <f>IFERROR(MasterData!$G488,"")</f>
        <v/>
      </c>
      <c r="T486" s="33" t="str">
        <f>IFERROR(MasterData!$I488,"")</f>
        <v/>
      </c>
    </row>
    <row r="487" ht="21.75" customHeight="1">
      <c r="A487" s="56"/>
      <c r="B487" s="58"/>
      <c r="C487" s="53"/>
      <c r="D487" s="53"/>
      <c r="E487" s="56"/>
      <c r="F487" s="53"/>
      <c r="G487" s="53"/>
      <c r="H487" s="58"/>
      <c r="I487" s="58"/>
      <c r="J487" s="58"/>
      <c r="K487" s="49"/>
      <c r="L487" s="49"/>
      <c r="M487" s="49"/>
      <c r="N487" s="53"/>
      <c r="O487" s="53"/>
      <c r="P487" s="33" t="str">
        <f>IFERROR(MasterData!$B489,"")</f>
        <v/>
      </c>
      <c r="Q487" s="33" t="str">
        <f>IFERROR(MasterData!$C489,"")</f>
        <v/>
      </c>
      <c r="R487" s="33" t="str">
        <f>IFERROR(MasterData!$E489,"")</f>
        <v/>
      </c>
      <c r="S487" s="33" t="str">
        <f>IFERROR(MasterData!$G489,"")</f>
        <v/>
      </c>
      <c r="T487" s="33" t="str">
        <f>IFERROR(MasterData!$I489,"")</f>
        <v/>
      </c>
    </row>
    <row r="488" ht="21.75" customHeight="1">
      <c r="A488" s="68"/>
      <c r="B488" s="67"/>
      <c r="C488" s="66"/>
      <c r="D488" s="66"/>
      <c r="E488" s="68"/>
      <c r="F488" s="66"/>
      <c r="G488" s="66"/>
      <c r="H488" s="67"/>
      <c r="I488" s="67"/>
      <c r="J488" s="67"/>
      <c r="K488" s="65"/>
      <c r="L488" s="65"/>
      <c r="M488" s="65"/>
      <c r="N488" s="66"/>
      <c r="O488" s="66"/>
      <c r="P488" s="33" t="str">
        <f>IFERROR(MasterData!$B490,"")</f>
        <v/>
      </c>
      <c r="Q488" s="33" t="str">
        <f>IFERROR(MasterData!$C490,"")</f>
        <v/>
      </c>
      <c r="R488" s="33" t="str">
        <f>IFERROR(MasterData!$E490,"")</f>
        <v/>
      </c>
      <c r="S488" s="33" t="str">
        <f>IFERROR(MasterData!$G490,"")</f>
        <v/>
      </c>
      <c r="T488" s="33" t="str">
        <f>IFERROR(MasterData!$I490,"")</f>
        <v/>
      </c>
    </row>
    <row r="489" ht="21.75" customHeight="1">
      <c r="A489" s="56"/>
      <c r="B489" s="58"/>
      <c r="C489" s="53"/>
      <c r="D489" s="53"/>
      <c r="E489" s="56"/>
      <c r="F489" s="53"/>
      <c r="G489" s="53"/>
      <c r="H489" s="58"/>
      <c r="I489" s="58"/>
      <c r="J489" s="58"/>
      <c r="K489" s="49"/>
      <c r="L489" s="49"/>
      <c r="M489" s="49"/>
      <c r="N489" s="53"/>
      <c r="O489" s="53"/>
      <c r="P489" s="33" t="str">
        <f>IFERROR(MasterData!$B491,"")</f>
        <v/>
      </c>
      <c r="Q489" s="33" t="str">
        <f>IFERROR(MasterData!$C491,"")</f>
        <v/>
      </c>
      <c r="R489" s="33" t="str">
        <f>IFERROR(MasterData!$E491,"")</f>
        <v/>
      </c>
      <c r="S489" s="33" t="str">
        <f>IFERROR(MasterData!$G491,"")</f>
        <v/>
      </c>
      <c r="T489" s="33" t="str">
        <f>IFERROR(MasterData!$I491,"")</f>
        <v/>
      </c>
    </row>
    <row r="490" ht="21.75" customHeight="1">
      <c r="A490" s="68"/>
      <c r="B490" s="67"/>
      <c r="C490" s="66"/>
      <c r="D490" s="66"/>
      <c r="E490" s="68"/>
      <c r="F490" s="66"/>
      <c r="G490" s="66"/>
      <c r="H490" s="67"/>
      <c r="I490" s="67"/>
      <c r="J490" s="67"/>
      <c r="K490" s="65"/>
      <c r="L490" s="65"/>
      <c r="M490" s="65"/>
      <c r="N490" s="66"/>
      <c r="O490" s="66"/>
      <c r="P490" s="33" t="str">
        <f>IFERROR(MasterData!$B492,"")</f>
        <v/>
      </c>
      <c r="Q490" s="33" t="str">
        <f>IFERROR(MasterData!$C492,"")</f>
        <v/>
      </c>
      <c r="R490" s="33" t="str">
        <f>IFERROR(MasterData!$E492,"")</f>
        <v/>
      </c>
      <c r="S490" s="33" t="str">
        <f>IFERROR(MasterData!$G492,"")</f>
        <v/>
      </c>
      <c r="T490" s="33" t="str">
        <f>IFERROR(MasterData!$I492,"")</f>
        <v/>
      </c>
    </row>
    <row r="491" ht="21.75" customHeight="1">
      <c r="A491" s="56"/>
      <c r="B491" s="58"/>
      <c r="C491" s="53"/>
      <c r="D491" s="53"/>
      <c r="E491" s="56"/>
      <c r="F491" s="53"/>
      <c r="G491" s="53"/>
      <c r="H491" s="58"/>
      <c r="I491" s="58"/>
      <c r="J491" s="58"/>
      <c r="K491" s="49"/>
      <c r="L491" s="49"/>
      <c r="M491" s="49"/>
      <c r="N491" s="53"/>
      <c r="O491" s="53"/>
      <c r="P491" s="33" t="str">
        <f>IFERROR(MasterData!$B493,"")</f>
        <v/>
      </c>
      <c r="Q491" s="33" t="str">
        <f>IFERROR(MasterData!$C493,"")</f>
        <v/>
      </c>
      <c r="R491" s="33" t="str">
        <f>IFERROR(MasterData!$E493,"")</f>
        <v/>
      </c>
      <c r="S491" s="33" t="str">
        <f>IFERROR(MasterData!$G493,"")</f>
        <v/>
      </c>
      <c r="T491" s="33" t="str">
        <f>IFERROR(MasterData!$I493,"")</f>
        <v/>
      </c>
    </row>
    <row r="492" ht="21.75" customHeight="1">
      <c r="A492" s="68"/>
      <c r="B492" s="67"/>
      <c r="C492" s="66"/>
      <c r="D492" s="66"/>
      <c r="E492" s="68"/>
      <c r="F492" s="66"/>
      <c r="G492" s="66"/>
      <c r="H492" s="67"/>
      <c r="I492" s="67"/>
      <c r="J492" s="67"/>
      <c r="K492" s="65"/>
      <c r="L492" s="65"/>
      <c r="M492" s="65"/>
      <c r="N492" s="66"/>
      <c r="O492" s="66"/>
      <c r="P492" s="33" t="str">
        <f>IFERROR(MasterData!$B494,"")</f>
        <v/>
      </c>
      <c r="Q492" s="33" t="str">
        <f>IFERROR(MasterData!$C494,"")</f>
        <v/>
      </c>
      <c r="R492" s="33" t="str">
        <f>IFERROR(MasterData!$E494,"")</f>
        <v/>
      </c>
      <c r="S492" s="33" t="str">
        <f>IFERROR(MasterData!$G494,"")</f>
        <v/>
      </c>
      <c r="T492" s="33" t="str">
        <f>IFERROR(MasterData!$I494,"")</f>
        <v/>
      </c>
    </row>
    <row r="493" ht="21.75" customHeight="1">
      <c r="A493" s="56"/>
      <c r="B493" s="58"/>
      <c r="C493" s="53"/>
      <c r="D493" s="53"/>
      <c r="E493" s="56"/>
      <c r="F493" s="53"/>
      <c r="G493" s="53"/>
      <c r="H493" s="58"/>
      <c r="I493" s="58"/>
      <c r="J493" s="58"/>
      <c r="K493" s="49"/>
      <c r="L493" s="49"/>
      <c r="M493" s="49"/>
      <c r="N493" s="53"/>
      <c r="O493" s="53"/>
      <c r="P493" s="33" t="str">
        <f>IFERROR(MasterData!$B495,"")</f>
        <v/>
      </c>
      <c r="Q493" s="33" t="str">
        <f>IFERROR(MasterData!$C495,"")</f>
        <v/>
      </c>
      <c r="R493" s="33" t="str">
        <f>IFERROR(MasterData!$E495,"")</f>
        <v/>
      </c>
      <c r="S493" s="33" t="str">
        <f>IFERROR(MasterData!$G495,"")</f>
        <v/>
      </c>
      <c r="T493" s="33" t="str">
        <f>IFERROR(MasterData!$I495,"")</f>
        <v/>
      </c>
    </row>
    <row r="494" ht="21.75" customHeight="1">
      <c r="A494" s="68"/>
      <c r="B494" s="67"/>
      <c r="C494" s="66"/>
      <c r="D494" s="66"/>
      <c r="E494" s="68"/>
      <c r="F494" s="66"/>
      <c r="G494" s="66"/>
      <c r="H494" s="67"/>
      <c r="I494" s="67"/>
      <c r="J494" s="67"/>
      <c r="K494" s="65"/>
      <c r="L494" s="65"/>
      <c r="M494" s="65"/>
      <c r="N494" s="66"/>
      <c r="O494" s="66"/>
      <c r="P494" s="33" t="str">
        <f>IFERROR(MasterData!$B496,"")</f>
        <v/>
      </c>
      <c r="Q494" s="33" t="str">
        <f>IFERROR(MasterData!$C496,"")</f>
        <v/>
      </c>
      <c r="R494" s="33" t="str">
        <f>IFERROR(MasterData!$E496,"")</f>
        <v/>
      </c>
      <c r="S494" s="33" t="str">
        <f>IFERROR(MasterData!$G496,"")</f>
        <v/>
      </c>
      <c r="T494" s="33" t="str">
        <f>IFERROR(MasterData!$I496,"")</f>
        <v/>
      </c>
    </row>
    <row r="495" ht="21.75" customHeight="1">
      <c r="A495" s="56"/>
      <c r="B495" s="58"/>
      <c r="C495" s="53"/>
      <c r="D495" s="53"/>
      <c r="E495" s="56"/>
      <c r="F495" s="53"/>
      <c r="G495" s="53"/>
      <c r="H495" s="58"/>
      <c r="I495" s="58"/>
      <c r="J495" s="58"/>
      <c r="K495" s="49"/>
      <c r="L495" s="49"/>
      <c r="M495" s="49"/>
      <c r="N495" s="53"/>
      <c r="O495" s="53"/>
      <c r="P495" s="33" t="str">
        <f>IFERROR(MasterData!$B497,"")</f>
        <v/>
      </c>
      <c r="Q495" s="33" t="str">
        <f>IFERROR(MasterData!$C497,"")</f>
        <v/>
      </c>
      <c r="R495" s="33" t="str">
        <f>IFERROR(MasterData!$E497,"")</f>
        <v/>
      </c>
      <c r="S495" s="33" t="str">
        <f>IFERROR(MasterData!$G497,"")</f>
        <v/>
      </c>
      <c r="T495" s="33" t="str">
        <f>IFERROR(MasterData!$I497,"")</f>
        <v/>
      </c>
    </row>
    <row r="496" ht="21.75" customHeight="1">
      <c r="A496" s="68"/>
      <c r="B496" s="67"/>
      <c r="C496" s="66"/>
      <c r="D496" s="66"/>
      <c r="E496" s="68"/>
      <c r="F496" s="66"/>
      <c r="G496" s="66"/>
      <c r="H496" s="67"/>
      <c r="I496" s="67"/>
      <c r="J496" s="67"/>
      <c r="K496" s="65"/>
      <c r="L496" s="65"/>
      <c r="M496" s="65"/>
      <c r="N496" s="66"/>
      <c r="O496" s="66"/>
      <c r="P496" s="33" t="str">
        <f>IFERROR(MasterData!$B498,"")</f>
        <v/>
      </c>
      <c r="Q496" s="33" t="str">
        <f>IFERROR(MasterData!$C498,"")</f>
        <v/>
      </c>
      <c r="R496" s="33" t="str">
        <f>IFERROR(MasterData!$E498,"")</f>
        <v/>
      </c>
      <c r="S496" s="33" t="str">
        <f>IFERROR(MasterData!$G498,"")</f>
        <v/>
      </c>
      <c r="T496" s="33" t="str">
        <f>IFERROR(MasterData!$I498,"")</f>
        <v/>
      </c>
    </row>
    <row r="497" ht="21.75" customHeight="1">
      <c r="A497" s="56"/>
      <c r="B497" s="58"/>
      <c r="C497" s="53"/>
      <c r="D497" s="53"/>
      <c r="E497" s="56"/>
      <c r="F497" s="53"/>
      <c r="G497" s="53"/>
      <c r="H497" s="58"/>
      <c r="I497" s="58"/>
      <c r="J497" s="58"/>
      <c r="K497" s="49"/>
      <c r="L497" s="49"/>
      <c r="M497" s="49"/>
      <c r="N497" s="53"/>
      <c r="O497" s="53"/>
      <c r="P497" s="33" t="str">
        <f>IFERROR(MasterData!$B499,"")</f>
        <v/>
      </c>
      <c r="Q497" s="33" t="str">
        <f>IFERROR(MasterData!$C499,"")</f>
        <v/>
      </c>
      <c r="R497" s="33" t="str">
        <f>IFERROR(MasterData!$E499,"")</f>
        <v/>
      </c>
      <c r="S497" s="33" t="str">
        <f>IFERROR(MasterData!$G499,"")</f>
        <v/>
      </c>
      <c r="T497" s="33" t="str">
        <f>IFERROR(MasterData!$I499,"")</f>
        <v/>
      </c>
    </row>
    <row r="498" ht="21.75" customHeight="1">
      <c r="A498" s="68"/>
      <c r="B498" s="67"/>
      <c r="C498" s="66"/>
      <c r="D498" s="66"/>
      <c r="E498" s="68"/>
      <c r="F498" s="66"/>
      <c r="G498" s="66"/>
      <c r="H498" s="67"/>
      <c r="I498" s="67"/>
      <c r="J498" s="67"/>
      <c r="K498" s="65"/>
      <c r="L498" s="65"/>
      <c r="M498" s="65"/>
      <c r="N498" s="66"/>
      <c r="O498" s="66"/>
      <c r="P498" s="33" t="str">
        <f>IFERROR(MasterData!$B500,"")</f>
        <v/>
      </c>
      <c r="Q498" s="33" t="str">
        <f>IFERROR(MasterData!$C500,"")</f>
        <v/>
      </c>
      <c r="R498" s="33" t="str">
        <f>IFERROR(MasterData!$E500,"")</f>
        <v/>
      </c>
      <c r="S498" s="33" t="str">
        <f>IFERROR(MasterData!$G500,"")</f>
        <v/>
      </c>
      <c r="T498" s="33" t="str">
        <f>IFERROR(MasterData!$I500,"")</f>
        <v/>
      </c>
    </row>
    <row r="499" ht="21.75" customHeight="1">
      <c r="A499" s="56"/>
      <c r="B499" s="58"/>
      <c r="C499" s="53"/>
      <c r="D499" s="53"/>
      <c r="E499" s="56"/>
      <c r="F499" s="53"/>
      <c r="G499" s="53"/>
      <c r="H499" s="58"/>
      <c r="I499" s="58"/>
      <c r="J499" s="58"/>
      <c r="K499" s="49"/>
      <c r="L499" s="49"/>
      <c r="M499" s="49"/>
      <c r="N499" s="53"/>
      <c r="O499" s="53"/>
      <c r="P499" s="33" t="str">
        <f>IFERROR(MasterData!$B501,"")</f>
        <v/>
      </c>
      <c r="Q499" s="33" t="str">
        <f>IFERROR(MasterData!$C501,"")</f>
        <v/>
      </c>
      <c r="R499" s="33" t="str">
        <f>IFERROR(MasterData!$E501,"")</f>
        <v/>
      </c>
      <c r="S499" s="33" t="str">
        <f>IFERROR(MasterData!$G501,"")</f>
        <v/>
      </c>
      <c r="T499" s="33" t="str">
        <f>IFERROR(MasterData!$I501,"")</f>
        <v/>
      </c>
    </row>
    <row r="500" ht="21.75" customHeight="1">
      <c r="A500" s="68"/>
      <c r="B500" s="67"/>
      <c r="C500" s="66"/>
      <c r="D500" s="66"/>
      <c r="E500" s="68"/>
      <c r="F500" s="66"/>
      <c r="G500" s="66"/>
      <c r="H500" s="67"/>
      <c r="I500" s="67"/>
      <c r="J500" s="67"/>
      <c r="K500" s="65"/>
      <c r="L500" s="65"/>
      <c r="M500" s="65"/>
      <c r="N500" s="66"/>
      <c r="O500" s="66"/>
      <c r="P500" s="33" t="str">
        <f>IFERROR(MasterData!$B502,"")</f>
        <v/>
      </c>
      <c r="Q500" s="33" t="str">
        <f>IFERROR(MasterData!$C502,"")</f>
        <v/>
      </c>
      <c r="R500" s="33" t="str">
        <f>IFERROR(MasterData!$E502,"")</f>
        <v/>
      </c>
      <c r="S500" s="33" t="str">
        <f>IFERROR(MasterData!$G502,"")</f>
        <v/>
      </c>
      <c r="T500" s="33" t="str">
        <f>IFERROR(MasterData!$I502,"")</f>
        <v/>
      </c>
    </row>
    <row r="501" ht="21.75" customHeight="1">
      <c r="A501" s="56"/>
      <c r="B501" s="58"/>
      <c r="C501" s="53"/>
      <c r="D501" s="53"/>
      <c r="E501" s="56"/>
      <c r="F501" s="53"/>
      <c r="G501" s="53"/>
      <c r="H501" s="58"/>
      <c r="I501" s="58"/>
      <c r="J501" s="58"/>
      <c r="K501" s="49"/>
      <c r="L501" s="49"/>
      <c r="M501" s="49"/>
      <c r="N501" s="53"/>
      <c r="O501" s="53"/>
      <c r="P501" s="33" t="str">
        <f>IFERROR(MasterData!$B503,"")</f>
        <v/>
      </c>
      <c r="Q501" s="33" t="str">
        <f>IFERROR(MasterData!$C503,"")</f>
        <v/>
      </c>
      <c r="R501" s="33" t="str">
        <f>IFERROR(MasterData!$E503,"")</f>
        <v/>
      </c>
      <c r="S501" s="33" t="str">
        <f>IFERROR(MasterData!$G503,"")</f>
        <v/>
      </c>
      <c r="T501" s="33" t="str">
        <f>IFERROR(MasterData!$I503,"")</f>
        <v/>
      </c>
    </row>
    <row r="502" ht="14.25" customHeight="1">
      <c r="D502" s="59"/>
      <c r="F502" s="59"/>
      <c r="H502" s="59"/>
      <c r="I502" s="59"/>
      <c r="J502" s="59"/>
    </row>
    <row r="503" ht="14.25" customHeight="1">
      <c r="D503" s="59"/>
      <c r="F503" s="59"/>
      <c r="H503" s="59"/>
      <c r="I503" s="59"/>
      <c r="J503" s="59"/>
    </row>
    <row r="504" ht="14.25" customHeight="1">
      <c r="D504" s="59"/>
      <c r="F504" s="59"/>
      <c r="H504" s="59"/>
      <c r="I504" s="59"/>
      <c r="J504" s="59"/>
    </row>
    <row r="505" ht="14.25" customHeight="1">
      <c r="D505" s="59"/>
      <c r="F505" s="59"/>
      <c r="H505" s="59"/>
      <c r="I505" s="59"/>
      <c r="J505" s="59"/>
    </row>
    <row r="506" ht="14.25" customHeight="1">
      <c r="D506" s="59"/>
      <c r="F506" s="59"/>
      <c r="H506" s="59"/>
      <c r="I506" s="59"/>
      <c r="J506" s="59"/>
    </row>
    <row r="507" ht="14.25" customHeight="1">
      <c r="D507" s="59"/>
      <c r="F507" s="59"/>
      <c r="H507" s="59"/>
      <c r="I507" s="59"/>
      <c r="J507" s="59"/>
    </row>
    <row r="508" ht="14.25" customHeight="1">
      <c r="D508" s="59"/>
      <c r="F508" s="59"/>
      <c r="H508" s="59"/>
      <c r="I508" s="59"/>
      <c r="J508" s="59"/>
    </row>
    <row r="509" ht="14.25" customHeight="1">
      <c r="D509" s="59"/>
      <c r="F509" s="59"/>
      <c r="H509" s="59"/>
      <c r="I509" s="59"/>
      <c r="J509" s="59"/>
    </row>
    <row r="510" ht="14.25" customHeight="1">
      <c r="D510" s="59"/>
      <c r="F510" s="59"/>
      <c r="H510" s="59"/>
      <c r="I510" s="59"/>
      <c r="J510" s="59"/>
    </row>
    <row r="511" ht="14.25" customHeight="1">
      <c r="D511" s="59"/>
      <c r="F511" s="59"/>
      <c r="H511" s="59"/>
      <c r="I511" s="59"/>
      <c r="J511" s="59"/>
    </row>
    <row r="512" ht="14.25" customHeight="1">
      <c r="D512" s="59"/>
      <c r="F512" s="59"/>
      <c r="H512" s="59"/>
      <c r="I512" s="59"/>
      <c r="J512" s="59"/>
    </row>
    <row r="513" ht="14.25" customHeight="1">
      <c r="D513" s="59"/>
      <c r="F513" s="59"/>
      <c r="H513" s="59"/>
      <c r="I513" s="59"/>
      <c r="J513" s="59"/>
    </row>
    <row r="514" ht="14.25" customHeight="1">
      <c r="D514" s="59"/>
      <c r="F514" s="59"/>
      <c r="H514" s="59"/>
      <c r="I514" s="59"/>
      <c r="J514" s="59"/>
    </row>
    <row r="515" ht="14.25" customHeight="1">
      <c r="D515" s="59"/>
      <c r="F515" s="59"/>
      <c r="H515" s="59"/>
      <c r="I515" s="59"/>
      <c r="J515" s="59"/>
    </row>
    <row r="516" ht="14.25" customHeight="1">
      <c r="D516" s="59"/>
      <c r="F516" s="59"/>
      <c r="H516" s="59"/>
      <c r="I516" s="59"/>
      <c r="J516" s="59"/>
    </row>
    <row r="517" ht="14.25" customHeight="1">
      <c r="D517" s="59"/>
      <c r="F517" s="59"/>
      <c r="H517" s="59"/>
      <c r="I517" s="59"/>
      <c r="J517" s="59"/>
    </row>
    <row r="518" ht="14.25" customHeight="1">
      <c r="D518" s="59"/>
      <c r="F518" s="59"/>
      <c r="H518" s="59"/>
      <c r="I518" s="59"/>
      <c r="J518" s="59"/>
    </row>
    <row r="519" ht="14.25" customHeight="1">
      <c r="D519" s="59"/>
      <c r="F519" s="59"/>
      <c r="H519" s="59"/>
      <c r="I519" s="59"/>
      <c r="J519" s="59"/>
    </row>
    <row r="520" ht="14.25" customHeight="1">
      <c r="D520" s="59"/>
      <c r="F520" s="59"/>
      <c r="H520" s="59"/>
      <c r="I520" s="59"/>
      <c r="J520" s="59"/>
    </row>
    <row r="521" ht="14.25" customHeight="1">
      <c r="D521" s="59"/>
      <c r="F521" s="59"/>
      <c r="H521" s="59"/>
      <c r="I521" s="59"/>
      <c r="J521" s="59"/>
    </row>
    <row r="522" ht="14.25" customHeight="1">
      <c r="D522" s="59"/>
      <c r="F522" s="59"/>
      <c r="H522" s="59"/>
      <c r="I522" s="59"/>
      <c r="J522" s="59"/>
    </row>
    <row r="523" ht="14.25" customHeight="1">
      <c r="D523" s="59"/>
      <c r="F523" s="59"/>
      <c r="H523" s="59"/>
      <c r="I523" s="59"/>
      <c r="J523" s="59"/>
    </row>
    <row r="524" ht="14.25" customHeight="1">
      <c r="D524" s="59"/>
      <c r="F524" s="59"/>
      <c r="H524" s="59"/>
      <c r="I524" s="59"/>
      <c r="J524" s="59"/>
    </row>
    <row r="525" ht="14.25" customHeight="1">
      <c r="D525" s="59"/>
      <c r="F525" s="59"/>
      <c r="H525" s="59"/>
      <c r="I525" s="59"/>
      <c r="J525" s="59"/>
    </row>
    <row r="526" ht="14.25" customHeight="1">
      <c r="D526" s="59"/>
      <c r="F526" s="59"/>
      <c r="H526" s="59"/>
      <c r="I526" s="59"/>
      <c r="J526" s="59"/>
    </row>
    <row r="527" ht="14.25" customHeight="1">
      <c r="D527" s="59"/>
      <c r="F527" s="59"/>
      <c r="H527" s="59"/>
      <c r="I527" s="59"/>
      <c r="J527" s="59"/>
    </row>
    <row r="528" ht="14.25" customHeight="1">
      <c r="D528" s="59"/>
      <c r="F528" s="59"/>
      <c r="H528" s="59"/>
      <c r="I528" s="59"/>
      <c r="J528" s="59"/>
    </row>
    <row r="529" ht="14.25" customHeight="1">
      <c r="D529" s="59"/>
      <c r="F529" s="59"/>
      <c r="H529" s="59"/>
      <c r="I529" s="59"/>
      <c r="J529" s="59"/>
    </row>
    <row r="530" ht="14.25" customHeight="1">
      <c r="D530" s="59"/>
      <c r="F530" s="59"/>
      <c r="H530" s="59"/>
      <c r="I530" s="59"/>
      <c r="J530" s="59"/>
    </row>
    <row r="531" ht="14.25" customHeight="1">
      <c r="D531" s="59"/>
      <c r="F531" s="59"/>
      <c r="H531" s="59"/>
      <c r="I531" s="59"/>
      <c r="J531" s="59"/>
    </row>
    <row r="532" ht="14.25" customHeight="1">
      <c r="D532" s="59"/>
      <c r="F532" s="59"/>
      <c r="H532" s="59"/>
      <c r="I532" s="59"/>
      <c r="J532" s="59"/>
    </row>
    <row r="533" ht="14.25" customHeight="1">
      <c r="D533" s="59"/>
      <c r="F533" s="59"/>
      <c r="H533" s="59"/>
      <c r="I533" s="59"/>
      <c r="J533" s="59"/>
    </row>
    <row r="534" ht="14.25" customHeight="1">
      <c r="D534" s="59"/>
      <c r="F534" s="59"/>
      <c r="H534" s="59"/>
      <c r="I534" s="59"/>
      <c r="J534" s="59"/>
    </row>
    <row r="535" ht="14.25" customHeight="1">
      <c r="D535" s="59"/>
      <c r="F535" s="59"/>
      <c r="H535" s="59"/>
      <c r="I535" s="59"/>
      <c r="J535" s="59"/>
    </row>
    <row r="536" ht="14.25" customHeight="1">
      <c r="D536" s="59"/>
      <c r="F536" s="59"/>
      <c r="H536" s="59"/>
      <c r="I536" s="59"/>
      <c r="J536" s="59"/>
    </row>
    <row r="537" ht="14.25" customHeight="1">
      <c r="D537" s="59"/>
      <c r="F537" s="59"/>
      <c r="H537" s="59"/>
      <c r="I537" s="59"/>
      <c r="J537" s="59"/>
    </row>
    <row r="538" ht="14.25" customHeight="1">
      <c r="D538" s="59"/>
      <c r="F538" s="59"/>
      <c r="H538" s="59"/>
      <c r="I538" s="59"/>
      <c r="J538" s="59"/>
    </row>
    <row r="539" ht="14.25" customHeight="1">
      <c r="D539" s="59"/>
      <c r="F539" s="59"/>
      <c r="H539" s="59"/>
      <c r="I539" s="59"/>
      <c r="J539" s="59"/>
    </row>
    <row r="540" ht="14.25" customHeight="1">
      <c r="D540" s="59"/>
      <c r="F540" s="59"/>
      <c r="H540" s="59"/>
      <c r="I540" s="59"/>
      <c r="J540" s="59"/>
    </row>
    <row r="541" ht="14.25" customHeight="1">
      <c r="D541" s="59"/>
      <c r="F541" s="59"/>
      <c r="H541" s="59"/>
      <c r="I541" s="59"/>
      <c r="J541" s="59"/>
    </row>
    <row r="542" ht="14.25" customHeight="1">
      <c r="D542" s="59"/>
      <c r="F542" s="59"/>
      <c r="H542" s="59"/>
      <c r="I542" s="59"/>
      <c r="J542" s="59"/>
    </row>
    <row r="543" ht="14.25" customHeight="1">
      <c r="D543" s="59"/>
      <c r="F543" s="59"/>
      <c r="H543" s="59"/>
      <c r="I543" s="59"/>
      <c r="J543" s="59"/>
    </row>
    <row r="544" ht="14.25" customHeight="1">
      <c r="D544" s="59"/>
      <c r="F544" s="59"/>
      <c r="H544" s="59"/>
      <c r="I544" s="59"/>
      <c r="J544" s="59"/>
    </row>
    <row r="545" ht="14.25" customHeight="1">
      <c r="D545" s="59"/>
      <c r="F545" s="59"/>
      <c r="H545" s="59"/>
      <c r="I545" s="59"/>
      <c r="J545" s="59"/>
    </row>
    <row r="546" ht="14.25" customHeight="1">
      <c r="D546" s="59"/>
      <c r="F546" s="59"/>
      <c r="H546" s="59"/>
      <c r="I546" s="59"/>
      <c r="J546" s="59"/>
    </row>
    <row r="547" ht="14.25" customHeight="1">
      <c r="D547" s="59"/>
      <c r="F547" s="59"/>
      <c r="H547" s="59"/>
      <c r="I547" s="59"/>
      <c r="J547" s="59"/>
    </row>
    <row r="548" ht="14.25" customHeight="1">
      <c r="D548" s="59"/>
      <c r="F548" s="59"/>
      <c r="H548" s="59"/>
      <c r="I548" s="59"/>
      <c r="J548" s="59"/>
    </row>
    <row r="549" ht="14.25" customHeight="1">
      <c r="D549" s="59"/>
      <c r="F549" s="59"/>
      <c r="H549" s="59"/>
      <c r="I549" s="59"/>
      <c r="J549" s="59"/>
    </row>
    <row r="550" ht="14.25" customHeight="1">
      <c r="D550" s="59"/>
      <c r="F550" s="59"/>
      <c r="H550" s="59"/>
      <c r="I550" s="59"/>
      <c r="J550" s="59"/>
    </row>
    <row r="551" ht="14.25" customHeight="1">
      <c r="D551" s="59"/>
      <c r="F551" s="59"/>
      <c r="H551" s="59"/>
      <c r="I551" s="59"/>
      <c r="J551" s="59"/>
    </row>
    <row r="552" ht="14.25" customHeight="1">
      <c r="D552" s="59"/>
      <c r="F552" s="59"/>
      <c r="H552" s="59"/>
      <c r="I552" s="59"/>
      <c r="J552" s="59"/>
    </row>
    <row r="553" ht="14.25" customHeight="1">
      <c r="D553" s="59"/>
      <c r="F553" s="59"/>
      <c r="H553" s="59"/>
      <c r="I553" s="59"/>
      <c r="J553" s="59"/>
    </row>
    <row r="554" ht="14.25" customHeight="1">
      <c r="D554" s="59"/>
      <c r="F554" s="59"/>
      <c r="H554" s="59"/>
      <c r="I554" s="59"/>
      <c r="J554" s="59"/>
    </row>
    <row r="555" ht="14.25" customHeight="1">
      <c r="D555" s="59"/>
      <c r="F555" s="59"/>
      <c r="H555" s="59"/>
      <c r="I555" s="59"/>
      <c r="J555" s="59"/>
    </row>
    <row r="556" ht="14.25" customHeight="1">
      <c r="D556" s="59"/>
      <c r="F556" s="59"/>
      <c r="H556" s="59"/>
      <c r="I556" s="59"/>
      <c r="J556" s="59"/>
    </row>
    <row r="557" ht="14.25" customHeight="1">
      <c r="D557" s="59"/>
      <c r="F557" s="59"/>
      <c r="H557" s="59"/>
      <c r="I557" s="59"/>
      <c r="J557" s="59"/>
    </row>
    <row r="558" ht="14.25" customHeight="1">
      <c r="D558" s="59"/>
      <c r="F558" s="59"/>
      <c r="H558" s="59"/>
      <c r="I558" s="59"/>
      <c r="J558" s="59"/>
    </row>
    <row r="559" ht="14.25" customHeight="1">
      <c r="D559" s="59"/>
      <c r="F559" s="59"/>
      <c r="H559" s="59"/>
      <c r="I559" s="59"/>
      <c r="J559" s="59"/>
    </row>
    <row r="560" ht="14.25" customHeight="1">
      <c r="D560" s="59"/>
      <c r="F560" s="59"/>
      <c r="H560" s="59"/>
      <c r="I560" s="59"/>
      <c r="J560" s="59"/>
    </row>
    <row r="561" ht="14.25" customHeight="1">
      <c r="D561" s="59"/>
      <c r="F561" s="59"/>
      <c r="H561" s="59"/>
      <c r="I561" s="59"/>
      <c r="J561" s="59"/>
    </row>
    <row r="562" ht="14.25" customHeight="1">
      <c r="D562" s="59"/>
      <c r="F562" s="59"/>
      <c r="H562" s="59"/>
      <c r="I562" s="59"/>
      <c r="J562" s="59"/>
    </row>
    <row r="563" ht="14.25" customHeight="1">
      <c r="D563" s="59"/>
      <c r="F563" s="59"/>
      <c r="H563" s="59"/>
      <c r="I563" s="59"/>
      <c r="J563" s="59"/>
    </row>
    <row r="564" ht="14.25" customHeight="1">
      <c r="D564" s="59"/>
      <c r="F564" s="59"/>
      <c r="H564" s="59"/>
      <c r="I564" s="59"/>
      <c r="J564" s="59"/>
    </row>
    <row r="565" ht="14.25" customHeight="1">
      <c r="D565" s="59"/>
      <c r="F565" s="59"/>
      <c r="H565" s="59"/>
      <c r="I565" s="59"/>
      <c r="J565" s="59"/>
    </row>
    <row r="566" ht="14.25" customHeight="1">
      <c r="D566" s="59"/>
      <c r="F566" s="59"/>
      <c r="H566" s="59"/>
      <c r="I566" s="59"/>
      <c r="J566" s="59"/>
    </row>
    <row r="567" ht="14.25" customHeight="1">
      <c r="D567" s="59"/>
      <c r="F567" s="59"/>
      <c r="H567" s="59"/>
      <c r="I567" s="59"/>
      <c r="J567" s="59"/>
    </row>
    <row r="568" ht="14.25" customHeight="1">
      <c r="D568" s="59"/>
      <c r="F568" s="59"/>
      <c r="H568" s="59"/>
      <c r="I568" s="59"/>
      <c r="J568" s="59"/>
    </row>
    <row r="569" ht="14.25" customHeight="1">
      <c r="D569" s="59"/>
      <c r="F569" s="59"/>
      <c r="H569" s="59"/>
      <c r="I569" s="59"/>
      <c r="J569" s="59"/>
    </row>
    <row r="570" ht="14.25" customHeight="1">
      <c r="D570" s="59"/>
      <c r="F570" s="59"/>
      <c r="H570" s="59"/>
      <c r="I570" s="59"/>
      <c r="J570" s="59"/>
    </row>
    <row r="571" ht="14.25" customHeight="1">
      <c r="D571" s="59"/>
      <c r="F571" s="59"/>
      <c r="H571" s="59"/>
      <c r="I571" s="59"/>
      <c r="J571" s="59"/>
    </row>
    <row r="572" ht="14.25" customHeight="1">
      <c r="D572" s="59"/>
      <c r="F572" s="59"/>
      <c r="H572" s="59"/>
      <c r="I572" s="59"/>
      <c r="J572" s="59"/>
    </row>
    <row r="573" ht="14.25" customHeight="1">
      <c r="D573" s="59"/>
      <c r="F573" s="59"/>
      <c r="H573" s="59"/>
      <c r="I573" s="59"/>
      <c r="J573" s="59"/>
    </row>
    <row r="574" ht="14.25" customHeight="1">
      <c r="D574" s="59"/>
      <c r="F574" s="59"/>
      <c r="H574" s="59"/>
      <c r="I574" s="59"/>
      <c r="J574" s="59"/>
    </row>
    <row r="575" ht="14.25" customHeight="1">
      <c r="D575" s="59"/>
      <c r="F575" s="59"/>
      <c r="H575" s="59"/>
      <c r="I575" s="59"/>
      <c r="J575" s="59"/>
    </row>
    <row r="576" ht="14.25" customHeight="1">
      <c r="D576" s="59"/>
      <c r="F576" s="59"/>
      <c r="H576" s="59"/>
      <c r="I576" s="59"/>
      <c r="J576" s="59"/>
    </row>
    <row r="577" ht="14.25" customHeight="1">
      <c r="D577" s="59"/>
      <c r="F577" s="59"/>
      <c r="H577" s="59"/>
      <c r="I577" s="59"/>
      <c r="J577" s="59"/>
    </row>
    <row r="578" ht="14.25" customHeight="1">
      <c r="D578" s="59"/>
      <c r="F578" s="59"/>
      <c r="H578" s="59"/>
      <c r="I578" s="59"/>
      <c r="J578" s="59"/>
    </row>
    <row r="579" ht="14.25" customHeight="1">
      <c r="D579" s="59"/>
      <c r="F579" s="59"/>
      <c r="H579" s="59"/>
      <c r="I579" s="59"/>
      <c r="J579" s="59"/>
    </row>
    <row r="580" ht="14.25" customHeight="1">
      <c r="D580" s="59"/>
      <c r="F580" s="59"/>
      <c r="H580" s="59"/>
      <c r="I580" s="59"/>
      <c r="J580" s="59"/>
    </row>
    <row r="581" ht="14.25" customHeight="1">
      <c r="D581" s="59"/>
      <c r="F581" s="59"/>
      <c r="H581" s="59"/>
      <c r="I581" s="59"/>
      <c r="J581" s="59"/>
    </row>
    <row r="582" ht="14.25" customHeight="1">
      <c r="D582" s="59"/>
      <c r="F582" s="59"/>
      <c r="H582" s="59"/>
      <c r="I582" s="59"/>
      <c r="J582" s="59"/>
    </row>
    <row r="583" ht="14.25" customHeight="1">
      <c r="D583" s="59"/>
      <c r="F583" s="59"/>
      <c r="H583" s="59"/>
      <c r="I583" s="59"/>
      <c r="J583" s="59"/>
    </row>
    <row r="584" ht="14.25" customHeight="1">
      <c r="D584" s="59"/>
      <c r="F584" s="59"/>
      <c r="H584" s="59"/>
      <c r="I584" s="59"/>
      <c r="J584" s="59"/>
    </row>
    <row r="585" ht="14.25" customHeight="1">
      <c r="D585" s="59"/>
      <c r="F585" s="59"/>
      <c r="H585" s="59"/>
      <c r="I585" s="59"/>
      <c r="J585" s="59"/>
    </row>
    <row r="586" ht="14.25" customHeight="1">
      <c r="D586" s="59"/>
      <c r="F586" s="59"/>
      <c r="H586" s="59"/>
      <c r="I586" s="59"/>
      <c r="J586" s="59"/>
    </row>
    <row r="587" ht="14.25" customHeight="1">
      <c r="D587" s="59"/>
      <c r="F587" s="59"/>
      <c r="H587" s="59"/>
      <c r="I587" s="59"/>
      <c r="J587" s="59"/>
    </row>
    <row r="588" ht="14.25" customHeight="1">
      <c r="D588" s="59"/>
      <c r="F588" s="59"/>
      <c r="H588" s="59"/>
      <c r="I588" s="59"/>
      <c r="J588" s="59"/>
    </row>
    <row r="589" ht="14.25" customHeight="1">
      <c r="D589" s="59"/>
      <c r="F589" s="59"/>
      <c r="H589" s="59"/>
      <c r="I589" s="59"/>
      <c r="J589" s="59"/>
    </row>
    <row r="590" ht="14.25" customHeight="1">
      <c r="D590" s="59"/>
      <c r="F590" s="59"/>
      <c r="H590" s="59"/>
      <c r="I590" s="59"/>
      <c r="J590" s="59"/>
    </row>
    <row r="591" ht="14.25" customHeight="1">
      <c r="D591" s="59"/>
      <c r="F591" s="59"/>
      <c r="H591" s="59"/>
      <c r="I591" s="59"/>
      <c r="J591" s="59"/>
    </row>
    <row r="592" ht="14.25" customHeight="1">
      <c r="D592" s="59"/>
      <c r="F592" s="59"/>
      <c r="H592" s="59"/>
      <c r="I592" s="59"/>
      <c r="J592" s="59"/>
    </row>
    <row r="593" ht="14.25" customHeight="1">
      <c r="D593" s="59"/>
      <c r="F593" s="59"/>
      <c r="H593" s="59"/>
      <c r="I593" s="59"/>
      <c r="J593" s="59"/>
    </row>
    <row r="594" ht="14.25" customHeight="1">
      <c r="D594" s="59"/>
      <c r="F594" s="59"/>
      <c r="H594" s="59"/>
      <c r="I594" s="59"/>
      <c r="J594" s="59"/>
    </row>
    <row r="595" ht="14.25" customHeight="1">
      <c r="D595" s="59"/>
      <c r="F595" s="59"/>
      <c r="H595" s="59"/>
      <c r="I595" s="59"/>
      <c r="J595" s="59"/>
    </row>
    <row r="596" ht="14.25" customHeight="1">
      <c r="D596" s="59"/>
      <c r="F596" s="59"/>
      <c r="H596" s="59"/>
      <c r="I596" s="59"/>
      <c r="J596" s="59"/>
    </row>
    <row r="597" ht="14.25" customHeight="1">
      <c r="D597" s="59"/>
      <c r="F597" s="59"/>
      <c r="H597" s="59"/>
      <c r="I597" s="59"/>
      <c r="J597" s="59"/>
    </row>
    <row r="598" ht="14.25" customHeight="1">
      <c r="D598" s="59"/>
      <c r="F598" s="59"/>
      <c r="H598" s="59"/>
      <c r="I598" s="59"/>
      <c r="J598" s="59"/>
    </row>
    <row r="599" ht="14.25" customHeight="1">
      <c r="D599" s="59"/>
      <c r="F599" s="59"/>
      <c r="H599" s="59"/>
      <c r="I599" s="59"/>
      <c r="J599" s="59"/>
    </row>
    <row r="600" ht="14.25" customHeight="1">
      <c r="D600" s="59"/>
      <c r="F600" s="59"/>
      <c r="H600" s="59"/>
      <c r="I600" s="59"/>
      <c r="J600" s="59"/>
    </row>
    <row r="601" ht="14.25" customHeight="1">
      <c r="D601" s="59"/>
      <c r="F601" s="59"/>
      <c r="H601" s="59"/>
      <c r="I601" s="59"/>
      <c r="J601" s="59"/>
    </row>
    <row r="602" ht="14.25" customHeight="1">
      <c r="D602" s="59"/>
      <c r="F602" s="59"/>
      <c r="H602" s="59"/>
      <c r="I602" s="59"/>
      <c r="J602" s="59"/>
    </row>
    <row r="603" ht="14.25" customHeight="1">
      <c r="D603" s="59"/>
      <c r="F603" s="59"/>
      <c r="H603" s="59"/>
      <c r="I603" s="59"/>
      <c r="J603" s="59"/>
    </row>
    <row r="604" ht="14.25" customHeight="1">
      <c r="D604" s="59"/>
      <c r="F604" s="59"/>
      <c r="H604" s="59"/>
      <c r="I604" s="59"/>
      <c r="J604" s="59"/>
    </row>
    <row r="605" ht="14.25" customHeight="1">
      <c r="D605" s="59"/>
      <c r="F605" s="59"/>
      <c r="H605" s="59"/>
      <c r="I605" s="59"/>
      <c r="J605" s="59"/>
    </row>
    <row r="606" ht="14.25" customHeight="1">
      <c r="D606" s="59"/>
      <c r="F606" s="59"/>
      <c r="H606" s="59"/>
      <c r="I606" s="59"/>
      <c r="J606" s="59"/>
    </row>
    <row r="607" ht="14.25" customHeight="1">
      <c r="D607" s="59"/>
      <c r="F607" s="59"/>
      <c r="H607" s="59"/>
      <c r="I607" s="59"/>
      <c r="J607" s="59"/>
    </row>
    <row r="608" ht="14.25" customHeight="1">
      <c r="D608" s="59"/>
      <c r="F608" s="59"/>
      <c r="H608" s="59"/>
      <c r="I608" s="59"/>
      <c r="J608" s="59"/>
    </row>
    <row r="609" ht="14.25" customHeight="1">
      <c r="D609" s="59"/>
      <c r="F609" s="59"/>
      <c r="H609" s="59"/>
      <c r="I609" s="59"/>
      <c r="J609" s="59"/>
    </row>
    <row r="610" ht="14.25" customHeight="1">
      <c r="D610" s="59"/>
      <c r="F610" s="59"/>
      <c r="H610" s="59"/>
      <c r="I610" s="59"/>
      <c r="J610" s="59"/>
    </row>
    <row r="611" ht="14.25" customHeight="1">
      <c r="D611" s="59"/>
      <c r="F611" s="59"/>
      <c r="H611" s="59"/>
      <c r="I611" s="59"/>
      <c r="J611" s="59"/>
    </row>
    <row r="612" ht="14.25" customHeight="1">
      <c r="D612" s="59"/>
      <c r="F612" s="59"/>
      <c r="H612" s="59"/>
      <c r="I612" s="59"/>
      <c r="J612" s="59"/>
    </row>
    <row r="613" ht="14.25" customHeight="1">
      <c r="D613" s="59"/>
      <c r="F613" s="59"/>
      <c r="H613" s="59"/>
      <c r="I613" s="59"/>
      <c r="J613" s="59"/>
    </row>
    <row r="614" ht="14.25" customHeight="1">
      <c r="D614" s="59"/>
      <c r="F614" s="59"/>
      <c r="H614" s="59"/>
      <c r="I614" s="59"/>
      <c r="J614" s="59"/>
    </row>
    <row r="615" ht="14.25" customHeight="1">
      <c r="D615" s="59"/>
      <c r="F615" s="59"/>
      <c r="H615" s="59"/>
      <c r="I615" s="59"/>
      <c r="J615" s="59"/>
    </row>
    <row r="616" ht="14.25" customHeight="1">
      <c r="D616" s="59"/>
      <c r="F616" s="59"/>
      <c r="H616" s="59"/>
      <c r="I616" s="59"/>
      <c r="J616" s="59"/>
    </row>
    <row r="617" ht="14.25" customHeight="1">
      <c r="D617" s="59"/>
      <c r="F617" s="59"/>
      <c r="H617" s="59"/>
      <c r="I617" s="59"/>
      <c r="J617" s="59"/>
    </row>
    <row r="618" ht="14.25" customHeight="1">
      <c r="D618" s="59"/>
      <c r="F618" s="59"/>
      <c r="H618" s="59"/>
      <c r="I618" s="59"/>
      <c r="J618" s="59"/>
    </row>
    <row r="619" ht="14.25" customHeight="1">
      <c r="D619" s="59"/>
      <c r="F619" s="59"/>
      <c r="H619" s="59"/>
      <c r="I619" s="59"/>
      <c r="J619" s="59"/>
    </row>
    <row r="620" ht="14.25" customHeight="1">
      <c r="D620" s="59"/>
      <c r="F620" s="59"/>
      <c r="H620" s="59"/>
      <c r="I620" s="59"/>
      <c r="J620" s="59"/>
    </row>
    <row r="621" ht="14.25" customHeight="1">
      <c r="D621" s="59"/>
      <c r="F621" s="59"/>
      <c r="H621" s="59"/>
      <c r="I621" s="59"/>
      <c r="J621" s="59"/>
    </row>
    <row r="622" ht="14.25" customHeight="1">
      <c r="D622" s="59"/>
      <c r="F622" s="59"/>
      <c r="H622" s="59"/>
      <c r="I622" s="59"/>
      <c r="J622" s="59"/>
    </row>
    <row r="623" ht="14.25" customHeight="1">
      <c r="D623" s="59"/>
      <c r="F623" s="59"/>
      <c r="H623" s="59"/>
      <c r="I623" s="59"/>
      <c r="J623" s="59"/>
    </row>
    <row r="624" ht="14.25" customHeight="1">
      <c r="D624" s="59"/>
      <c r="F624" s="59"/>
      <c r="H624" s="59"/>
      <c r="I624" s="59"/>
      <c r="J624" s="59"/>
    </row>
    <row r="625" ht="14.25" customHeight="1">
      <c r="D625" s="59"/>
      <c r="F625" s="59"/>
      <c r="H625" s="59"/>
      <c r="I625" s="59"/>
      <c r="J625" s="59"/>
    </row>
    <row r="626" ht="14.25" customHeight="1">
      <c r="D626" s="59"/>
      <c r="F626" s="59"/>
      <c r="H626" s="59"/>
      <c r="I626" s="59"/>
      <c r="J626" s="59"/>
    </row>
    <row r="627" ht="14.25" customHeight="1">
      <c r="D627" s="59"/>
      <c r="F627" s="59"/>
      <c r="H627" s="59"/>
      <c r="I627" s="59"/>
      <c r="J627" s="59"/>
    </row>
    <row r="628" ht="14.25" customHeight="1">
      <c r="D628" s="59"/>
      <c r="F628" s="59"/>
      <c r="H628" s="59"/>
      <c r="I628" s="59"/>
      <c r="J628" s="59"/>
    </row>
    <row r="629" ht="14.25" customHeight="1">
      <c r="D629" s="59"/>
      <c r="F629" s="59"/>
      <c r="H629" s="59"/>
      <c r="I629" s="59"/>
      <c r="J629" s="59"/>
    </row>
    <row r="630" ht="14.25" customHeight="1">
      <c r="D630" s="59"/>
      <c r="F630" s="59"/>
      <c r="H630" s="59"/>
      <c r="I630" s="59"/>
      <c r="J630" s="59"/>
    </row>
    <row r="631" ht="14.25" customHeight="1">
      <c r="D631" s="59"/>
      <c r="F631" s="59"/>
      <c r="H631" s="59"/>
      <c r="I631" s="59"/>
      <c r="J631" s="59"/>
    </row>
    <row r="632" ht="14.25" customHeight="1">
      <c r="D632" s="59"/>
      <c r="F632" s="59"/>
      <c r="H632" s="59"/>
      <c r="I632" s="59"/>
      <c r="J632" s="59"/>
    </row>
    <row r="633" ht="14.25" customHeight="1">
      <c r="D633" s="59"/>
      <c r="F633" s="59"/>
      <c r="H633" s="59"/>
      <c r="I633" s="59"/>
      <c r="J633" s="59"/>
    </row>
    <row r="634" ht="14.25" customHeight="1">
      <c r="D634" s="59"/>
      <c r="F634" s="59"/>
      <c r="H634" s="59"/>
      <c r="I634" s="59"/>
      <c r="J634" s="59"/>
    </row>
    <row r="635" ht="14.25" customHeight="1">
      <c r="D635" s="59"/>
      <c r="F635" s="59"/>
      <c r="H635" s="59"/>
      <c r="I635" s="59"/>
      <c r="J635" s="59"/>
    </row>
    <row r="636" ht="14.25" customHeight="1">
      <c r="D636" s="59"/>
      <c r="F636" s="59"/>
      <c r="H636" s="59"/>
      <c r="I636" s="59"/>
      <c r="J636" s="59"/>
    </row>
    <row r="637" ht="14.25" customHeight="1">
      <c r="D637" s="59"/>
      <c r="F637" s="59"/>
      <c r="H637" s="59"/>
      <c r="I637" s="59"/>
      <c r="J637" s="59"/>
    </row>
    <row r="638" ht="14.25" customHeight="1">
      <c r="D638" s="59"/>
      <c r="F638" s="59"/>
      <c r="H638" s="59"/>
      <c r="I638" s="59"/>
      <c r="J638" s="59"/>
    </row>
    <row r="639" ht="14.25" customHeight="1">
      <c r="D639" s="59"/>
      <c r="F639" s="59"/>
      <c r="H639" s="59"/>
      <c r="I639" s="59"/>
      <c r="J639" s="59"/>
    </row>
    <row r="640" ht="14.25" customHeight="1">
      <c r="D640" s="59"/>
      <c r="F640" s="59"/>
      <c r="H640" s="59"/>
      <c r="I640" s="59"/>
      <c r="J640" s="59"/>
    </row>
    <row r="641" ht="14.25" customHeight="1">
      <c r="D641" s="59"/>
      <c r="F641" s="59"/>
      <c r="H641" s="59"/>
      <c r="I641" s="59"/>
      <c r="J641" s="59"/>
    </row>
    <row r="642" ht="14.25" customHeight="1">
      <c r="D642" s="59"/>
      <c r="F642" s="59"/>
      <c r="H642" s="59"/>
      <c r="I642" s="59"/>
      <c r="J642" s="59"/>
    </row>
    <row r="643" ht="14.25" customHeight="1">
      <c r="D643" s="59"/>
      <c r="F643" s="59"/>
      <c r="H643" s="59"/>
      <c r="I643" s="59"/>
      <c r="J643" s="59"/>
    </row>
    <row r="644" ht="14.25" customHeight="1">
      <c r="D644" s="59"/>
      <c r="F644" s="59"/>
      <c r="H644" s="59"/>
      <c r="I644" s="59"/>
      <c r="J644" s="59"/>
    </row>
    <row r="645" ht="14.25" customHeight="1">
      <c r="D645" s="59"/>
      <c r="F645" s="59"/>
      <c r="H645" s="59"/>
      <c r="I645" s="59"/>
      <c r="J645" s="59"/>
    </row>
    <row r="646" ht="14.25" customHeight="1">
      <c r="D646" s="59"/>
      <c r="F646" s="59"/>
      <c r="H646" s="59"/>
      <c r="I646" s="59"/>
      <c r="J646" s="59"/>
    </row>
    <row r="647" ht="14.25" customHeight="1">
      <c r="D647" s="59"/>
      <c r="F647" s="59"/>
      <c r="H647" s="59"/>
      <c r="I647" s="59"/>
      <c r="J647" s="59"/>
    </row>
    <row r="648" ht="14.25" customHeight="1">
      <c r="D648" s="59"/>
      <c r="F648" s="59"/>
      <c r="H648" s="59"/>
      <c r="I648" s="59"/>
      <c r="J648" s="59"/>
    </row>
    <row r="649" ht="14.25" customHeight="1">
      <c r="D649" s="59"/>
      <c r="F649" s="59"/>
      <c r="H649" s="59"/>
      <c r="I649" s="59"/>
      <c r="J649" s="59"/>
    </row>
    <row r="650" ht="14.25" customHeight="1">
      <c r="D650" s="59"/>
      <c r="F650" s="59"/>
      <c r="H650" s="59"/>
      <c r="I650" s="59"/>
      <c r="J650" s="59"/>
    </row>
    <row r="651" ht="14.25" customHeight="1">
      <c r="D651" s="59"/>
      <c r="F651" s="59"/>
      <c r="H651" s="59"/>
      <c r="I651" s="59"/>
      <c r="J651" s="59"/>
    </row>
    <row r="652" ht="14.25" customHeight="1">
      <c r="D652" s="59"/>
      <c r="F652" s="59"/>
      <c r="H652" s="59"/>
      <c r="I652" s="59"/>
      <c r="J652" s="59"/>
    </row>
    <row r="653" ht="14.25" customHeight="1">
      <c r="D653" s="59"/>
      <c r="F653" s="59"/>
      <c r="H653" s="59"/>
      <c r="I653" s="59"/>
      <c r="J653" s="59"/>
    </row>
    <row r="654" ht="14.25" customHeight="1">
      <c r="D654" s="59"/>
      <c r="F654" s="59"/>
      <c r="H654" s="59"/>
      <c r="I654" s="59"/>
      <c r="J654" s="59"/>
    </row>
    <row r="655" ht="14.25" customHeight="1">
      <c r="D655" s="59"/>
      <c r="F655" s="59"/>
      <c r="H655" s="59"/>
      <c r="I655" s="59"/>
      <c r="J655" s="59"/>
    </row>
    <row r="656" ht="14.25" customHeight="1">
      <c r="D656" s="59"/>
      <c r="F656" s="59"/>
      <c r="H656" s="59"/>
      <c r="I656" s="59"/>
      <c r="J656" s="59"/>
    </row>
    <row r="657" ht="14.25" customHeight="1">
      <c r="D657" s="59"/>
      <c r="F657" s="59"/>
      <c r="H657" s="59"/>
      <c r="I657" s="59"/>
      <c r="J657" s="59"/>
    </row>
    <row r="658" ht="14.25" customHeight="1">
      <c r="D658" s="59"/>
      <c r="F658" s="59"/>
      <c r="H658" s="59"/>
      <c r="I658" s="59"/>
      <c r="J658" s="59"/>
    </row>
    <row r="659" ht="14.25" customHeight="1">
      <c r="D659" s="59"/>
      <c r="F659" s="59"/>
      <c r="H659" s="59"/>
      <c r="I659" s="59"/>
      <c r="J659" s="59"/>
    </row>
    <row r="660" ht="14.25" customHeight="1">
      <c r="D660" s="59"/>
      <c r="F660" s="59"/>
      <c r="H660" s="59"/>
      <c r="I660" s="59"/>
      <c r="J660" s="59"/>
    </row>
    <row r="661" ht="14.25" customHeight="1">
      <c r="D661" s="59"/>
      <c r="F661" s="59"/>
      <c r="H661" s="59"/>
      <c r="I661" s="59"/>
      <c r="J661" s="59"/>
    </row>
    <row r="662" ht="14.25" customHeight="1">
      <c r="D662" s="59"/>
      <c r="F662" s="59"/>
      <c r="H662" s="59"/>
      <c r="I662" s="59"/>
      <c r="J662" s="59"/>
    </row>
    <row r="663" ht="14.25" customHeight="1">
      <c r="D663" s="59"/>
      <c r="F663" s="59"/>
      <c r="H663" s="59"/>
      <c r="I663" s="59"/>
      <c r="J663" s="59"/>
    </row>
    <row r="664" ht="14.25" customHeight="1">
      <c r="D664" s="59"/>
      <c r="F664" s="59"/>
      <c r="H664" s="59"/>
      <c r="I664" s="59"/>
      <c r="J664" s="59"/>
    </row>
    <row r="665" ht="14.25" customHeight="1">
      <c r="D665" s="59"/>
      <c r="F665" s="59"/>
      <c r="H665" s="59"/>
      <c r="I665" s="59"/>
      <c r="J665" s="59"/>
    </row>
    <row r="666" ht="14.25" customHeight="1">
      <c r="D666" s="59"/>
      <c r="F666" s="59"/>
      <c r="H666" s="59"/>
      <c r="I666" s="59"/>
      <c r="J666" s="59"/>
    </row>
    <row r="667" ht="14.25" customHeight="1">
      <c r="D667" s="59"/>
      <c r="F667" s="59"/>
      <c r="H667" s="59"/>
      <c r="I667" s="59"/>
      <c r="J667" s="59"/>
    </row>
    <row r="668" ht="14.25" customHeight="1">
      <c r="D668" s="59"/>
      <c r="F668" s="59"/>
      <c r="H668" s="59"/>
      <c r="I668" s="59"/>
      <c r="J668" s="59"/>
    </row>
    <row r="669" ht="14.25" customHeight="1">
      <c r="D669" s="59"/>
      <c r="F669" s="59"/>
      <c r="H669" s="59"/>
      <c r="I669" s="59"/>
      <c r="J669" s="59"/>
    </row>
    <row r="670" ht="14.25" customHeight="1">
      <c r="D670" s="59"/>
      <c r="F670" s="59"/>
      <c r="H670" s="59"/>
      <c r="I670" s="59"/>
      <c r="J670" s="59"/>
    </row>
    <row r="671" ht="14.25" customHeight="1">
      <c r="D671" s="59"/>
      <c r="F671" s="59"/>
      <c r="H671" s="59"/>
      <c r="I671" s="59"/>
      <c r="J671" s="59"/>
    </row>
    <row r="672" ht="14.25" customHeight="1">
      <c r="D672" s="59"/>
      <c r="F672" s="59"/>
      <c r="H672" s="59"/>
      <c r="I672" s="59"/>
      <c r="J672" s="59"/>
    </row>
    <row r="673" ht="14.25" customHeight="1">
      <c r="D673" s="59"/>
      <c r="F673" s="59"/>
      <c r="H673" s="59"/>
      <c r="I673" s="59"/>
      <c r="J673" s="59"/>
    </row>
    <row r="674" ht="14.25" customHeight="1">
      <c r="D674" s="59"/>
      <c r="F674" s="59"/>
      <c r="H674" s="59"/>
      <c r="I674" s="59"/>
      <c r="J674" s="59"/>
    </row>
    <row r="675" ht="14.25" customHeight="1">
      <c r="D675" s="59"/>
      <c r="F675" s="59"/>
      <c r="H675" s="59"/>
      <c r="I675" s="59"/>
      <c r="J675" s="59"/>
    </row>
    <row r="676" ht="14.25" customHeight="1">
      <c r="D676" s="59"/>
      <c r="F676" s="59"/>
      <c r="H676" s="59"/>
      <c r="I676" s="59"/>
      <c r="J676" s="59"/>
    </row>
    <row r="677" ht="14.25" customHeight="1">
      <c r="D677" s="59"/>
      <c r="F677" s="59"/>
      <c r="H677" s="59"/>
      <c r="I677" s="59"/>
      <c r="J677" s="59"/>
    </row>
    <row r="678" ht="14.25" customHeight="1">
      <c r="D678" s="59"/>
      <c r="F678" s="59"/>
      <c r="H678" s="59"/>
      <c r="I678" s="59"/>
      <c r="J678" s="59"/>
    </row>
    <row r="679" ht="14.25" customHeight="1">
      <c r="D679" s="59"/>
      <c r="F679" s="59"/>
      <c r="H679" s="59"/>
      <c r="I679" s="59"/>
      <c r="J679" s="59"/>
    </row>
    <row r="680" ht="14.25" customHeight="1">
      <c r="D680" s="59"/>
      <c r="F680" s="59"/>
      <c r="H680" s="59"/>
      <c r="I680" s="59"/>
      <c r="J680" s="59"/>
    </row>
    <row r="681" ht="14.25" customHeight="1">
      <c r="D681" s="59"/>
      <c r="F681" s="59"/>
      <c r="H681" s="59"/>
      <c r="I681" s="59"/>
      <c r="J681" s="59"/>
    </row>
    <row r="682" ht="14.25" customHeight="1">
      <c r="D682" s="59"/>
      <c r="F682" s="59"/>
      <c r="H682" s="59"/>
      <c r="I682" s="59"/>
      <c r="J682" s="59"/>
    </row>
    <row r="683" ht="14.25" customHeight="1">
      <c r="D683" s="59"/>
      <c r="F683" s="59"/>
      <c r="H683" s="59"/>
      <c r="I683" s="59"/>
      <c r="J683" s="59"/>
    </row>
    <row r="684" ht="14.25" customHeight="1">
      <c r="D684" s="59"/>
      <c r="F684" s="59"/>
      <c r="H684" s="59"/>
      <c r="I684" s="59"/>
      <c r="J684" s="59"/>
    </row>
    <row r="685" ht="14.25" customHeight="1">
      <c r="D685" s="59"/>
      <c r="F685" s="59"/>
      <c r="H685" s="59"/>
      <c r="I685" s="59"/>
      <c r="J685" s="59"/>
    </row>
    <row r="686" ht="14.25" customHeight="1">
      <c r="D686" s="59"/>
      <c r="F686" s="59"/>
      <c r="H686" s="59"/>
      <c r="I686" s="59"/>
      <c r="J686" s="59"/>
    </row>
    <row r="687" ht="14.25" customHeight="1">
      <c r="D687" s="59"/>
      <c r="F687" s="59"/>
      <c r="H687" s="59"/>
      <c r="I687" s="59"/>
      <c r="J687" s="59"/>
    </row>
    <row r="688" ht="14.25" customHeight="1">
      <c r="D688" s="59"/>
      <c r="F688" s="59"/>
      <c r="H688" s="59"/>
      <c r="I688" s="59"/>
      <c r="J688" s="59"/>
    </row>
    <row r="689" ht="14.25" customHeight="1">
      <c r="D689" s="59"/>
      <c r="F689" s="59"/>
      <c r="H689" s="59"/>
      <c r="I689" s="59"/>
      <c r="J689" s="59"/>
    </row>
    <row r="690" ht="14.25" customHeight="1">
      <c r="D690" s="59"/>
      <c r="F690" s="59"/>
      <c r="H690" s="59"/>
      <c r="I690" s="59"/>
      <c r="J690" s="59"/>
    </row>
    <row r="691" ht="14.25" customHeight="1">
      <c r="D691" s="59"/>
      <c r="F691" s="59"/>
      <c r="H691" s="59"/>
      <c r="I691" s="59"/>
      <c r="J691" s="59"/>
    </row>
    <row r="692" ht="14.25" customHeight="1">
      <c r="D692" s="59"/>
      <c r="F692" s="59"/>
      <c r="H692" s="59"/>
      <c r="I692" s="59"/>
      <c r="J692" s="59"/>
    </row>
    <row r="693" ht="14.25" customHeight="1">
      <c r="D693" s="59"/>
      <c r="F693" s="59"/>
      <c r="H693" s="59"/>
      <c r="I693" s="59"/>
      <c r="J693" s="59"/>
    </row>
    <row r="694" ht="14.25" customHeight="1">
      <c r="D694" s="59"/>
      <c r="F694" s="59"/>
      <c r="H694" s="59"/>
      <c r="I694" s="59"/>
      <c r="J694" s="59"/>
    </row>
    <row r="695" ht="14.25" customHeight="1">
      <c r="D695" s="59"/>
      <c r="F695" s="59"/>
      <c r="H695" s="59"/>
      <c r="I695" s="59"/>
      <c r="J695" s="59"/>
    </row>
    <row r="696" ht="14.25" customHeight="1">
      <c r="D696" s="59"/>
      <c r="F696" s="59"/>
      <c r="H696" s="59"/>
      <c r="I696" s="59"/>
      <c r="J696" s="59"/>
    </row>
    <row r="697" ht="14.25" customHeight="1">
      <c r="D697" s="59"/>
      <c r="F697" s="59"/>
      <c r="H697" s="59"/>
      <c r="I697" s="59"/>
      <c r="J697" s="59"/>
    </row>
    <row r="698" ht="14.25" customHeight="1">
      <c r="D698" s="59"/>
      <c r="F698" s="59"/>
      <c r="H698" s="59"/>
      <c r="I698" s="59"/>
      <c r="J698" s="59"/>
    </row>
    <row r="699" ht="14.25" customHeight="1">
      <c r="D699" s="59"/>
      <c r="F699" s="59"/>
      <c r="H699" s="59"/>
      <c r="I699" s="59"/>
      <c r="J699" s="59"/>
    </row>
    <row r="700" ht="14.25" customHeight="1">
      <c r="D700" s="59"/>
      <c r="F700" s="59"/>
      <c r="H700" s="59"/>
      <c r="I700" s="59"/>
      <c r="J700" s="59"/>
    </row>
    <row r="701" ht="14.25" customHeight="1">
      <c r="D701" s="59"/>
      <c r="F701" s="59"/>
      <c r="H701" s="59"/>
      <c r="I701" s="59"/>
      <c r="J701" s="59"/>
    </row>
    <row r="702" ht="14.25" customHeight="1">
      <c r="D702" s="59"/>
      <c r="F702" s="59"/>
      <c r="H702" s="59"/>
      <c r="I702" s="59"/>
      <c r="J702" s="59"/>
    </row>
    <row r="703" ht="14.25" customHeight="1">
      <c r="D703" s="59"/>
      <c r="F703" s="59"/>
      <c r="H703" s="59"/>
      <c r="I703" s="59"/>
      <c r="J703" s="59"/>
    </row>
    <row r="704" ht="14.25" customHeight="1">
      <c r="D704" s="59"/>
      <c r="F704" s="59"/>
      <c r="H704" s="59"/>
      <c r="I704" s="59"/>
      <c r="J704" s="59"/>
    </row>
    <row r="705" ht="14.25" customHeight="1">
      <c r="D705" s="59"/>
      <c r="F705" s="59"/>
      <c r="H705" s="59"/>
      <c r="I705" s="59"/>
      <c r="J705" s="59"/>
    </row>
    <row r="706" ht="14.25" customHeight="1">
      <c r="D706" s="59"/>
      <c r="F706" s="59"/>
      <c r="H706" s="59"/>
      <c r="I706" s="59"/>
      <c r="J706" s="59"/>
    </row>
    <row r="707" ht="14.25" customHeight="1">
      <c r="D707" s="59"/>
      <c r="F707" s="59"/>
      <c r="H707" s="59"/>
      <c r="I707" s="59"/>
      <c r="J707" s="59"/>
    </row>
    <row r="708" ht="14.25" customHeight="1">
      <c r="D708" s="59"/>
      <c r="F708" s="59"/>
      <c r="H708" s="59"/>
      <c r="I708" s="59"/>
      <c r="J708" s="59"/>
    </row>
    <row r="709" ht="14.25" customHeight="1">
      <c r="D709" s="59"/>
      <c r="F709" s="59"/>
      <c r="H709" s="59"/>
      <c r="I709" s="59"/>
      <c r="J709" s="59"/>
    </row>
    <row r="710" ht="14.25" customHeight="1">
      <c r="D710" s="59"/>
      <c r="F710" s="59"/>
      <c r="H710" s="59"/>
      <c r="I710" s="59"/>
      <c r="J710" s="59"/>
    </row>
    <row r="711" ht="14.25" customHeight="1">
      <c r="D711" s="59"/>
      <c r="F711" s="59"/>
      <c r="H711" s="59"/>
      <c r="I711" s="59"/>
      <c r="J711" s="59"/>
    </row>
    <row r="712" ht="14.25" customHeight="1">
      <c r="D712" s="59"/>
      <c r="F712" s="59"/>
      <c r="H712" s="59"/>
      <c r="I712" s="59"/>
      <c r="J712" s="59"/>
    </row>
    <row r="713" ht="14.25" customHeight="1">
      <c r="D713" s="59"/>
      <c r="F713" s="59"/>
      <c r="H713" s="59"/>
      <c r="I713" s="59"/>
      <c r="J713" s="59"/>
    </row>
    <row r="714" ht="14.25" customHeight="1">
      <c r="D714" s="59"/>
      <c r="F714" s="59"/>
      <c r="H714" s="59"/>
      <c r="I714" s="59"/>
      <c r="J714" s="59"/>
    </row>
    <row r="715" ht="14.25" customHeight="1">
      <c r="D715" s="59"/>
      <c r="F715" s="59"/>
      <c r="H715" s="59"/>
      <c r="I715" s="59"/>
      <c r="J715" s="59"/>
    </row>
    <row r="716" ht="14.25" customHeight="1">
      <c r="D716" s="59"/>
      <c r="F716" s="59"/>
      <c r="H716" s="59"/>
      <c r="I716" s="59"/>
      <c r="J716" s="59"/>
    </row>
    <row r="717" ht="14.25" customHeight="1">
      <c r="D717" s="59"/>
      <c r="F717" s="59"/>
      <c r="H717" s="59"/>
      <c r="I717" s="59"/>
      <c r="J717" s="59"/>
    </row>
    <row r="718" ht="14.25" customHeight="1">
      <c r="D718" s="59"/>
      <c r="F718" s="59"/>
      <c r="H718" s="59"/>
      <c r="I718" s="59"/>
      <c r="J718" s="59"/>
    </row>
    <row r="719" ht="14.25" customHeight="1">
      <c r="D719" s="59"/>
      <c r="F719" s="59"/>
      <c r="H719" s="59"/>
      <c r="I719" s="59"/>
      <c r="J719" s="59"/>
    </row>
    <row r="720" ht="14.25" customHeight="1">
      <c r="D720" s="59"/>
      <c r="F720" s="59"/>
      <c r="H720" s="59"/>
      <c r="I720" s="59"/>
      <c r="J720" s="59"/>
    </row>
    <row r="721" ht="14.25" customHeight="1">
      <c r="D721" s="59"/>
      <c r="F721" s="59"/>
      <c r="H721" s="59"/>
      <c r="I721" s="59"/>
      <c r="J721" s="59"/>
    </row>
    <row r="722" ht="14.25" customHeight="1">
      <c r="D722" s="59"/>
      <c r="F722" s="59"/>
      <c r="H722" s="59"/>
      <c r="I722" s="59"/>
      <c r="J722" s="59"/>
    </row>
    <row r="723" ht="14.25" customHeight="1">
      <c r="D723" s="59"/>
      <c r="F723" s="59"/>
      <c r="H723" s="59"/>
      <c r="I723" s="59"/>
      <c r="J723" s="59"/>
    </row>
    <row r="724" ht="14.25" customHeight="1">
      <c r="D724" s="59"/>
      <c r="F724" s="59"/>
      <c r="H724" s="59"/>
      <c r="I724" s="59"/>
      <c r="J724" s="59"/>
    </row>
    <row r="725" ht="14.25" customHeight="1">
      <c r="D725" s="59"/>
      <c r="F725" s="59"/>
      <c r="H725" s="59"/>
      <c r="I725" s="59"/>
      <c r="J725" s="59"/>
    </row>
    <row r="726" ht="14.25" customHeight="1">
      <c r="D726" s="59"/>
      <c r="F726" s="59"/>
      <c r="H726" s="59"/>
      <c r="I726" s="59"/>
      <c r="J726" s="59"/>
    </row>
    <row r="727" ht="14.25" customHeight="1">
      <c r="D727" s="59"/>
      <c r="F727" s="59"/>
      <c r="H727" s="59"/>
      <c r="I727" s="59"/>
      <c r="J727" s="59"/>
    </row>
    <row r="728" ht="14.25" customHeight="1">
      <c r="D728" s="59"/>
      <c r="F728" s="59"/>
      <c r="H728" s="59"/>
      <c r="I728" s="59"/>
      <c r="J728" s="59"/>
    </row>
    <row r="729" ht="14.25" customHeight="1">
      <c r="D729" s="59"/>
      <c r="F729" s="59"/>
      <c r="H729" s="59"/>
      <c r="I729" s="59"/>
      <c r="J729" s="59"/>
    </row>
    <row r="730" ht="14.25" customHeight="1">
      <c r="D730" s="59"/>
      <c r="F730" s="59"/>
      <c r="H730" s="59"/>
      <c r="I730" s="59"/>
      <c r="J730" s="59"/>
    </row>
    <row r="731" ht="14.25" customHeight="1">
      <c r="D731" s="59"/>
      <c r="F731" s="59"/>
      <c r="H731" s="59"/>
      <c r="I731" s="59"/>
      <c r="J731" s="59"/>
    </row>
    <row r="732" ht="14.25" customHeight="1">
      <c r="D732" s="59"/>
      <c r="F732" s="59"/>
      <c r="H732" s="59"/>
      <c r="I732" s="59"/>
      <c r="J732" s="59"/>
    </row>
    <row r="733" ht="14.25" customHeight="1">
      <c r="D733" s="59"/>
      <c r="F733" s="59"/>
      <c r="H733" s="59"/>
      <c r="I733" s="59"/>
      <c r="J733" s="59"/>
    </row>
    <row r="734" ht="14.25" customHeight="1">
      <c r="D734" s="59"/>
      <c r="F734" s="59"/>
      <c r="H734" s="59"/>
      <c r="I734" s="59"/>
      <c r="J734" s="59"/>
    </row>
    <row r="735" ht="14.25" customHeight="1">
      <c r="D735" s="59"/>
      <c r="F735" s="59"/>
      <c r="H735" s="59"/>
      <c r="I735" s="59"/>
      <c r="J735" s="59"/>
    </row>
    <row r="736" ht="14.25" customHeight="1">
      <c r="D736" s="59"/>
      <c r="F736" s="59"/>
      <c r="H736" s="59"/>
      <c r="I736" s="59"/>
      <c r="J736" s="59"/>
    </row>
    <row r="737" ht="14.25" customHeight="1">
      <c r="D737" s="59"/>
      <c r="F737" s="59"/>
      <c r="H737" s="59"/>
      <c r="I737" s="59"/>
      <c r="J737" s="59"/>
    </row>
    <row r="738" ht="14.25" customHeight="1">
      <c r="D738" s="59"/>
      <c r="F738" s="59"/>
      <c r="H738" s="59"/>
      <c r="I738" s="59"/>
      <c r="J738" s="59"/>
    </row>
    <row r="739" ht="14.25" customHeight="1">
      <c r="D739" s="59"/>
      <c r="F739" s="59"/>
      <c r="H739" s="59"/>
      <c r="I739" s="59"/>
      <c r="J739" s="59"/>
    </row>
    <row r="740" ht="14.25" customHeight="1">
      <c r="D740" s="59"/>
      <c r="F740" s="59"/>
      <c r="H740" s="59"/>
      <c r="I740" s="59"/>
      <c r="J740" s="59"/>
    </row>
    <row r="741" ht="14.25" customHeight="1">
      <c r="D741" s="59"/>
      <c r="F741" s="59"/>
      <c r="H741" s="59"/>
      <c r="I741" s="59"/>
      <c r="J741" s="59"/>
    </row>
    <row r="742" ht="14.25" customHeight="1">
      <c r="D742" s="59"/>
      <c r="F742" s="59"/>
      <c r="H742" s="59"/>
      <c r="I742" s="59"/>
      <c r="J742" s="59"/>
    </row>
    <row r="743" ht="14.25" customHeight="1">
      <c r="D743" s="59"/>
      <c r="F743" s="59"/>
      <c r="H743" s="59"/>
      <c r="I743" s="59"/>
      <c r="J743" s="59"/>
    </row>
    <row r="744" ht="14.25" customHeight="1">
      <c r="D744" s="59"/>
      <c r="F744" s="59"/>
      <c r="H744" s="59"/>
      <c r="I744" s="59"/>
      <c r="J744" s="59"/>
    </row>
    <row r="745" ht="14.25" customHeight="1">
      <c r="D745" s="59"/>
      <c r="F745" s="59"/>
      <c r="H745" s="59"/>
      <c r="I745" s="59"/>
      <c r="J745" s="59"/>
    </row>
    <row r="746" ht="14.25" customHeight="1">
      <c r="D746" s="59"/>
      <c r="F746" s="59"/>
      <c r="H746" s="59"/>
      <c r="I746" s="59"/>
      <c r="J746" s="59"/>
    </row>
    <row r="747" ht="14.25" customHeight="1">
      <c r="D747" s="59"/>
      <c r="F747" s="59"/>
      <c r="H747" s="59"/>
      <c r="I747" s="59"/>
      <c r="J747" s="59"/>
    </row>
    <row r="748" ht="14.25" customHeight="1">
      <c r="D748" s="59"/>
      <c r="F748" s="59"/>
      <c r="H748" s="59"/>
      <c r="I748" s="59"/>
      <c r="J748" s="59"/>
    </row>
    <row r="749" ht="14.25" customHeight="1">
      <c r="D749" s="59"/>
      <c r="F749" s="59"/>
      <c r="H749" s="59"/>
      <c r="I749" s="59"/>
      <c r="J749" s="59"/>
    </row>
    <row r="750" ht="14.25" customHeight="1">
      <c r="D750" s="59"/>
      <c r="F750" s="59"/>
      <c r="H750" s="59"/>
      <c r="I750" s="59"/>
      <c r="J750" s="59"/>
    </row>
    <row r="751" ht="14.25" customHeight="1">
      <c r="D751" s="59"/>
      <c r="F751" s="59"/>
      <c r="H751" s="59"/>
      <c r="I751" s="59"/>
      <c r="J751" s="59"/>
    </row>
    <row r="752" ht="14.25" customHeight="1">
      <c r="D752" s="59"/>
      <c r="F752" s="59"/>
      <c r="H752" s="59"/>
      <c r="I752" s="59"/>
      <c r="J752" s="59"/>
    </row>
    <row r="753" ht="14.25" customHeight="1">
      <c r="D753" s="59"/>
      <c r="F753" s="59"/>
      <c r="H753" s="59"/>
      <c r="I753" s="59"/>
      <c r="J753" s="59"/>
    </row>
    <row r="754" ht="14.25" customHeight="1">
      <c r="D754" s="59"/>
      <c r="F754" s="59"/>
      <c r="H754" s="59"/>
      <c r="I754" s="59"/>
      <c r="J754" s="59"/>
    </row>
    <row r="755" ht="14.25" customHeight="1">
      <c r="D755" s="59"/>
      <c r="F755" s="59"/>
      <c r="H755" s="59"/>
      <c r="I755" s="59"/>
      <c r="J755" s="59"/>
    </row>
    <row r="756" ht="14.25" customHeight="1">
      <c r="D756" s="59"/>
      <c r="F756" s="59"/>
      <c r="H756" s="59"/>
      <c r="I756" s="59"/>
      <c r="J756" s="59"/>
    </row>
    <row r="757" ht="14.25" customHeight="1">
      <c r="D757" s="59"/>
      <c r="F757" s="59"/>
      <c r="H757" s="59"/>
      <c r="I757" s="59"/>
      <c r="J757" s="59"/>
    </row>
    <row r="758" ht="14.25" customHeight="1">
      <c r="D758" s="59"/>
      <c r="F758" s="59"/>
      <c r="H758" s="59"/>
      <c r="I758" s="59"/>
      <c r="J758" s="59"/>
    </row>
    <row r="759" ht="14.25" customHeight="1">
      <c r="D759" s="59"/>
      <c r="F759" s="59"/>
      <c r="H759" s="59"/>
      <c r="I759" s="59"/>
      <c r="J759" s="59"/>
    </row>
    <row r="760" ht="14.25" customHeight="1">
      <c r="D760" s="59"/>
      <c r="F760" s="59"/>
      <c r="H760" s="59"/>
      <c r="I760" s="59"/>
      <c r="J760" s="59"/>
    </row>
    <row r="761" ht="14.25" customHeight="1">
      <c r="D761" s="59"/>
      <c r="F761" s="59"/>
      <c r="H761" s="59"/>
      <c r="I761" s="59"/>
      <c r="J761" s="59"/>
    </row>
    <row r="762" ht="14.25" customHeight="1">
      <c r="D762" s="59"/>
      <c r="F762" s="59"/>
      <c r="H762" s="59"/>
      <c r="I762" s="59"/>
      <c r="J762" s="59"/>
    </row>
    <row r="763" ht="14.25" customHeight="1">
      <c r="D763" s="59"/>
      <c r="F763" s="59"/>
      <c r="H763" s="59"/>
      <c r="I763" s="59"/>
      <c r="J763" s="59"/>
    </row>
    <row r="764" ht="14.25" customHeight="1">
      <c r="D764" s="59"/>
      <c r="F764" s="59"/>
      <c r="H764" s="59"/>
      <c r="I764" s="59"/>
      <c r="J764" s="59"/>
    </row>
    <row r="765" ht="14.25" customHeight="1">
      <c r="D765" s="59"/>
      <c r="F765" s="59"/>
      <c r="H765" s="59"/>
      <c r="I765" s="59"/>
      <c r="J765" s="59"/>
    </row>
    <row r="766" ht="14.25" customHeight="1">
      <c r="D766" s="59"/>
      <c r="F766" s="59"/>
      <c r="H766" s="59"/>
      <c r="I766" s="59"/>
      <c r="J766" s="59"/>
    </row>
    <row r="767" ht="14.25" customHeight="1">
      <c r="D767" s="59"/>
      <c r="F767" s="59"/>
      <c r="H767" s="59"/>
      <c r="I767" s="59"/>
      <c r="J767" s="59"/>
    </row>
    <row r="768" ht="14.25" customHeight="1">
      <c r="D768" s="59"/>
      <c r="F768" s="59"/>
      <c r="H768" s="59"/>
      <c r="I768" s="59"/>
      <c r="J768" s="59"/>
    </row>
    <row r="769" ht="14.25" customHeight="1">
      <c r="D769" s="59"/>
      <c r="F769" s="59"/>
      <c r="H769" s="59"/>
      <c r="I769" s="59"/>
      <c r="J769" s="59"/>
    </row>
    <row r="770" ht="14.25" customHeight="1">
      <c r="D770" s="59"/>
      <c r="F770" s="59"/>
      <c r="H770" s="59"/>
      <c r="I770" s="59"/>
      <c r="J770" s="59"/>
    </row>
    <row r="771" ht="14.25" customHeight="1">
      <c r="D771" s="59"/>
      <c r="F771" s="59"/>
      <c r="H771" s="59"/>
      <c r="I771" s="59"/>
      <c r="J771" s="59"/>
    </row>
    <row r="772" ht="14.25" customHeight="1">
      <c r="D772" s="59"/>
      <c r="F772" s="59"/>
      <c r="H772" s="59"/>
      <c r="I772" s="59"/>
      <c r="J772" s="59"/>
    </row>
    <row r="773" ht="14.25" customHeight="1">
      <c r="D773" s="59"/>
      <c r="F773" s="59"/>
      <c r="H773" s="59"/>
      <c r="I773" s="59"/>
      <c r="J773" s="59"/>
    </row>
    <row r="774" ht="14.25" customHeight="1">
      <c r="D774" s="59"/>
      <c r="F774" s="59"/>
      <c r="H774" s="59"/>
      <c r="I774" s="59"/>
      <c r="J774" s="59"/>
    </row>
    <row r="775" ht="14.25" customHeight="1">
      <c r="D775" s="59"/>
      <c r="F775" s="59"/>
      <c r="H775" s="59"/>
      <c r="I775" s="59"/>
      <c r="J775" s="59"/>
    </row>
    <row r="776" ht="14.25" customHeight="1">
      <c r="D776" s="59"/>
      <c r="F776" s="59"/>
      <c r="H776" s="59"/>
      <c r="I776" s="59"/>
      <c r="J776" s="59"/>
    </row>
    <row r="777" ht="14.25" customHeight="1">
      <c r="D777" s="59"/>
      <c r="F777" s="59"/>
      <c r="H777" s="59"/>
      <c r="I777" s="59"/>
      <c r="J777" s="59"/>
    </row>
    <row r="778" ht="14.25" customHeight="1">
      <c r="D778" s="59"/>
      <c r="F778" s="59"/>
      <c r="H778" s="59"/>
      <c r="I778" s="59"/>
      <c r="J778" s="59"/>
    </row>
    <row r="779" ht="14.25" customHeight="1">
      <c r="D779" s="59"/>
      <c r="F779" s="59"/>
      <c r="H779" s="59"/>
      <c r="I779" s="59"/>
      <c r="J779" s="59"/>
    </row>
    <row r="780" ht="14.25" customHeight="1">
      <c r="D780" s="59"/>
      <c r="F780" s="59"/>
      <c r="H780" s="59"/>
      <c r="I780" s="59"/>
      <c r="J780" s="59"/>
    </row>
    <row r="781" ht="14.25" customHeight="1">
      <c r="D781" s="59"/>
      <c r="F781" s="59"/>
      <c r="H781" s="59"/>
      <c r="I781" s="59"/>
      <c r="J781" s="59"/>
    </row>
    <row r="782" ht="14.25" customHeight="1">
      <c r="D782" s="59"/>
      <c r="F782" s="59"/>
      <c r="H782" s="59"/>
      <c r="I782" s="59"/>
      <c r="J782" s="59"/>
    </row>
    <row r="783" ht="14.25" customHeight="1">
      <c r="D783" s="59"/>
      <c r="F783" s="59"/>
      <c r="H783" s="59"/>
      <c r="I783" s="59"/>
      <c r="J783" s="59"/>
    </row>
    <row r="784" ht="14.25" customHeight="1">
      <c r="D784" s="59"/>
      <c r="F784" s="59"/>
      <c r="H784" s="59"/>
      <c r="I784" s="59"/>
      <c r="J784" s="59"/>
    </row>
    <row r="785" ht="14.25" customHeight="1">
      <c r="D785" s="59"/>
      <c r="F785" s="59"/>
      <c r="H785" s="59"/>
      <c r="I785" s="59"/>
      <c r="J785" s="59"/>
    </row>
    <row r="786" ht="14.25" customHeight="1">
      <c r="D786" s="59"/>
      <c r="F786" s="59"/>
      <c r="H786" s="59"/>
      <c r="I786" s="59"/>
      <c r="J786" s="59"/>
    </row>
    <row r="787" ht="14.25" customHeight="1">
      <c r="D787" s="59"/>
      <c r="F787" s="59"/>
      <c r="H787" s="59"/>
      <c r="I787" s="59"/>
      <c r="J787" s="59"/>
    </row>
    <row r="788" ht="14.25" customHeight="1">
      <c r="D788" s="59"/>
      <c r="F788" s="59"/>
      <c r="H788" s="59"/>
      <c r="I788" s="59"/>
      <c r="J788" s="59"/>
    </row>
    <row r="789" ht="14.25" customHeight="1">
      <c r="D789" s="59"/>
      <c r="F789" s="59"/>
      <c r="H789" s="59"/>
      <c r="I789" s="59"/>
      <c r="J789" s="59"/>
    </row>
    <row r="790" ht="14.25" customHeight="1">
      <c r="D790" s="59"/>
      <c r="F790" s="59"/>
      <c r="H790" s="59"/>
      <c r="I790" s="59"/>
      <c r="J790" s="59"/>
    </row>
    <row r="791" ht="14.25" customHeight="1">
      <c r="D791" s="59"/>
      <c r="F791" s="59"/>
      <c r="H791" s="59"/>
      <c r="I791" s="59"/>
      <c r="J791" s="59"/>
    </row>
    <row r="792" ht="14.25" customHeight="1">
      <c r="D792" s="59"/>
      <c r="F792" s="59"/>
      <c r="H792" s="59"/>
      <c r="I792" s="59"/>
      <c r="J792" s="59"/>
    </row>
    <row r="793" ht="14.25" customHeight="1">
      <c r="D793" s="59"/>
      <c r="F793" s="59"/>
      <c r="H793" s="59"/>
      <c r="I793" s="59"/>
      <c r="J793" s="59"/>
    </row>
    <row r="794" ht="14.25" customHeight="1">
      <c r="D794" s="59"/>
      <c r="F794" s="59"/>
      <c r="H794" s="59"/>
      <c r="I794" s="59"/>
      <c r="J794" s="59"/>
    </row>
    <row r="795" ht="14.25" customHeight="1">
      <c r="D795" s="59"/>
      <c r="F795" s="59"/>
      <c r="H795" s="59"/>
      <c r="I795" s="59"/>
      <c r="J795" s="59"/>
    </row>
    <row r="796" ht="14.25" customHeight="1">
      <c r="D796" s="59"/>
      <c r="F796" s="59"/>
      <c r="H796" s="59"/>
      <c r="I796" s="59"/>
      <c r="J796" s="59"/>
    </row>
    <row r="797" ht="14.25" customHeight="1">
      <c r="D797" s="59"/>
      <c r="F797" s="59"/>
      <c r="H797" s="59"/>
      <c r="I797" s="59"/>
      <c r="J797" s="59"/>
    </row>
    <row r="798" ht="14.25" customHeight="1">
      <c r="D798" s="59"/>
      <c r="F798" s="59"/>
      <c r="H798" s="59"/>
      <c r="I798" s="59"/>
      <c r="J798" s="59"/>
    </row>
    <row r="799" ht="14.25" customHeight="1">
      <c r="D799" s="59"/>
      <c r="F799" s="59"/>
      <c r="H799" s="59"/>
      <c r="I799" s="59"/>
      <c r="J799" s="59"/>
    </row>
    <row r="800" ht="14.25" customHeight="1">
      <c r="D800" s="59"/>
      <c r="F800" s="59"/>
      <c r="H800" s="59"/>
      <c r="I800" s="59"/>
      <c r="J800" s="59"/>
    </row>
    <row r="801" ht="14.25" customHeight="1">
      <c r="D801" s="59"/>
      <c r="F801" s="59"/>
      <c r="H801" s="59"/>
      <c r="I801" s="59"/>
      <c r="J801" s="59"/>
    </row>
    <row r="802" ht="14.25" customHeight="1">
      <c r="D802" s="59"/>
      <c r="F802" s="59"/>
      <c r="H802" s="59"/>
      <c r="I802" s="59"/>
      <c r="J802" s="59"/>
    </row>
    <row r="803" ht="14.25" customHeight="1">
      <c r="D803" s="59"/>
      <c r="F803" s="59"/>
      <c r="H803" s="59"/>
      <c r="I803" s="59"/>
      <c r="J803" s="59"/>
    </row>
    <row r="804" ht="14.25" customHeight="1">
      <c r="D804" s="59"/>
      <c r="F804" s="59"/>
      <c r="H804" s="59"/>
      <c r="I804" s="59"/>
      <c r="J804" s="59"/>
    </row>
    <row r="805" ht="14.25" customHeight="1">
      <c r="D805" s="59"/>
      <c r="F805" s="59"/>
      <c r="H805" s="59"/>
      <c r="I805" s="59"/>
      <c r="J805" s="59"/>
    </row>
    <row r="806" ht="14.25" customHeight="1">
      <c r="D806" s="59"/>
      <c r="F806" s="59"/>
      <c r="H806" s="59"/>
      <c r="I806" s="59"/>
      <c r="J806" s="59"/>
    </row>
    <row r="807" ht="14.25" customHeight="1">
      <c r="D807" s="59"/>
      <c r="F807" s="59"/>
      <c r="H807" s="59"/>
      <c r="I807" s="59"/>
      <c r="J807" s="59"/>
    </row>
    <row r="808" ht="14.25" customHeight="1">
      <c r="D808" s="59"/>
      <c r="F808" s="59"/>
      <c r="H808" s="59"/>
      <c r="I808" s="59"/>
      <c r="J808" s="59"/>
    </row>
    <row r="809" ht="14.25" customHeight="1">
      <c r="D809" s="59"/>
      <c r="F809" s="59"/>
      <c r="H809" s="59"/>
      <c r="I809" s="59"/>
      <c r="J809" s="59"/>
    </row>
    <row r="810" ht="14.25" customHeight="1">
      <c r="D810" s="59"/>
      <c r="F810" s="59"/>
      <c r="H810" s="59"/>
      <c r="I810" s="59"/>
      <c r="J810" s="59"/>
    </row>
    <row r="811" ht="14.25" customHeight="1">
      <c r="D811" s="59"/>
      <c r="F811" s="59"/>
      <c r="H811" s="59"/>
      <c r="I811" s="59"/>
      <c r="J811" s="59"/>
    </row>
    <row r="812" ht="14.25" customHeight="1">
      <c r="D812" s="59"/>
      <c r="F812" s="59"/>
      <c r="H812" s="59"/>
      <c r="I812" s="59"/>
      <c r="J812" s="59"/>
    </row>
    <row r="813" ht="14.25" customHeight="1">
      <c r="D813" s="59"/>
      <c r="F813" s="59"/>
      <c r="H813" s="59"/>
      <c r="I813" s="59"/>
      <c r="J813" s="59"/>
    </row>
    <row r="814" ht="14.25" customHeight="1">
      <c r="D814" s="59"/>
      <c r="F814" s="59"/>
      <c r="H814" s="59"/>
      <c r="I814" s="59"/>
      <c r="J814" s="59"/>
    </row>
    <row r="815" ht="14.25" customHeight="1">
      <c r="D815" s="59"/>
      <c r="F815" s="59"/>
      <c r="H815" s="59"/>
      <c r="I815" s="59"/>
      <c r="J815" s="59"/>
    </row>
    <row r="816" ht="14.25" customHeight="1">
      <c r="D816" s="59"/>
      <c r="F816" s="59"/>
      <c r="H816" s="59"/>
      <c r="I816" s="59"/>
      <c r="J816" s="59"/>
    </row>
    <row r="817" ht="14.25" customHeight="1">
      <c r="D817" s="59"/>
      <c r="F817" s="59"/>
      <c r="H817" s="59"/>
      <c r="I817" s="59"/>
      <c r="J817" s="59"/>
    </row>
    <row r="818" ht="14.25" customHeight="1">
      <c r="D818" s="59"/>
      <c r="F818" s="59"/>
      <c r="H818" s="59"/>
      <c r="I818" s="59"/>
      <c r="J818" s="59"/>
    </row>
    <row r="819" ht="14.25" customHeight="1">
      <c r="D819" s="59"/>
      <c r="F819" s="59"/>
      <c r="H819" s="59"/>
      <c r="I819" s="59"/>
      <c r="J819" s="59"/>
    </row>
    <row r="820" ht="14.25" customHeight="1">
      <c r="D820" s="59"/>
      <c r="F820" s="59"/>
      <c r="H820" s="59"/>
      <c r="I820" s="59"/>
      <c r="J820" s="59"/>
    </row>
    <row r="821" ht="14.25" customHeight="1">
      <c r="D821" s="59"/>
      <c r="F821" s="59"/>
      <c r="H821" s="59"/>
      <c r="I821" s="59"/>
      <c r="J821" s="59"/>
    </row>
    <row r="822" ht="14.25" customHeight="1">
      <c r="D822" s="59"/>
      <c r="F822" s="59"/>
      <c r="H822" s="59"/>
      <c r="I822" s="59"/>
      <c r="J822" s="59"/>
    </row>
    <row r="823" ht="14.25" customHeight="1">
      <c r="D823" s="59"/>
      <c r="F823" s="59"/>
      <c r="H823" s="59"/>
      <c r="I823" s="59"/>
      <c r="J823" s="59"/>
    </row>
    <row r="824" ht="14.25" customHeight="1">
      <c r="D824" s="59"/>
      <c r="F824" s="59"/>
      <c r="H824" s="59"/>
      <c r="I824" s="59"/>
      <c r="J824" s="59"/>
    </row>
    <row r="825" ht="14.25" customHeight="1">
      <c r="D825" s="59"/>
      <c r="F825" s="59"/>
      <c r="H825" s="59"/>
      <c r="I825" s="59"/>
      <c r="J825" s="59"/>
    </row>
    <row r="826" ht="14.25" customHeight="1">
      <c r="D826" s="59"/>
      <c r="F826" s="59"/>
      <c r="H826" s="59"/>
      <c r="I826" s="59"/>
      <c r="J826" s="59"/>
    </row>
    <row r="827" ht="14.25" customHeight="1">
      <c r="D827" s="59"/>
      <c r="F827" s="59"/>
      <c r="H827" s="59"/>
      <c r="I827" s="59"/>
      <c r="J827" s="59"/>
    </row>
    <row r="828" ht="14.25" customHeight="1">
      <c r="D828" s="59"/>
      <c r="F828" s="59"/>
      <c r="H828" s="59"/>
      <c r="I828" s="59"/>
      <c r="J828" s="59"/>
    </row>
    <row r="829" ht="14.25" customHeight="1">
      <c r="D829" s="59"/>
      <c r="F829" s="59"/>
      <c r="H829" s="59"/>
      <c r="I829" s="59"/>
      <c r="J829" s="59"/>
    </row>
    <row r="830" ht="14.25" customHeight="1">
      <c r="D830" s="59"/>
      <c r="F830" s="59"/>
      <c r="H830" s="59"/>
      <c r="I830" s="59"/>
      <c r="J830" s="59"/>
    </row>
    <row r="831" ht="14.25" customHeight="1">
      <c r="D831" s="59"/>
      <c r="F831" s="59"/>
      <c r="H831" s="59"/>
      <c r="I831" s="59"/>
      <c r="J831" s="59"/>
    </row>
    <row r="832" ht="14.25" customHeight="1">
      <c r="D832" s="59"/>
      <c r="F832" s="59"/>
      <c r="H832" s="59"/>
      <c r="I832" s="59"/>
      <c r="J832" s="59"/>
    </row>
    <row r="833" ht="14.25" customHeight="1">
      <c r="D833" s="59"/>
      <c r="F833" s="59"/>
      <c r="H833" s="59"/>
      <c r="I833" s="59"/>
      <c r="J833" s="59"/>
    </row>
    <row r="834" ht="14.25" customHeight="1">
      <c r="D834" s="59"/>
      <c r="F834" s="59"/>
      <c r="H834" s="59"/>
      <c r="I834" s="59"/>
      <c r="J834" s="59"/>
    </row>
    <row r="835" ht="14.25" customHeight="1">
      <c r="D835" s="59"/>
      <c r="F835" s="59"/>
      <c r="H835" s="59"/>
      <c r="I835" s="59"/>
      <c r="J835" s="59"/>
    </row>
    <row r="836" ht="14.25" customHeight="1">
      <c r="D836" s="59"/>
      <c r="F836" s="59"/>
      <c r="H836" s="59"/>
      <c r="I836" s="59"/>
      <c r="J836" s="59"/>
    </row>
    <row r="837" ht="14.25" customHeight="1">
      <c r="D837" s="59"/>
      <c r="F837" s="59"/>
      <c r="H837" s="59"/>
      <c r="I837" s="59"/>
      <c r="J837" s="59"/>
    </row>
    <row r="838" ht="14.25" customHeight="1">
      <c r="D838" s="59"/>
      <c r="F838" s="59"/>
      <c r="H838" s="59"/>
      <c r="I838" s="59"/>
      <c r="J838" s="59"/>
    </row>
    <row r="839" ht="14.25" customHeight="1">
      <c r="D839" s="59"/>
      <c r="F839" s="59"/>
      <c r="H839" s="59"/>
      <c r="I839" s="59"/>
      <c r="J839" s="59"/>
    </row>
    <row r="840" ht="14.25" customHeight="1">
      <c r="D840" s="59"/>
      <c r="F840" s="59"/>
      <c r="H840" s="59"/>
      <c r="I840" s="59"/>
      <c r="J840" s="59"/>
    </row>
    <row r="841" ht="14.25" customHeight="1">
      <c r="D841" s="59"/>
      <c r="F841" s="59"/>
      <c r="H841" s="59"/>
      <c r="I841" s="59"/>
      <c r="J841" s="59"/>
    </row>
    <row r="842" ht="14.25" customHeight="1">
      <c r="D842" s="59"/>
      <c r="F842" s="59"/>
      <c r="H842" s="59"/>
      <c r="I842" s="59"/>
      <c r="J842" s="59"/>
    </row>
    <row r="843" ht="14.25" customHeight="1">
      <c r="D843" s="59"/>
      <c r="F843" s="59"/>
      <c r="H843" s="59"/>
      <c r="I843" s="59"/>
      <c r="J843" s="59"/>
    </row>
    <row r="844" ht="14.25" customHeight="1">
      <c r="D844" s="59"/>
      <c r="F844" s="59"/>
      <c r="H844" s="59"/>
      <c r="I844" s="59"/>
      <c r="J844" s="59"/>
    </row>
    <row r="845" ht="14.25" customHeight="1">
      <c r="D845" s="59"/>
      <c r="F845" s="59"/>
      <c r="H845" s="59"/>
      <c r="I845" s="59"/>
      <c r="J845" s="59"/>
    </row>
    <row r="846" ht="14.25" customHeight="1">
      <c r="D846" s="59"/>
      <c r="F846" s="59"/>
      <c r="H846" s="59"/>
      <c r="I846" s="59"/>
      <c r="J846" s="59"/>
    </row>
    <row r="847" ht="14.25" customHeight="1">
      <c r="D847" s="59"/>
      <c r="F847" s="59"/>
      <c r="H847" s="59"/>
      <c r="I847" s="59"/>
      <c r="J847" s="59"/>
    </row>
    <row r="848" ht="14.25" customHeight="1">
      <c r="D848" s="59"/>
      <c r="F848" s="59"/>
      <c r="H848" s="59"/>
      <c r="I848" s="59"/>
      <c r="J848" s="59"/>
    </row>
    <row r="849" ht="14.25" customHeight="1">
      <c r="D849" s="59"/>
      <c r="F849" s="59"/>
      <c r="H849" s="59"/>
      <c r="I849" s="59"/>
      <c r="J849" s="59"/>
    </row>
    <row r="850" ht="14.25" customHeight="1">
      <c r="D850" s="59"/>
      <c r="F850" s="59"/>
      <c r="H850" s="59"/>
      <c r="I850" s="59"/>
      <c r="J850" s="59"/>
    </row>
    <row r="851" ht="14.25" customHeight="1">
      <c r="D851" s="59"/>
      <c r="F851" s="59"/>
      <c r="H851" s="59"/>
      <c r="I851" s="59"/>
      <c r="J851" s="59"/>
    </row>
    <row r="852" ht="14.25" customHeight="1">
      <c r="D852" s="59"/>
      <c r="F852" s="59"/>
      <c r="H852" s="59"/>
      <c r="I852" s="59"/>
      <c r="J852" s="59"/>
    </row>
    <row r="853" ht="14.25" customHeight="1">
      <c r="D853" s="59"/>
      <c r="F853" s="59"/>
      <c r="H853" s="59"/>
      <c r="I853" s="59"/>
      <c r="J853" s="59"/>
    </row>
    <row r="854" ht="14.25" customHeight="1">
      <c r="D854" s="59"/>
      <c r="F854" s="59"/>
      <c r="H854" s="59"/>
      <c r="I854" s="59"/>
      <c r="J854" s="59"/>
    </row>
    <row r="855" ht="14.25" customHeight="1">
      <c r="D855" s="59"/>
      <c r="F855" s="59"/>
      <c r="H855" s="59"/>
      <c r="I855" s="59"/>
      <c r="J855" s="59"/>
    </row>
    <row r="856" ht="14.25" customHeight="1">
      <c r="D856" s="59"/>
      <c r="F856" s="59"/>
      <c r="H856" s="59"/>
      <c r="I856" s="59"/>
      <c r="J856" s="59"/>
    </row>
    <row r="857" ht="14.25" customHeight="1">
      <c r="D857" s="59"/>
      <c r="F857" s="59"/>
      <c r="H857" s="59"/>
      <c r="I857" s="59"/>
      <c r="J857" s="59"/>
    </row>
    <row r="858" ht="14.25" customHeight="1">
      <c r="D858" s="59"/>
      <c r="F858" s="59"/>
      <c r="H858" s="59"/>
      <c r="I858" s="59"/>
      <c r="J858" s="59"/>
    </row>
    <row r="859" ht="14.25" customHeight="1">
      <c r="D859" s="59"/>
      <c r="F859" s="59"/>
      <c r="H859" s="59"/>
      <c r="I859" s="59"/>
      <c r="J859" s="59"/>
    </row>
    <row r="860" ht="14.25" customHeight="1">
      <c r="D860" s="59"/>
      <c r="F860" s="59"/>
      <c r="H860" s="59"/>
      <c r="I860" s="59"/>
      <c r="J860" s="59"/>
    </row>
    <row r="861" ht="14.25" customHeight="1">
      <c r="D861" s="59"/>
      <c r="F861" s="59"/>
      <c r="H861" s="59"/>
      <c r="I861" s="59"/>
      <c r="J861" s="59"/>
    </row>
    <row r="862" ht="14.25" customHeight="1">
      <c r="D862" s="59"/>
      <c r="F862" s="59"/>
      <c r="H862" s="59"/>
      <c r="I862" s="59"/>
      <c r="J862" s="59"/>
    </row>
    <row r="863" ht="14.25" customHeight="1">
      <c r="D863" s="59"/>
      <c r="F863" s="59"/>
      <c r="H863" s="59"/>
      <c r="I863" s="59"/>
      <c r="J863" s="59"/>
    </row>
    <row r="864" ht="14.25" customHeight="1">
      <c r="D864" s="59"/>
      <c r="F864" s="59"/>
      <c r="H864" s="59"/>
      <c r="I864" s="59"/>
      <c r="J864" s="59"/>
    </row>
    <row r="865" ht="14.25" customHeight="1">
      <c r="D865" s="59"/>
      <c r="F865" s="59"/>
      <c r="H865" s="59"/>
      <c r="I865" s="59"/>
      <c r="J865" s="59"/>
    </row>
    <row r="866" ht="14.25" customHeight="1">
      <c r="D866" s="59"/>
      <c r="F866" s="59"/>
      <c r="H866" s="59"/>
      <c r="I866" s="59"/>
      <c r="J866" s="59"/>
    </row>
    <row r="867" ht="14.25" customHeight="1">
      <c r="D867" s="59"/>
      <c r="F867" s="59"/>
      <c r="H867" s="59"/>
      <c r="I867" s="59"/>
      <c r="J867" s="59"/>
    </row>
    <row r="868" ht="14.25" customHeight="1">
      <c r="D868" s="59"/>
      <c r="F868" s="59"/>
      <c r="H868" s="59"/>
      <c r="I868" s="59"/>
      <c r="J868" s="59"/>
    </row>
    <row r="869" ht="14.25" customHeight="1">
      <c r="D869" s="59"/>
      <c r="F869" s="59"/>
      <c r="H869" s="59"/>
      <c r="I869" s="59"/>
      <c r="J869" s="59"/>
    </row>
    <row r="870" ht="14.25" customHeight="1">
      <c r="D870" s="59"/>
      <c r="F870" s="59"/>
      <c r="H870" s="59"/>
      <c r="I870" s="59"/>
      <c r="J870" s="59"/>
    </row>
    <row r="871" ht="14.25" customHeight="1">
      <c r="D871" s="59"/>
      <c r="F871" s="59"/>
      <c r="H871" s="59"/>
      <c r="I871" s="59"/>
      <c r="J871" s="59"/>
    </row>
    <row r="872" ht="14.25" customHeight="1">
      <c r="D872" s="59"/>
      <c r="F872" s="59"/>
      <c r="H872" s="59"/>
      <c r="I872" s="59"/>
      <c r="J872" s="59"/>
    </row>
    <row r="873" ht="14.25" customHeight="1">
      <c r="D873" s="59"/>
      <c r="F873" s="59"/>
      <c r="H873" s="59"/>
      <c r="I873" s="59"/>
      <c r="J873" s="59"/>
    </row>
    <row r="874" ht="14.25" customHeight="1">
      <c r="D874" s="59"/>
      <c r="F874" s="59"/>
      <c r="H874" s="59"/>
      <c r="I874" s="59"/>
      <c r="J874" s="59"/>
    </row>
    <row r="875" ht="14.25" customHeight="1">
      <c r="D875" s="59"/>
      <c r="F875" s="59"/>
      <c r="H875" s="59"/>
      <c r="I875" s="59"/>
      <c r="J875" s="59"/>
    </row>
    <row r="876" ht="14.25" customHeight="1">
      <c r="D876" s="59"/>
      <c r="F876" s="59"/>
      <c r="H876" s="59"/>
      <c r="I876" s="59"/>
      <c r="J876" s="59"/>
    </row>
    <row r="877" ht="14.25" customHeight="1">
      <c r="D877" s="59"/>
      <c r="F877" s="59"/>
      <c r="H877" s="59"/>
      <c r="I877" s="59"/>
      <c r="J877" s="59"/>
    </row>
    <row r="878" ht="14.25" customHeight="1">
      <c r="D878" s="59"/>
      <c r="F878" s="59"/>
      <c r="H878" s="59"/>
      <c r="I878" s="59"/>
      <c r="J878" s="59"/>
    </row>
    <row r="879" ht="14.25" customHeight="1">
      <c r="D879" s="59"/>
      <c r="F879" s="59"/>
      <c r="H879" s="59"/>
      <c r="I879" s="59"/>
      <c r="J879" s="59"/>
    </row>
    <row r="880" ht="14.25" customHeight="1">
      <c r="D880" s="59"/>
      <c r="F880" s="59"/>
      <c r="H880" s="59"/>
      <c r="I880" s="59"/>
      <c r="J880" s="59"/>
    </row>
    <row r="881" ht="14.25" customHeight="1">
      <c r="D881" s="59"/>
      <c r="F881" s="59"/>
      <c r="H881" s="59"/>
      <c r="I881" s="59"/>
      <c r="J881" s="59"/>
    </row>
    <row r="882" ht="14.25" customHeight="1">
      <c r="D882" s="59"/>
      <c r="F882" s="59"/>
      <c r="H882" s="59"/>
      <c r="I882" s="59"/>
      <c r="J882" s="59"/>
    </row>
    <row r="883" ht="14.25" customHeight="1">
      <c r="D883" s="59"/>
      <c r="F883" s="59"/>
      <c r="H883" s="59"/>
      <c r="I883" s="59"/>
      <c r="J883" s="59"/>
    </row>
    <row r="884" ht="14.25" customHeight="1">
      <c r="D884" s="59"/>
      <c r="F884" s="59"/>
      <c r="H884" s="59"/>
      <c r="I884" s="59"/>
      <c r="J884" s="59"/>
    </row>
    <row r="885" ht="14.25" customHeight="1">
      <c r="D885" s="59"/>
      <c r="F885" s="59"/>
      <c r="H885" s="59"/>
      <c r="I885" s="59"/>
      <c r="J885" s="59"/>
    </row>
    <row r="886" ht="14.25" customHeight="1">
      <c r="D886" s="59"/>
      <c r="F886" s="59"/>
      <c r="H886" s="59"/>
      <c r="I886" s="59"/>
      <c r="J886" s="59"/>
    </row>
    <row r="887" ht="14.25" customHeight="1">
      <c r="D887" s="59"/>
      <c r="F887" s="59"/>
      <c r="H887" s="59"/>
      <c r="I887" s="59"/>
      <c r="J887" s="59"/>
    </row>
    <row r="888" ht="14.25" customHeight="1">
      <c r="D888" s="59"/>
      <c r="F888" s="59"/>
      <c r="H888" s="59"/>
      <c r="I888" s="59"/>
      <c r="J888" s="59"/>
    </row>
    <row r="889" ht="14.25" customHeight="1">
      <c r="D889" s="59"/>
      <c r="F889" s="59"/>
      <c r="H889" s="59"/>
      <c r="I889" s="59"/>
      <c r="J889" s="59"/>
    </row>
    <row r="890" ht="14.25" customHeight="1">
      <c r="D890" s="59"/>
      <c r="F890" s="59"/>
      <c r="H890" s="59"/>
      <c r="I890" s="59"/>
      <c r="J890" s="59"/>
    </row>
    <row r="891" ht="14.25" customHeight="1">
      <c r="D891" s="59"/>
      <c r="F891" s="59"/>
      <c r="H891" s="59"/>
      <c r="I891" s="59"/>
      <c r="J891" s="59"/>
    </row>
    <row r="892" ht="14.25" customHeight="1">
      <c r="D892" s="59"/>
      <c r="F892" s="59"/>
      <c r="H892" s="59"/>
      <c r="I892" s="59"/>
      <c r="J892" s="59"/>
    </row>
    <row r="893" ht="14.25" customHeight="1">
      <c r="D893" s="59"/>
      <c r="F893" s="59"/>
      <c r="H893" s="59"/>
      <c r="I893" s="59"/>
      <c r="J893" s="59"/>
    </row>
    <row r="894" ht="14.25" customHeight="1">
      <c r="D894" s="59"/>
      <c r="F894" s="59"/>
      <c r="H894" s="59"/>
      <c r="I894" s="59"/>
      <c r="J894" s="59"/>
    </row>
    <row r="895" ht="14.25" customHeight="1">
      <c r="D895" s="59"/>
      <c r="F895" s="59"/>
      <c r="H895" s="59"/>
      <c r="I895" s="59"/>
      <c r="J895" s="59"/>
    </row>
    <row r="896" ht="14.25" customHeight="1">
      <c r="D896" s="59"/>
      <c r="F896" s="59"/>
      <c r="H896" s="59"/>
      <c r="I896" s="59"/>
      <c r="J896" s="59"/>
    </row>
    <row r="897" ht="14.25" customHeight="1">
      <c r="D897" s="59"/>
      <c r="F897" s="59"/>
      <c r="H897" s="59"/>
      <c r="I897" s="59"/>
      <c r="J897" s="59"/>
    </row>
    <row r="898" ht="14.25" customHeight="1">
      <c r="D898" s="59"/>
      <c r="F898" s="59"/>
      <c r="H898" s="59"/>
      <c r="I898" s="59"/>
      <c r="J898" s="59"/>
    </row>
    <row r="899" ht="14.25" customHeight="1">
      <c r="D899" s="59"/>
      <c r="F899" s="59"/>
      <c r="H899" s="59"/>
      <c r="I899" s="59"/>
      <c r="J899" s="59"/>
    </row>
    <row r="900" ht="14.25" customHeight="1">
      <c r="D900" s="59"/>
      <c r="F900" s="59"/>
      <c r="H900" s="59"/>
      <c r="I900" s="59"/>
      <c r="J900" s="59"/>
    </row>
    <row r="901" ht="14.25" customHeight="1">
      <c r="D901" s="59"/>
      <c r="F901" s="59"/>
      <c r="H901" s="59"/>
      <c r="I901" s="59"/>
      <c r="J901" s="59"/>
    </row>
    <row r="902" ht="14.25" customHeight="1">
      <c r="D902" s="59"/>
      <c r="F902" s="59"/>
      <c r="H902" s="59"/>
      <c r="I902" s="59"/>
      <c r="J902" s="59"/>
    </row>
    <row r="903" ht="14.25" customHeight="1">
      <c r="D903" s="59"/>
      <c r="F903" s="59"/>
      <c r="H903" s="59"/>
      <c r="I903" s="59"/>
      <c r="J903" s="59"/>
    </row>
    <row r="904" ht="14.25" customHeight="1">
      <c r="D904" s="59"/>
      <c r="F904" s="59"/>
      <c r="H904" s="59"/>
      <c r="I904" s="59"/>
      <c r="J904" s="59"/>
    </row>
    <row r="905" ht="14.25" customHeight="1">
      <c r="D905" s="59"/>
      <c r="F905" s="59"/>
      <c r="H905" s="59"/>
      <c r="I905" s="59"/>
      <c r="J905" s="59"/>
    </row>
    <row r="906" ht="14.25" customHeight="1">
      <c r="D906" s="59"/>
      <c r="F906" s="59"/>
      <c r="H906" s="59"/>
      <c r="I906" s="59"/>
      <c r="J906" s="59"/>
    </row>
    <row r="907" ht="14.25" customHeight="1">
      <c r="D907" s="59"/>
      <c r="F907" s="59"/>
      <c r="H907" s="59"/>
      <c r="I907" s="59"/>
      <c r="J907" s="59"/>
    </row>
    <row r="908" ht="14.25" customHeight="1">
      <c r="D908" s="59"/>
      <c r="F908" s="59"/>
      <c r="H908" s="59"/>
      <c r="I908" s="59"/>
      <c r="J908" s="59"/>
    </row>
    <row r="909" ht="14.25" customHeight="1">
      <c r="D909" s="59"/>
      <c r="F909" s="59"/>
      <c r="H909" s="59"/>
      <c r="I909" s="59"/>
      <c r="J909" s="59"/>
    </row>
    <row r="910" ht="14.25" customHeight="1">
      <c r="D910" s="59"/>
      <c r="F910" s="59"/>
      <c r="H910" s="59"/>
      <c r="I910" s="59"/>
      <c r="J910" s="59"/>
    </row>
    <row r="911" ht="14.25" customHeight="1">
      <c r="D911" s="59"/>
      <c r="F911" s="59"/>
      <c r="H911" s="59"/>
      <c r="I911" s="59"/>
      <c r="J911" s="59"/>
    </row>
    <row r="912" ht="14.25" customHeight="1">
      <c r="D912" s="59"/>
      <c r="F912" s="59"/>
      <c r="H912" s="59"/>
      <c r="I912" s="59"/>
      <c r="J912" s="59"/>
    </row>
    <row r="913" ht="14.25" customHeight="1">
      <c r="D913" s="59"/>
      <c r="F913" s="59"/>
      <c r="H913" s="59"/>
      <c r="I913" s="59"/>
      <c r="J913" s="59"/>
    </row>
    <row r="914" ht="14.25" customHeight="1">
      <c r="D914" s="59"/>
      <c r="F914" s="59"/>
      <c r="H914" s="59"/>
      <c r="I914" s="59"/>
      <c r="J914" s="59"/>
    </row>
    <row r="915" ht="14.25" customHeight="1">
      <c r="D915" s="59"/>
      <c r="F915" s="59"/>
      <c r="H915" s="59"/>
      <c r="I915" s="59"/>
      <c r="J915" s="59"/>
    </row>
    <row r="916" ht="14.25" customHeight="1">
      <c r="D916" s="59"/>
      <c r="F916" s="59"/>
      <c r="H916" s="59"/>
      <c r="I916" s="59"/>
      <c r="J916" s="59"/>
    </row>
    <row r="917" ht="14.25" customHeight="1">
      <c r="D917" s="59"/>
      <c r="F917" s="59"/>
      <c r="H917" s="59"/>
      <c r="I917" s="59"/>
      <c r="J917" s="59"/>
    </row>
    <row r="918" ht="14.25" customHeight="1">
      <c r="D918" s="59"/>
      <c r="F918" s="59"/>
      <c r="H918" s="59"/>
      <c r="I918" s="59"/>
      <c r="J918" s="59"/>
    </row>
    <row r="919" ht="14.25" customHeight="1">
      <c r="D919" s="59"/>
      <c r="F919" s="59"/>
      <c r="H919" s="59"/>
      <c r="I919" s="59"/>
      <c r="J919" s="59"/>
    </row>
    <row r="920" ht="14.25" customHeight="1">
      <c r="D920" s="59"/>
      <c r="F920" s="59"/>
      <c r="H920" s="59"/>
      <c r="I920" s="59"/>
      <c r="J920" s="59"/>
    </row>
    <row r="921" ht="14.25" customHeight="1">
      <c r="D921" s="59"/>
      <c r="F921" s="59"/>
      <c r="H921" s="59"/>
      <c r="I921" s="59"/>
      <c r="J921" s="59"/>
    </row>
    <row r="922" ht="14.25" customHeight="1">
      <c r="D922" s="59"/>
      <c r="F922" s="59"/>
      <c r="H922" s="59"/>
      <c r="I922" s="59"/>
      <c r="J922" s="59"/>
    </row>
    <row r="923" ht="14.25" customHeight="1">
      <c r="D923" s="59"/>
      <c r="F923" s="59"/>
      <c r="H923" s="59"/>
      <c r="I923" s="59"/>
      <c r="J923" s="59"/>
    </row>
    <row r="924" ht="14.25" customHeight="1">
      <c r="D924" s="59"/>
      <c r="F924" s="59"/>
      <c r="H924" s="59"/>
      <c r="I924" s="59"/>
      <c r="J924" s="59"/>
    </row>
    <row r="925" ht="14.25" customHeight="1">
      <c r="D925" s="59"/>
      <c r="F925" s="59"/>
      <c r="H925" s="59"/>
      <c r="I925" s="59"/>
      <c r="J925" s="59"/>
    </row>
    <row r="926" ht="14.25" customHeight="1">
      <c r="D926" s="59"/>
      <c r="F926" s="59"/>
      <c r="H926" s="59"/>
      <c r="I926" s="59"/>
      <c r="J926" s="59"/>
    </row>
    <row r="927" ht="14.25" customHeight="1">
      <c r="D927" s="59"/>
      <c r="F927" s="59"/>
      <c r="H927" s="59"/>
      <c r="I927" s="59"/>
      <c r="J927" s="59"/>
    </row>
    <row r="928" ht="14.25" customHeight="1">
      <c r="D928" s="59"/>
      <c r="F928" s="59"/>
      <c r="H928" s="59"/>
      <c r="I928" s="59"/>
      <c r="J928" s="59"/>
    </row>
    <row r="929" ht="14.25" customHeight="1">
      <c r="D929" s="59"/>
      <c r="F929" s="59"/>
      <c r="H929" s="59"/>
      <c r="I929" s="59"/>
      <c r="J929" s="59"/>
    </row>
    <row r="930" ht="14.25" customHeight="1">
      <c r="D930" s="59"/>
      <c r="F930" s="59"/>
      <c r="H930" s="59"/>
      <c r="I930" s="59"/>
      <c r="J930" s="59"/>
    </row>
    <row r="931" ht="14.25" customHeight="1">
      <c r="D931" s="59"/>
      <c r="F931" s="59"/>
      <c r="H931" s="59"/>
      <c r="I931" s="59"/>
      <c r="J931" s="59"/>
    </row>
    <row r="932" ht="14.25" customHeight="1">
      <c r="D932" s="59"/>
      <c r="F932" s="59"/>
      <c r="H932" s="59"/>
      <c r="I932" s="59"/>
      <c r="J932" s="59"/>
    </row>
    <row r="933" ht="14.25" customHeight="1">
      <c r="D933" s="59"/>
      <c r="F933" s="59"/>
      <c r="H933" s="59"/>
      <c r="I933" s="59"/>
      <c r="J933" s="59"/>
    </row>
    <row r="934" ht="14.25" customHeight="1">
      <c r="D934" s="59"/>
      <c r="F934" s="59"/>
      <c r="H934" s="59"/>
      <c r="I934" s="59"/>
      <c r="J934" s="59"/>
    </row>
    <row r="935" ht="14.25" customHeight="1">
      <c r="D935" s="59"/>
      <c r="F935" s="59"/>
      <c r="H935" s="59"/>
      <c r="I935" s="59"/>
      <c r="J935" s="59"/>
    </row>
    <row r="936" ht="14.25" customHeight="1">
      <c r="D936" s="59"/>
      <c r="F936" s="59"/>
      <c r="H936" s="59"/>
      <c r="I936" s="59"/>
      <c r="J936" s="59"/>
    </row>
    <row r="937" ht="14.25" customHeight="1">
      <c r="D937" s="59"/>
      <c r="F937" s="59"/>
      <c r="H937" s="59"/>
      <c r="I937" s="59"/>
      <c r="J937" s="59"/>
    </row>
    <row r="938" ht="14.25" customHeight="1">
      <c r="D938" s="59"/>
      <c r="F938" s="59"/>
      <c r="H938" s="59"/>
      <c r="I938" s="59"/>
      <c r="J938" s="59"/>
    </row>
    <row r="939" ht="14.25" customHeight="1">
      <c r="D939" s="59"/>
      <c r="F939" s="59"/>
      <c r="H939" s="59"/>
      <c r="I939" s="59"/>
      <c r="J939" s="59"/>
    </row>
    <row r="940" ht="14.25" customHeight="1">
      <c r="D940" s="59"/>
      <c r="F940" s="59"/>
      <c r="H940" s="59"/>
      <c r="I940" s="59"/>
      <c r="J940" s="59"/>
    </row>
    <row r="941" ht="14.25" customHeight="1">
      <c r="D941" s="59"/>
      <c r="F941" s="59"/>
      <c r="H941" s="59"/>
      <c r="I941" s="59"/>
      <c r="J941" s="59"/>
    </row>
    <row r="942" ht="14.25" customHeight="1">
      <c r="D942" s="59"/>
      <c r="F942" s="59"/>
      <c r="H942" s="59"/>
      <c r="I942" s="59"/>
      <c r="J942" s="59"/>
    </row>
    <row r="943" ht="14.25" customHeight="1">
      <c r="D943" s="59"/>
      <c r="F943" s="59"/>
      <c r="H943" s="59"/>
      <c r="I943" s="59"/>
      <c r="J943" s="59"/>
    </row>
    <row r="944" ht="14.25" customHeight="1">
      <c r="D944" s="59"/>
      <c r="F944" s="59"/>
      <c r="H944" s="59"/>
      <c r="I944" s="59"/>
      <c r="J944" s="59"/>
    </row>
    <row r="945" ht="14.25" customHeight="1">
      <c r="D945" s="59"/>
      <c r="F945" s="59"/>
      <c r="H945" s="59"/>
      <c r="I945" s="59"/>
      <c r="J945" s="59"/>
    </row>
    <row r="946" ht="14.25" customHeight="1">
      <c r="D946" s="59"/>
      <c r="F946" s="59"/>
      <c r="H946" s="59"/>
      <c r="I946" s="59"/>
      <c r="J946" s="59"/>
    </row>
    <row r="947" ht="14.25" customHeight="1">
      <c r="D947" s="59"/>
      <c r="F947" s="59"/>
      <c r="H947" s="59"/>
      <c r="I947" s="59"/>
      <c r="J947" s="59"/>
    </row>
    <row r="948" ht="14.25" customHeight="1">
      <c r="D948" s="59"/>
      <c r="F948" s="59"/>
      <c r="H948" s="59"/>
      <c r="I948" s="59"/>
      <c r="J948" s="59"/>
    </row>
    <row r="949" ht="14.25" customHeight="1">
      <c r="D949" s="59"/>
      <c r="F949" s="59"/>
      <c r="H949" s="59"/>
      <c r="I949" s="59"/>
      <c r="J949" s="59"/>
    </row>
    <row r="950" ht="14.25" customHeight="1">
      <c r="D950" s="59"/>
      <c r="F950" s="59"/>
      <c r="H950" s="59"/>
      <c r="I950" s="59"/>
      <c r="J950" s="59"/>
    </row>
    <row r="951" ht="14.25" customHeight="1">
      <c r="D951" s="59"/>
      <c r="F951" s="59"/>
      <c r="H951" s="59"/>
      <c r="I951" s="59"/>
      <c r="J951" s="59"/>
    </row>
    <row r="952" ht="14.25" customHeight="1">
      <c r="D952" s="59"/>
      <c r="F952" s="59"/>
      <c r="H952" s="59"/>
      <c r="I952" s="59"/>
      <c r="J952" s="59"/>
    </row>
    <row r="953" ht="14.25" customHeight="1">
      <c r="D953" s="59"/>
      <c r="F953" s="59"/>
      <c r="H953" s="59"/>
      <c r="I953" s="59"/>
      <c r="J953" s="59"/>
    </row>
    <row r="954" ht="14.25" customHeight="1">
      <c r="D954" s="59"/>
      <c r="F954" s="59"/>
      <c r="H954" s="59"/>
      <c r="I954" s="59"/>
      <c r="J954" s="59"/>
    </row>
    <row r="955" ht="14.25" customHeight="1">
      <c r="D955" s="59"/>
      <c r="F955" s="59"/>
      <c r="H955" s="59"/>
      <c r="I955" s="59"/>
      <c r="J955" s="59"/>
    </row>
    <row r="956" ht="14.25" customHeight="1">
      <c r="D956" s="59"/>
      <c r="F956" s="59"/>
      <c r="H956" s="59"/>
      <c r="I956" s="59"/>
      <c r="J956" s="59"/>
    </row>
    <row r="957" ht="14.25" customHeight="1">
      <c r="D957" s="59"/>
      <c r="F957" s="59"/>
      <c r="H957" s="59"/>
      <c r="I957" s="59"/>
      <c r="J957" s="59"/>
    </row>
    <row r="958" ht="14.25" customHeight="1">
      <c r="D958" s="59"/>
      <c r="F958" s="59"/>
      <c r="H958" s="59"/>
      <c r="I958" s="59"/>
      <c r="J958" s="59"/>
    </row>
    <row r="959" ht="14.25" customHeight="1">
      <c r="D959" s="59"/>
      <c r="F959" s="59"/>
      <c r="H959" s="59"/>
      <c r="I959" s="59"/>
      <c r="J959" s="59"/>
    </row>
    <row r="960" ht="14.25" customHeight="1">
      <c r="D960" s="59"/>
      <c r="F960" s="59"/>
      <c r="H960" s="59"/>
      <c r="I960" s="59"/>
      <c r="J960" s="59"/>
    </row>
    <row r="961" ht="14.25" customHeight="1">
      <c r="D961" s="59"/>
      <c r="F961" s="59"/>
      <c r="H961" s="59"/>
      <c r="I961" s="59"/>
      <c r="J961" s="59"/>
    </row>
    <row r="962" ht="14.25" customHeight="1">
      <c r="D962" s="59"/>
      <c r="F962" s="59"/>
      <c r="H962" s="59"/>
      <c r="I962" s="59"/>
      <c r="J962" s="59"/>
    </row>
    <row r="963" ht="14.25" customHeight="1">
      <c r="D963" s="59"/>
      <c r="F963" s="59"/>
      <c r="H963" s="59"/>
      <c r="I963" s="59"/>
      <c r="J963" s="59"/>
    </row>
    <row r="964" ht="14.25" customHeight="1">
      <c r="D964" s="59"/>
      <c r="F964" s="59"/>
      <c r="H964" s="59"/>
      <c r="I964" s="59"/>
      <c r="J964" s="59"/>
    </row>
    <row r="965" ht="14.25" customHeight="1">
      <c r="D965" s="59"/>
      <c r="F965" s="59"/>
      <c r="H965" s="59"/>
      <c r="I965" s="59"/>
      <c r="J965" s="59"/>
    </row>
    <row r="966" ht="14.25" customHeight="1">
      <c r="D966" s="59"/>
      <c r="F966" s="59"/>
      <c r="H966" s="59"/>
      <c r="I966" s="59"/>
      <c r="J966" s="59"/>
    </row>
    <row r="967" ht="14.25" customHeight="1">
      <c r="D967" s="59"/>
      <c r="F967" s="59"/>
      <c r="H967" s="59"/>
      <c r="I967" s="59"/>
      <c r="J967" s="59"/>
    </row>
    <row r="968" ht="14.25" customHeight="1">
      <c r="D968" s="59"/>
      <c r="F968" s="59"/>
      <c r="H968" s="59"/>
      <c r="I968" s="59"/>
      <c r="J968" s="59"/>
    </row>
    <row r="969" ht="14.25" customHeight="1">
      <c r="D969" s="59"/>
      <c r="F969" s="59"/>
      <c r="H969" s="59"/>
      <c r="I969" s="59"/>
      <c r="J969" s="59"/>
    </row>
    <row r="970" ht="14.25" customHeight="1">
      <c r="D970" s="59"/>
      <c r="F970" s="59"/>
      <c r="H970" s="59"/>
      <c r="I970" s="59"/>
      <c r="J970" s="59"/>
    </row>
    <row r="971" ht="14.25" customHeight="1">
      <c r="D971" s="59"/>
      <c r="F971" s="59"/>
      <c r="H971" s="59"/>
      <c r="I971" s="59"/>
      <c r="J971" s="59"/>
    </row>
    <row r="972" ht="14.25" customHeight="1">
      <c r="D972" s="59"/>
      <c r="F972" s="59"/>
      <c r="H972" s="59"/>
      <c r="I972" s="59"/>
      <c r="J972" s="59"/>
    </row>
    <row r="973" ht="14.25" customHeight="1">
      <c r="D973" s="59"/>
      <c r="F973" s="59"/>
      <c r="H973" s="59"/>
      <c r="I973" s="59"/>
      <c r="J973" s="59"/>
    </row>
    <row r="974" ht="14.25" customHeight="1">
      <c r="D974" s="59"/>
      <c r="F974" s="59"/>
      <c r="H974" s="59"/>
      <c r="I974" s="59"/>
      <c r="J974" s="59"/>
    </row>
    <row r="975" ht="14.25" customHeight="1">
      <c r="D975" s="59"/>
      <c r="F975" s="59"/>
      <c r="H975" s="59"/>
      <c r="I975" s="59"/>
      <c r="J975" s="59"/>
    </row>
    <row r="976" ht="14.25" customHeight="1">
      <c r="D976" s="59"/>
      <c r="F976" s="59"/>
      <c r="H976" s="59"/>
      <c r="I976" s="59"/>
      <c r="J976" s="59"/>
    </row>
    <row r="977" ht="14.25" customHeight="1">
      <c r="D977" s="59"/>
      <c r="F977" s="59"/>
      <c r="H977" s="59"/>
      <c r="I977" s="59"/>
      <c r="J977" s="59"/>
    </row>
    <row r="978" ht="14.25" customHeight="1">
      <c r="D978" s="59"/>
      <c r="F978" s="59"/>
      <c r="H978" s="59"/>
      <c r="I978" s="59"/>
      <c r="J978" s="59"/>
    </row>
    <row r="979" ht="14.25" customHeight="1">
      <c r="D979" s="59"/>
      <c r="F979" s="59"/>
      <c r="H979" s="59"/>
      <c r="I979" s="59"/>
      <c r="J979" s="59"/>
    </row>
    <row r="980" ht="14.25" customHeight="1">
      <c r="D980" s="59"/>
      <c r="F980" s="59"/>
      <c r="H980" s="59"/>
      <c r="I980" s="59"/>
      <c r="J980" s="59"/>
    </row>
    <row r="981" ht="14.25" customHeight="1">
      <c r="D981" s="59"/>
      <c r="F981" s="59"/>
      <c r="H981" s="59"/>
      <c r="I981" s="59"/>
      <c r="J981" s="59"/>
    </row>
    <row r="982" ht="14.25" customHeight="1">
      <c r="D982" s="59"/>
      <c r="F982" s="59"/>
      <c r="H982" s="59"/>
      <c r="I982" s="59"/>
      <c r="J982" s="59"/>
    </row>
    <row r="983" ht="14.25" customHeight="1">
      <c r="D983" s="59"/>
      <c r="F983" s="59"/>
      <c r="H983" s="59"/>
      <c r="I983" s="59"/>
      <c r="J983" s="59"/>
    </row>
    <row r="984" ht="14.25" customHeight="1">
      <c r="D984" s="59"/>
      <c r="F984" s="59"/>
      <c r="H984" s="59"/>
      <c r="I984" s="59"/>
      <c r="J984" s="59"/>
    </row>
    <row r="985" ht="14.25" customHeight="1">
      <c r="D985" s="59"/>
      <c r="F985" s="59"/>
      <c r="H985" s="59"/>
      <c r="I985" s="59"/>
      <c r="J985" s="59"/>
    </row>
    <row r="986" ht="14.25" customHeight="1">
      <c r="D986" s="59"/>
      <c r="F986" s="59"/>
      <c r="H986" s="59"/>
      <c r="I986" s="59"/>
      <c r="J986" s="59"/>
    </row>
    <row r="987" ht="14.25" customHeight="1">
      <c r="D987" s="59"/>
      <c r="F987" s="59"/>
      <c r="H987" s="59"/>
      <c r="I987" s="59"/>
      <c r="J987" s="59"/>
    </row>
    <row r="988" ht="14.25" customHeight="1">
      <c r="D988" s="59"/>
      <c r="F988" s="59"/>
      <c r="H988" s="59"/>
      <c r="I988" s="59"/>
      <c r="J988" s="59"/>
    </row>
    <row r="989" ht="14.25" customHeight="1">
      <c r="D989" s="59"/>
      <c r="F989" s="59"/>
      <c r="H989" s="59"/>
      <c r="I989" s="59"/>
      <c r="J989" s="59"/>
    </row>
    <row r="990" ht="14.25" customHeight="1">
      <c r="D990" s="59"/>
      <c r="F990" s="59"/>
      <c r="H990" s="59"/>
      <c r="I990" s="59"/>
      <c r="J990" s="59"/>
    </row>
    <row r="991" ht="14.25" customHeight="1">
      <c r="D991" s="59"/>
      <c r="F991" s="59"/>
      <c r="H991" s="59"/>
      <c r="I991" s="59"/>
      <c r="J991" s="59"/>
    </row>
    <row r="992" ht="14.25" customHeight="1">
      <c r="D992" s="59"/>
      <c r="F992" s="59"/>
      <c r="H992" s="59"/>
      <c r="I992" s="59"/>
      <c r="J992" s="59"/>
    </row>
    <row r="993" ht="14.25" customHeight="1">
      <c r="D993" s="59"/>
      <c r="F993" s="59"/>
      <c r="H993" s="59"/>
      <c r="I993" s="59"/>
      <c r="J993" s="59"/>
    </row>
    <row r="994" ht="14.25" customHeight="1">
      <c r="D994" s="59"/>
      <c r="F994" s="59"/>
      <c r="H994" s="59"/>
      <c r="I994" s="59"/>
      <c r="J994" s="59"/>
    </row>
    <row r="995" ht="14.25" customHeight="1">
      <c r="D995" s="59"/>
      <c r="F995" s="59"/>
      <c r="H995" s="59"/>
      <c r="I995" s="59"/>
      <c r="J995" s="59"/>
    </row>
    <row r="996" ht="14.25" customHeight="1">
      <c r="D996" s="59"/>
      <c r="F996" s="59"/>
      <c r="H996" s="59"/>
      <c r="I996" s="59"/>
      <c r="J996" s="59"/>
    </row>
    <row r="997" ht="14.25" customHeight="1">
      <c r="D997" s="59"/>
      <c r="F997" s="59"/>
      <c r="H997" s="59"/>
      <c r="I997" s="59"/>
      <c r="J997" s="59"/>
    </row>
    <row r="998" ht="14.25" customHeight="1">
      <c r="D998" s="59"/>
      <c r="F998" s="59"/>
      <c r="H998" s="59"/>
      <c r="I998" s="59"/>
      <c r="J998" s="59"/>
    </row>
  </sheetData>
  <autoFilter ref="$A$3:$T$102"/>
  <mergeCells count="2">
    <mergeCell ref="A1:O1"/>
    <mergeCell ref="A2:O2"/>
  </mergeCells>
  <dataValidations>
    <dataValidation type="list" allowBlank="1" sqref="D4:D998">
      <formula1>MasterData!$B$4:$B$1000</formula1>
    </dataValidation>
    <dataValidation type="list" allowBlank="1" sqref="F4:F998">
      <formula1>$Q$4:$Q$501</formula1>
    </dataValidation>
    <dataValidation type="list" allowBlank="1" showErrorMessage="1" sqref="I4:I998">
      <formula1>"Sent to Client,Interview Scheduled,Result Awaited,Selected,Rejected,Hold,Offer Sent,Offer Accepted,Joined,Candidate Dropped"</formula1>
    </dataValidation>
    <dataValidation type="list" allowBlank="1" showErrorMessage="1" sqref="H4:H998">
      <formula1>"Delhi,Gujarat,Hyderabad,Jaipur,Mumbai,Other,Pune,Goa,Bangalore,Ahmedabad"</formula1>
    </dataValidation>
    <dataValidation type="list" allowBlank="1" showErrorMessage="1" sqref="J4:J998">
      <formula1>"Aakash,Edwin,Hardik,Manokamna,Mohit"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F6A00"/>
    <pageSetUpPr/>
  </sheetPr>
  <sheetViews>
    <sheetView showGridLines="0" workbookViewId="0"/>
  </sheetViews>
  <sheetFormatPr customHeight="1" defaultColWidth="14.43" defaultRowHeight="15.0"/>
  <cols>
    <col customWidth="1" min="1" max="8" width="19.0"/>
    <col customWidth="1" min="9" max="26" width="8.71"/>
  </cols>
  <sheetData>
    <row r="1" ht="31.5" customHeight="1">
      <c r="A1" s="100" t="s">
        <v>1003</v>
      </c>
      <c r="B1" s="101"/>
      <c r="C1" s="101"/>
      <c r="D1" s="101"/>
      <c r="E1" s="101"/>
      <c r="F1" s="101"/>
      <c r="G1" s="101"/>
      <c r="H1" s="102"/>
    </row>
    <row r="2" ht="14.25" customHeight="1"/>
    <row r="3" ht="19.5" customHeight="1">
      <c r="A3" s="103" t="s">
        <v>1004</v>
      </c>
      <c r="B3" s="104"/>
      <c r="C3" s="104"/>
      <c r="D3" s="104"/>
      <c r="E3" s="104"/>
      <c r="F3" s="104"/>
      <c r="G3" s="104"/>
      <c r="H3" s="105"/>
    </row>
    <row r="4" ht="25.5" customHeight="1">
      <c r="A4" s="106" t="s">
        <v>1005</v>
      </c>
      <c r="B4" s="107" t="s">
        <v>1006</v>
      </c>
      <c r="C4" s="108" t="s">
        <v>1007</v>
      </c>
      <c r="D4" s="109" t="s">
        <v>1008</v>
      </c>
      <c r="E4" s="107" t="s">
        <v>17</v>
      </c>
      <c r="F4" s="108" t="s">
        <v>1009</v>
      </c>
      <c r="G4" s="110" t="s">
        <v>84</v>
      </c>
      <c r="H4" s="109" t="s">
        <v>78</v>
      </c>
    </row>
    <row r="5" ht="43.5" customHeight="1">
      <c r="A5" s="111">
        <f>COUNTIF('Open Positions'!K:K,"Open")</f>
        <v>101</v>
      </c>
      <c r="B5" s="112">
        <f>SUMIF('Open Positions'!K:K,"Open",'Open Positions'!J:J)</f>
        <v>383</v>
      </c>
      <c r="C5" s="113">
        <f>SUMIF('Open Positions'!K:K,"Open",'Open Positions'!N:N)</f>
        <v>5</v>
      </c>
      <c r="D5" s="114">
        <f>COUNTA('Candidate Pipeline'!C4:C998)-COUNTIF('Candidate Pipeline'!I4:I998,"Joined")-COUNTIF('Candidate Pipeline'!I4:I998,"Candidate Dropped")</f>
        <v>202</v>
      </c>
      <c r="E5" s="112">
        <f>COUNTIF('Candidate Pipeline'!I:I,"Sent to Client")</f>
        <v>34</v>
      </c>
      <c r="F5" s="113">
        <f>COUNTIF('Candidate Pipeline'!I:I,"Offer Accepted")</f>
        <v>11</v>
      </c>
      <c r="G5" s="115">
        <f>COUNTIF('Candidate Pipeline'!I:I,"Candidate Dropped")</f>
        <v>65</v>
      </c>
      <c r="H5" s="114">
        <f>COUNTIF('Candidate Pipeline'!I:I,"Joined")</f>
        <v>13</v>
      </c>
    </row>
    <row r="6" ht="7.5" customHeight="1"/>
    <row r="7" ht="21.75" customHeight="1">
      <c r="A7" s="116" t="s">
        <v>1010</v>
      </c>
      <c r="B7" s="101"/>
      <c r="C7" s="102"/>
      <c r="E7" s="116" t="s">
        <v>1011</v>
      </c>
      <c r="F7" s="101"/>
      <c r="G7" s="101"/>
      <c r="H7" s="102"/>
    </row>
    <row r="8" ht="21.75" customHeight="1">
      <c r="A8" s="117" t="s">
        <v>459</v>
      </c>
      <c r="B8" s="117" t="s">
        <v>1012</v>
      </c>
      <c r="C8" s="117" t="s">
        <v>1013</v>
      </c>
      <c r="E8" s="118" t="s">
        <v>1014</v>
      </c>
      <c r="F8" s="118" t="s">
        <v>1015</v>
      </c>
      <c r="G8" s="118" t="s">
        <v>1016</v>
      </c>
      <c r="H8" s="118" t="s">
        <v>78</v>
      </c>
    </row>
    <row r="9" ht="18.0" customHeight="1">
      <c r="A9" s="119" t="s">
        <v>17</v>
      </c>
      <c r="B9" s="120">
        <f>COUNTIF('Candidate Pipeline'!I:I,"Sent to Client")</f>
        <v>34</v>
      </c>
      <c r="C9" s="121">
        <f>IFERROR(COUNTIF('Candidate Pipeline'!I:I,"Sent to Client")/COUNTA('Candidate Pipeline'!C4:C998),0)</f>
        <v>0.1214285714</v>
      </c>
      <c r="E9" s="119" t="s">
        <v>19</v>
      </c>
      <c r="F9" s="120">
        <f>SUMIFS('Open Positions'!J:J,'Open Positions'!I:I,"Edwin",'Open Positions'!K:K,"Open")</f>
        <v>62</v>
      </c>
      <c r="G9" s="120">
        <f>COUNTIFS('Candidate Pipeline'!J:J,"Edwin",'Candidate Pipeline'!I:I,"&lt;&gt;Joined",'Candidate Pipeline'!I:I,"&lt;&gt;Candidate Dropped")</f>
        <v>16</v>
      </c>
      <c r="H9" s="120">
        <f>COUNTIFS('Candidate Pipeline'!J:J,"Edwin",'Candidate Pipeline'!I:I,"Joined")</f>
        <v>1</v>
      </c>
    </row>
    <row r="10" ht="18.0" customHeight="1">
      <c r="A10" s="122" t="s">
        <v>26</v>
      </c>
      <c r="B10" s="123">
        <f>COUNTIF('Candidate Pipeline'!I:I,"Interview Scheduled")</f>
        <v>88</v>
      </c>
      <c r="C10" s="124">
        <f>IFERROR(COUNTIF('Candidate Pipeline'!I:I,"Interview Scheduled")/COUNTA('Candidate Pipeline'!C4:C998),0)</f>
        <v>0.3142857143</v>
      </c>
      <c r="E10" s="125" t="s">
        <v>28</v>
      </c>
      <c r="F10" s="126">
        <f>SUMIFS('Open Positions'!J:J,'Open Positions'!I:I,"Manokamna",'Open Positions'!K:K,"Open")</f>
        <v>54</v>
      </c>
      <c r="G10" s="126">
        <f>COUNTIFS('Candidate Pipeline'!J:J,"Manokamna",'Candidate Pipeline'!I:I,"&lt;&gt;Joined",'Candidate Pipeline'!I:I,"&lt;&gt;Candidate Dropped")</f>
        <v>2</v>
      </c>
      <c r="H10" s="126">
        <f>COUNTIFS('Candidate Pipeline'!J:J,"Manokamna",'Candidate Pipeline'!I:I,"Joined")</f>
        <v>0</v>
      </c>
    </row>
    <row r="11" ht="18.0" customHeight="1">
      <c r="A11" s="119" t="s">
        <v>35</v>
      </c>
      <c r="B11" s="120">
        <f>COUNTIF('Candidate Pipeline'!I:I,"Result Awaited")</f>
        <v>9</v>
      </c>
      <c r="C11" s="121">
        <f>IFERROR(COUNTIF('Candidate Pipeline'!I:I,"Result Awaited")/COUNTA('Candidate Pipeline'!C4:C998),0)</f>
        <v>0.03214285714</v>
      </c>
      <c r="E11" s="119" t="s">
        <v>37</v>
      </c>
      <c r="F11" s="120">
        <f>SUMIFS('Open Positions'!J:J,'Open Positions'!I:I,"Hardik",'Open Positions'!K:K,"Open")</f>
        <v>17</v>
      </c>
      <c r="G11" s="120">
        <f>COUNTIFS('Candidate Pipeline'!J:J,"Hardik",'Candidate Pipeline'!I:I,"&lt;&gt;Joined",'Candidate Pipeline'!I:I,"&lt;&gt;Candidate Dropped")</f>
        <v>30</v>
      </c>
      <c r="H11" s="120">
        <f>COUNTIFS('Candidate Pipeline'!J:J,"Hardik",'Candidate Pipeline'!I:I,"Joined")</f>
        <v>2</v>
      </c>
    </row>
    <row r="12" ht="18.0" customHeight="1">
      <c r="A12" s="122" t="s">
        <v>44</v>
      </c>
      <c r="B12" s="123">
        <f>COUNTIF('Candidate Pipeline'!I:I,"Selected")</f>
        <v>20</v>
      </c>
      <c r="C12" s="124">
        <f>IFERROR(COUNTIF('Candidate Pipeline'!I:I,"Selected")/COUNTA('Candidate Pipeline'!C4:C998),0)</f>
        <v>0.07142857143</v>
      </c>
      <c r="E12" s="125" t="s">
        <v>46</v>
      </c>
      <c r="F12" s="126">
        <f>SUMIFS('Open Positions'!J:J,'Open Positions'!I:I,"Mohit",'Open Positions'!K:K,"Open")</f>
        <v>177</v>
      </c>
      <c r="G12" s="126">
        <f>COUNTIFS('Candidate Pipeline'!J:J,"Mohit",'Candidate Pipeline'!I:I,"&lt;&gt;Joined",'Candidate Pipeline'!I:I,"&lt;&gt;Candidate Dropped")</f>
        <v>63</v>
      </c>
      <c r="H12" s="126">
        <f>COUNTIFS('Candidate Pipeline'!J:J,"Mohit",'Candidate Pipeline'!I:I,"Joined")</f>
        <v>4</v>
      </c>
    </row>
    <row r="13" ht="18.0" customHeight="1">
      <c r="A13" s="119" t="s">
        <v>53</v>
      </c>
      <c r="B13" s="120">
        <f>COUNTIF('Candidate Pipeline'!I:I,"Rejected")</f>
        <v>34</v>
      </c>
      <c r="C13" s="121">
        <f>IFERROR(COUNTIF('Candidate Pipeline'!I:I,"Rejected")/COUNTA('Candidate Pipeline'!C4:C998),0)</f>
        <v>0.1214285714</v>
      </c>
      <c r="E13" s="119" t="s">
        <v>54</v>
      </c>
      <c r="F13" s="120">
        <f>SUMIFS('Open Positions'!J:J,'Open Positions'!I:I,"Aakash",'Open Positions'!K:K,"Open")</f>
        <v>73</v>
      </c>
      <c r="G13" s="120">
        <f>COUNTIFS('Candidate Pipeline'!J:J,"Aakash",'Candidate Pipeline'!I:I,"&lt;&gt;Joined",'Candidate Pipeline'!I:I,"&lt;&gt;Candidate Dropped")</f>
        <v>91</v>
      </c>
      <c r="H13" s="120">
        <f>COUNTIFS('Candidate Pipeline'!J:J,"Aakash",'Candidate Pipeline'!I:I,"Joined")</f>
        <v>6</v>
      </c>
    </row>
    <row r="14" ht="18.0" customHeight="1">
      <c r="A14" s="122" t="s">
        <v>60</v>
      </c>
      <c r="B14" s="123">
        <f>COUNTIF('Candidate Pipeline'!I:I,"Hold")</f>
        <v>7</v>
      </c>
      <c r="C14" s="124">
        <f>IFERROR(COUNTIF('Candidate Pipeline'!I:I,"Hold")/COUNTA('Candidate Pipeline'!C4:C998),0)</f>
        <v>0.025</v>
      </c>
    </row>
    <row r="15" ht="18.0" customHeight="1">
      <c r="A15" s="119" t="s">
        <v>66</v>
      </c>
      <c r="B15" s="120">
        <f>COUNTIF('Candidate Pipeline'!I:I,"Offer Sent")</f>
        <v>0</v>
      </c>
      <c r="C15" s="121">
        <f>IFERROR(COUNTIF('Candidate Pipeline'!I:I,"Offer Sent")/COUNTA('Candidate Pipeline'!C4:C998),0)</f>
        <v>0</v>
      </c>
    </row>
    <row r="16" ht="18.0" customHeight="1">
      <c r="A16" s="122" t="s">
        <v>72</v>
      </c>
      <c r="B16" s="123">
        <f>COUNTIF('Candidate Pipeline'!I:I,"Offer Accepted")</f>
        <v>11</v>
      </c>
      <c r="C16" s="124">
        <f>IFERROR(COUNTIF('Candidate Pipeline'!I:I,"Offer Accepted")/COUNTA('Candidate Pipeline'!C4:C998),0)</f>
        <v>0.03928571429</v>
      </c>
    </row>
    <row r="17" ht="18.0" customHeight="1">
      <c r="A17" s="119" t="s">
        <v>78</v>
      </c>
      <c r="B17" s="120">
        <f>COUNTIF('Candidate Pipeline'!I:I,"Joined")</f>
        <v>13</v>
      </c>
      <c r="C17" s="121">
        <f>IFERROR(COUNTIF('Candidate Pipeline'!I:I,"Joined")/COUNTA('Candidate Pipeline'!C4:C998),0)</f>
        <v>0.04642857143</v>
      </c>
    </row>
    <row r="18" ht="18.0" customHeight="1">
      <c r="A18" s="122" t="s">
        <v>84</v>
      </c>
      <c r="B18" s="123">
        <f>COUNTIF('Candidate Pipeline'!I:I,"Candidate Dropped")</f>
        <v>65</v>
      </c>
      <c r="C18" s="124">
        <f>IFERROR(COUNTIF('Candidate Pipeline'!I:I,"Candidate Dropped")/COUNTA('Candidate Pipeline'!C4:C998),0)</f>
        <v>0.2321428571</v>
      </c>
    </row>
    <row r="19" ht="7.5" customHeight="1"/>
    <row r="20" ht="21.75" customHeight="1">
      <c r="A20" s="116" t="s">
        <v>1017</v>
      </c>
      <c r="B20" s="101"/>
      <c r="C20" s="101"/>
      <c r="D20" s="101"/>
      <c r="E20" s="101"/>
      <c r="F20" s="101"/>
      <c r="G20" s="101"/>
      <c r="H20" s="102"/>
    </row>
    <row r="21" ht="15.75" customHeight="1">
      <c r="A21" s="127" t="s">
        <v>1018</v>
      </c>
      <c r="B21" s="128"/>
      <c r="C21" s="128"/>
      <c r="D21" s="128"/>
      <c r="E21" s="128"/>
      <c r="F21" s="128"/>
      <c r="G21" s="128"/>
      <c r="H21" s="129"/>
    </row>
    <row r="22" ht="21.75" customHeight="1">
      <c r="A22" s="130" t="s">
        <v>3</v>
      </c>
      <c r="B22" s="130" t="s">
        <v>2</v>
      </c>
      <c r="C22" s="130" t="s">
        <v>1005</v>
      </c>
      <c r="D22" s="130" t="s">
        <v>1019</v>
      </c>
      <c r="E22" s="130" t="s">
        <v>329</v>
      </c>
      <c r="F22" s="130" t="s">
        <v>330</v>
      </c>
      <c r="G22" s="130" t="s">
        <v>1016</v>
      </c>
      <c r="H22" s="130" t="s">
        <v>78</v>
      </c>
    </row>
    <row r="23" ht="18.0" customHeight="1">
      <c r="A23" s="131" t="s">
        <v>12</v>
      </c>
      <c r="B23" s="131" t="str">
        <f t="array" ref="B23">IF(A23="","",IFERROR(INDEX(MasterData!$A$4:$A$500,MATCH(A23,MasterData!$B$4:$B$500,0)),""))</f>
        <v>CLI-001</v>
      </c>
      <c r="C23" s="131">
        <f>IF(A23="","",COUNTIFS('Open Positions'!B:B,A23,'Open Positions'!K:K,"Open"))</f>
        <v>13</v>
      </c>
      <c r="D23" s="131">
        <f>IF(A23="","",SUMIFS('Open Positions'!J:J,'Open Positions'!B:B,A23,'Open Positions'!K:K,"Open"))</f>
        <v>54</v>
      </c>
      <c r="E23" s="131">
        <f>IF(A23="","",SUMIFS('Open Positions'!N:N,'Open Positions'!B:B,A23,'Open Positions'!K:K,"Open"))</f>
        <v>0</v>
      </c>
      <c r="F23" s="131">
        <f>IF(A23="","",SUMIFS('Open Positions'!O:O,'Open Positions'!B:B,A23,'Open Positions'!K:K,"Open"))</f>
        <v>16</v>
      </c>
      <c r="G23" s="131">
        <f>IF(A23="","",COUNTIFS('Candidate Pipeline'!D:D,A23,'Candidate Pipeline'!I:I,"&lt;&gt;Joined",'Candidate Pipeline'!I:I,"&lt;&gt;Candidate Dropped"))</f>
        <v>29</v>
      </c>
      <c r="H23" s="131">
        <f>IF(A23="","",COUNTIFS('Candidate Pipeline'!D:D,A23,'Candidate Pipeline'!I:I,"Joined"))</f>
        <v>1</v>
      </c>
    </row>
    <row r="24" ht="18.0" customHeight="1">
      <c r="A24" s="132" t="s">
        <v>21</v>
      </c>
      <c r="B24" s="132" t="str">
        <f t="array" ref="B24">IF(A24="","",IFERROR(INDEX(MasterData!$A$4:$A$500,MATCH(A24,MasterData!$B$4:$B$500,0)),""))</f>
        <v>CLI-002</v>
      </c>
      <c r="C24" s="132">
        <f>IF(A24="","",COUNTIFS('Open Positions'!B:B,A24,'Open Positions'!K:K,"Open"))</f>
        <v>0</v>
      </c>
      <c r="D24" s="132">
        <f>IF(A24="","",SUMIFS('Open Positions'!J:J,'Open Positions'!B:B,A24,'Open Positions'!K:K,"Open"))</f>
        <v>0</v>
      </c>
      <c r="E24" s="132">
        <f>IF(A24="","",SUMIFS('Open Positions'!N:N,'Open Positions'!B:B,A24,'Open Positions'!K:K,"Open"))</f>
        <v>0</v>
      </c>
      <c r="F24" s="132">
        <f>IF(A24="","",SUMIFS('Open Positions'!O:O,'Open Positions'!B:B,A24,'Open Positions'!K:K,"Open"))</f>
        <v>0</v>
      </c>
      <c r="G24" s="131">
        <f>IF(A24="","",COUNTIFS('Candidate Pipeline'!D:D,A24,'Candidate Pipeline'!I:I,"&lt;&gt;Joined",'Candidate Pipeline'!I:I,"&lt;&gt;Candidate Dropped"))</f>
        <v>0</v>
      </c>
      <c r="H24" s="132">
        <f>IF(A24="","",COUNTIFS('Candidate Pipeline'!D:D,A24,'Candidate Pipeline'!I:I,"Joined"))</f>
        <v>0</v>
      </c>
    </row>
    <row r="25" ht="18.0" customHeight="1">
      <c r="A25" s="131" t="s">
        <v>30</v>
      </c>
      <c r="B25" s="131" t="str">
        <f t="array" ref="B25">IF(A25="","",IFERROR(INDEX(MasterData!$A$4:$A$500,MATCH(A25,MasterData!$B$4:$B$500,0)),""))</f>
        <v>CLI-003</v>
      </c>
      <c r="C25" s="131">
        <f>IF(A25="","",COUNTIFS('Open Positions'!B:B,A25,'Open Positions'!K:K,"Open"))</f>
        <v>0</v>
      </c>
      <c r="D25" s="131">
        <f>IF(A25="","",SUMIFS('Open Positions'!J:J,'Open Positions'!B:B,A25,'Open Positions'!K:K,"Open"))</f>
        <v>0</v>
      </c>
      <c r="E25" s="131">
        <f>IF(A25="","",SUMIFS('Open Positions'!N:N,'Open Positions'!B:B,A25,'Open Positions'!K:K,"Open"))</f>
        <v>0</v>
      </c>
      <c r="F25" s="131">
        <f>IF(A25="","",SUMIFS('Open Positions'!O:O,'Open Positions'!B:B,A25,'Open Positions'!K:K,"Open"))</f>
        <v>0</v>
      </c>
      <c r="G25" s="131">
        <f>IF(A25="","",COUNTIFS('Candidate Pipeline'!D:D,A25,'Candidate Pipeline'!I:I,"&lt;&gt;Joined",'Candidate Pipeline'!I:I,"&lt;&gt;Candidate Dropped"))</f>
        <v>0</v>
      </c>
      <c r="H25" s="131">
        <f>IF(A25="","",COUNTIFS('Candidate Pipeline'!D:D,A25,'Candidate Pipeline'!I:I,"Joined"))</f>
        <v>0</v>
      </c>
    </row>
    <row r="26" ht="18.0" customHeight="1">
      <c r="A26" s="132" t="s">
        <v>39</v>
      </c>
      <c r="B26" s="132" t="str">
        <f t="array" ref="B26">IF(A26="","",IFERROR(INDEX(MasterData!$A$4:$A$500,MATCH(A26,MasterData!$B$4:$B$500,0)),""))</f>
        <v>CLI-004</v>
      </c>
      <c r="C26" s="132">
        <f>IF(A26="","",COUNTIFS('Open Positions'!B:B,A26,'Open Positions'!K:K,"Open"))</f>
        <v>0</v>
      </c>
      <c r="D26" s="132">
        <f>IF(A26="","",SUMIFS('Open Positions'!J:J,'Open Positions'!B:B,A26,'Open Positions'!K:K,"Open"))</f>
        <v>0</v>
      </c>
      <c r="E26" s="132">
        <f>IF(A26="","",SUMIFS('Open Positions'!N:N,'Open Positions'!B:B,A26,'Open Positions'!K:K,"Open"))</f>
        <v>0</v>
      </c>
      <c r="F26" s="132">
        <f>IF(A26="","",SUMIFS('Open Positions'!O:O,'Open Positions'!B:B,A26,'Open Positions'!K:K,"Open"))</f>
        <v>0</v>
      </c>
      <c r="G26" s="131">
        <f>IF(A26="","",COUNTIFS('Candidate Pipeline'!D:D,A26,'Candidate Pipeline'!I:I,"&lt;&gt;Joined",'Candidate Pipeline'!I:I,"&lt;&gt;Candidate Dropped"))</f>
        <v>0</v>
      </c>
      <c r="H26" s="132">
        <f>IF(A26="","",COUNTIFS('Candidate Pipeline'!D:D,A26,'Candidate Pipeline'!I:I,"Joined"))</f>
        <v>0</v>
      </c>
    </row>
    <row r="27" ht="18.0" customHeight="1">
      <c r="A27" s="131" t="s">
        <v>48</v>
      </c>
      <c r="B27" s="131" t="str">
        <f t="array" ref="B27">IF(A27="","",IFERROR(INDEX(MasterData!$A$4:$A$500,MATCH(A27,MasterData!$B$4:$B$500,0)),""))</f>
        <v>CLI-005</v>
      </c>
      <c r="C27" s="131">
        <f>IF(A27="","",COUNTIFS('Open Positions'!B:B,A27,'Open Positions'!K:K,"Open"))</f>
        <v>7</v>
      </c>
      <c r="D27" s="131">
        <f>IF(A27="","",SUMIFS('Open Positions'!J:J,'Open Positions'!B:B,A27,'Open Positions'!K:K,"Open"))</f>
        <v>19</v>
      </c>
      <c r="E27" s="131">
        <f>IF(A27="","",SUMIFS('Open Positions'!N:N,'Open Positions'!B:B,A27,'Open Positions'!K:K,"Open"))</f>
        <v>0</v>
      </c>
      <c r="F27" s="131">
        <f>IF(A27="","",SUMIFS('Open Positions'!O:O,'Open Positions'!B:B,A27,'Open Positions'!K:K,"Open"))</f>
        <v>18</v>
      </c>
      <c r="G27" s="131">
        <f>IF(A27="","",COUNTIFS('Candidate Pipeline'!D:D,A27,'Candidate Pipeline'!I:I,"&lt;&gt;Joined",'Candidate Pipeline'!I:I,"&lt;&gt;Candidate Dropped"))</f>
        <v>14</v>
      </c>
      <c r="H27" s="131">
        <f>IF(A27="","",COUNTIFS('Candidate Pipeline'!D:D,A27,'Candidate Pipeline'!I:I,"Joined"))</f>
        <v>1</v>
      </c>
    </row>
    <row r="28" ht="18.0" customHeight="1">
      <c r="A28" s="132" t="s">
        <v>56</v>
      </c>
      <c r="B28" s="132" t="str">
        <f t="array" ref="B28">IF(A28="","",IFERROR(INDEX(MasterData!$A$4:$A$500,MATCH(A28,MasterData!$B$4:$B$500,0)),""))</f>
        <v>CLI-006</v>
      </c>
      <c r="C28" s="132">
        <f>IF(A28="","",COUNTIFS('Open Positions'!B:B,A28,'Open Positions'!K:K,"Open"))</f>
        <v>0</v>
      </c>
      <c r="D28" s="132">
        <f>IF(A28="","",SUMIFS('Open Positions'!J:J,'Open Positions'!B:B,A28,'Open Positions'!K:K,"Open"))</f>
        <v>0</v>
      </c>
      <c r="E28" s="132">
        <f>IF(A28="","",SUMIFS('Open Positions'!N:N,'Open Positions'!B:B,A28,'Open Positions'!K:K,"Open"))</f>
        <v>0</v>
      </c>
      <c r="F28" s="132">
        <f>IF(A28="","",SUMIFS('Open Positions'!O:O,'Open Positions'!B:B,A28,'Open Positions'!K:K,"Open"))</f>
        <v>0</v>
      </c>
      <c r="G28" s="131">
        <f>IF(A28="","",COUNTIFS('Candidate Pipeline'!D:D,A28,'Candidate Pipeline'!I:I,"&lt;&gt;Joined",'Candidate Pipeline'!I:I,"&lt;&gt;Candidate Dropped"))</f>
        <v>0</v>
      </c>
      <c r="H28" s="132">
        <f>IF(A28="","",COUNTIFS('Candidate Pipeline'!D:D,A28,'Candidate Pipeline'!I:I,"Joined"))</f>
        <v>0</v>
      </c>
    </row>
    <row r="29" ht="18.0" customHeight="1">
      <c r="A29" s="131" t="s">
        <v>62</v>
      </c>
      <c r="B29" s="131" t="str">
        <f t="array" ref="B29">IF(A29="","",IFERROR(INDEX(MasterData!$A$4:$A$500,MATCH(A29,MasterData!$B$4:$B$500,0)),""))</f>
        <v>CLI-007</v>
      </c>
      <c r="C29" s="131">
        <f>IF(A29="","",COUNTIFS('Open Positions'!B:B,A29,'Open Positions'!K:K,"Open"))</f>
        <v>0</v>
      </c>
      <c r="D29" s="131">
        <f>IF(A29="","",SUMIFS('Open Positions'!J:J,'Open Positions'!B:B,A29,'Open Positions'!K:K,"Open"))</f>
        <v>0</v>
      </c>
      <c r="E29" s="131">
        <f>IF(A29="","",SUMIFS('Open Positions'!N:N,'Open Positions'!B:B,A29,'Open Positions'!K:K,"Open"))</f>
        <v>0</v>
      </c>
      <c r="F29" s="131">
        <f>IF(A29="","",SUMIFS('Open Positions'!O:O,'Open Positions'!B:B,A29,'Open Positions'!K:K,"Open"))</f>
        <v>0</v>
      </c>
      <c r="G29" s="131">
        <f>IF(A29="","",COUNTIFS('Candidate Pipeline'!D:D,A29,'Candidate Pipeline'!I:I,"&lt;&gt;Joined",'Candidate Pipeline'!I:I,"&lt;&gt;Candidate Dropped"))</f>
        <v>0</v>
      </c>
      <c r="H29" s="131">
        <f>IF(A29="","",COUNTIFS('Candidate Pipeline'!D:D,A29,'Candidate Pipeline'!I:I,"Joined"))</f>
        <v>0</v>
      </c>
    </row>
    <row r="30" ht="18.0" customHeight="1">
      <c r="A30" s="132" t="s">
        <v>68</v>
      </c>
      <c r="B30" s="132" t="str">
        <f t="array" ref="B30">IF(A30="","",IFERROR(INDEX(MasterData!$A$4:$A$500,MATCH(A30,MasterData!$B$4:$B$500,0)),""))</f>
        <v>CLI-008</v>
      </c>
      <c r="C30" s="132">
        <f>IF(A30="","",COUNTIFS('Open Positions'!B:B,A30,'Open Positions'!K:K,"Open"))</f>
        <v>0</v>
      </c>
      <c r="D30" s="132">
        <f>IF(A30="","",SUMIFS('Open Positions'!J:J,'Open Positions'!B:B,A30,'Open Positions'!K:K,"Open"))</f>
        <v>0</v>
      </c>
      <c r="E30" s="132">
        <f>IF(A30="","",SUMIFS('Open Positions'!N:N,'Open Positions'!B:B,A30,'Open Positions'!K:K,"Open"))</f>
        <v>0</v>
      </c>
      <c r="F30" s="132">
        <f>IF(A30="","",SUMIFS('Open Positions'!O:O,'Open Positions'!B:B,A30,'Open Positions'!K:K,"Open"))</f>
        <v>0</v>
      </c>
      <c r="G30" s="131">
        <f>IF(A30="","",COUNTIFS('Candidate Pipeline'!D:D,A30,'Candidate Pipeline'!I:I,"&lt;&gt;Joined",'Candidate Pipeline'!I:I,"&lt;&gt;Candidate Dropped"))</f>
        <v>0</v>
      </c>
      <c r="H30" s="132">
        <f>IF(A30="","",COUNTIFS('Candidate Pipeline'!D:D,A30,'Candidate Pipeline'!I:I,"Joined"))</f>
        <v>0</v>
      </c>
    </row>
    <row r="31" ht="18.0" customHeight="1">
      <c r="A31" s="131" t="s">
        <v>74</v>
      </c>
      <c r="B31" s="131" t="str">
        <f t="array" ref="B31">IF(A31="","",IFERROR(INDEX(MasterData!$A$4:$A$500,MATCH(A31,MasterData!$B$4:$B$500,0)),""))</f>
        <v>CLI-009</v>
      </c>
      <c r="C31" s="131">
        <f>IF(A31="","",COUNTIFS('Open Positions'!B:B,A31,'Open Positions'!K:K,"Open"))</f>
        <v>0</v>
      </c>
      <c r="D31" s="131">
        <f>IF(A31="","",SUMIFS('Open Positions'!J:J,'Open Positions'!B:B,A31,'Open Positions'!K:K,"Open"))</f>
        <v>0</v>
      </c>
      <c r="E31" s="131">
        <f>IF(A31="","",SUMIFS('Open Positions'!N:N,'Open Positions'!B:B,A31,'Open Positions'!K:K,"Open"))</f>
        <v>0</v>
      </c>
      <c r="F31" s="131">
        <f>IF(A31="","",SUMIFS('Open Positions'!O:O,'Open Positions'!B:B,A31,'Open Positions'!K:K,"Open"))</f>
        <v>0</v>
      </c>
      <c r="G31" s="131">
        <f>IF(A31="","",COUNTIFS('Candidate Pipeline'!D:D,A31,'Candidate Pipeline'!I:I,"&lt;&gt;Joined",'Candidate Pipeline'!I:I,"&lt;&gt;Candidate Dropped"))</f>
        <v>0</v>
      </c>
      <c r="H31" s="131">
        <f>IF(A31="","",COUNTIFS('Candidate Pipeline'!D:D,A31,'Candidate Pipeline'!I:I,"Joined"))</f>
        <v>0</v>
      </c>
    </row>
    <row r="32" ht="18.0" customHeight="1">
      <c r="A32" s="132" t="s">
        <v>80</v>
      </c>
      <c r="B32" s="132" t="str">
        <f t="array" ref="B32">IF(A32="","",IFERROR(INDEX(MasterData!$A$4:$A$500,MATCH(A32,MasterData!$B$4:$B$500,0)),""))</f>
        <v>CLI-010</v>
      </c>
      <c r="C32" s="132">
        <f>IF(A32="","",COUNTIFS('Open Positions'!B:B,A32,'Open Positions'!K:K,"Open"))</f>
        <v>0</v>
      </c>
      <c r="D32" s="132">
        <f>IF(A32="","",SUMIFS('Open Positions'!J:J,'Open Positions'!B:B,A32,'Open Positions'!K:K,"Open"))</f>
        <v>0</v>
      </c>
      <c r="E32" s="132">
        <f>IF(A32="","",SUMIFS('Open Positions'!N:N,'Open Positions'!B:B,A32,'Open Positions'!K:K,"Open"))</f>
        <v>0</v>
      </c>
      <c r="F32" s="132">
        <f>IF(A32="","",SUMIFS('Open Positions'!O:O,'Open Positions'!B:B,A32,'Open Positions'!K:K,"Open"))</f>
        <v>0</v>
      </c>
      <c r="G32" s="131">
        <f>IF(A32="","",COUNTIFS('Candidate Pipeline'!D:D,A32,'Candidate Pipeline'!I:I,"&lt;&gt;Joined",'Candidate Pipeline'!I:I,"&lt;&gt;Candidate Dropped"))</f>
        <v>0</v>
      </c>
      <c r="H32" s="132">
        <f>IF(A32="","",COUNTIFS('Candidate Pipeline'!D:D,A32,'Candidate Pipeline'!I:I,"Joined"))</f>
        <v>0</v>
      </c>
    </row>
    <row r="33" ht="18.0" customHeight="1">
      <c r="A33" s="131" t="s">
        <v>86</v>
      </c>
      <c r="B33" s="131" t="str">
        <f t="array" ref="B33">IF(A33="","",IFERROR(INDEX(MasterData!$A$4:$A$500,MATCH(A33,MasterData!$B$4:$B$500,0)),""))</f>
        <v>CLI-011</v>
      </c>
      <c r="C33" s="131">
        <f>IF(A33="","",COUNTIFS('Open Positions'!B:B,A33,'Open Positions'!K:K,"Open"))</f>
        <v>0</v>
      </c>
      <c r="D33" s="131">
        <f>IF(A33="","",SUMIFS('Open Positions'!J:J,'Open Positions'!B:B,A33,'Open Positions'!K:K,"Open"))</f>
        <v>0</v>
      </c>
      <c r="E33" s="131">
        <f>IF(A33="","",SUMIFS('Open Positions'!N:N,'Open Positions'!B:B,A33,'Open Positions'!K:K,"Open"))</f>
        <v>0</v>
      </c>
      <c r="F33" s="131">
        <f>IF(A33="","",SUMIFS('Open Positions'!O:O,'Open Positions'!B:B,A33,'Open Positions'!K:K,"Open"))</f>
        <v>0</v>
      </c>
      <c r="G33" s="131">
        <f>IF(A33="","",COUNTIFS('Candidate Pipeline'!D:D,A33,'Candidate Pipeline'!I:I,"&lt;&gt;Joined",'Candidate Pipeline'!I:I,"&lt;&gt;Candidate Dropped"))</f>
        <v>0</v>
      </c>
      <c r="H33" s="131">
        <f>IF(A33="","",COUNTIFS('Candidate Pipeline'!D:D,A33,'Candidate Pipeline'!I:I,"Joined"))</f>
        <v>0</v>
      </c>
    </row>
    <row r="34" ht="18.0" customHeight="1">
      <c r="A34" s="132" t="s">
        <v>91</v>
      </c>
      <c r="B34" s="132" t="str">
        <f t="array" ref="B34">IF(A34="","",IFERROR(INDEX(MasterData!$A$4:$A$500,MATCH(A34,MasterData!$B$4:$B$500,0)),""))</f>
        <v>CLI-012</v>
      </c>
      <c r="C34" s="132">
        <f>IF(A34="","",COUNTIFS('Open Positions'!B:B,A34,'Open Positions'!K:K,"Open"))</f>
        <v>0</v>
      </c>
      <c r="D34" s="132">
        <f>IF(A34="","",SUMIFS('Open Positions'!J:J,'Open Positions'!B:B,A34,'Open Positions'!K:K,"Open"))</f>
        <v>0</v>
      </c>
      <c r="E34" s="132">
        <f>IF(A34="","",SUMIFS('Open Positions'!N:N,'Open Positions'!B:B,A34,'Open Positions'!K:K,"Open"))</f>
        <v>0</v>
      </c>
      <c r="F34" s="132">
        <f>IF(A34="","",SUMIFS('Open Positions'!O:O,'Open Positions'!B:B,A34,'Open Positions'!K:K,"Open"))</f>
        <v>0</v>
      </c>
      <c r="G34" s="131">
        <f>IF(A34="","",COUNTIFS('Candidate Pipeline'!D:D,A34,'Candidate Pipeline'!I:I,"&lt;&gt;Joined",'Candidate Pipeline'!I:I,"&lt;&gt;Candidate Dropped"))</f>
        <v>0</v>
      </c>
      <c r="H34" s="132">
        <f>IF(A34="","",COUNTIFS('Candidate Pipeline'!D:D,A34,'Candidate Pipeline'!I:I,"Joined"))</f>
        <v>0</v>
      </c>
    </row>
    <row r="35" ht="18.0" customHeight="1">
      <c r="A35" s="131" t="s">
        <v>95</v>
      </c>
      <c r="B35" s="131" t="str">
        <f t="array" ref="B35">IF(A35="","",IFERROR(INDEX(MasterData!$A$4:$A$500,MATCH(A35,MasterData!$B$4:$B$500,0)),""))</f>
        <v>CLI-013</v>
      </c>
      <c r="C35" s="131">
        <f>IF(A35="","",COUNTIFS('Open Positions'!B:B,A35,'Open Positions'!K:K,"Open"))</f>
        <v>0</v>
      </c>
      <c r="D35" s="131">
        <f>IF(A35="","",SUMIFS('Open Positions'!J:J,'Open Positions'!B:B,A35,'Open Positions'!K:K,"Open"))</f>
        <v>0</v>
      </c>
      <c r="E35" s="131">
        <f>IF(A35="","",SUMIFS('Open Positions'!N:N,'Open Positions'!B:B,A35,'Open Positions'!K:K,"Open"))</f>
        <v>0</v>
      </c>
      <c r="F35" s="131">
        <f>IF(A35="","",SUMIFS('Open Positions'!O:O,'Open Positions'!B:B,A35,'Open Positions'!K:K,"Open"))</f>
        <v>0</v>
      </c>
      <c r="G35" s="131">
        <f>IF(A35="","",COUNTIFS('Candidate Pipeline'!D:D,A35,'Candidate Pipeline'!I:I,"&lt;&gt;Joined",'Candidate Pipeline'!I:I,"&lt;&gt;Candidate Dropped"))</f>
        <v>4</v>
      </c>
      <c r="H35" s="131">
        <f>IF(A35="","",COUNTIFS('Candidate Pipeline'!D:D,A35,'Candidate Pipeline'!I:I,"Joined"))</f>
        <v>0</v>
      </c>
    </row>
    <row r="36" ht="18.0" customHeight="1">
      <c r="A36" s="132" t="s">
        <v>98</v>
      </c>
      <c r="B36" s="132" t="str">
        <f t="array" ref="B36">IF(A36="","",IFERROR(INDEX(MasterData!$A$4:$A$500,MATCH(A36,MasterData!$B$4:$B$500,0)),""))</f>
        <v>CLI-014</v>
      </c>
      <c r="C36" s="132">
        <f>IF(A36="","",COUNTIFS('Open Positions'!B:B,A36,'Open Positions'!K:K,"Open"))</f>
        <v>14</v>
      </c>
      <c r="D36" s="132">
        <f>IF(A36="","",SUMIFS('Open Positions'!J:J,'Open Positions'!B:B,A36,'Open Positions'!K:K,"Open"))</f>
        <v>59</v>
      </c>
      <c r="E36" s="132">
        <f>IF(A36="","",SUMIFS('Open Positions'!N:N,'Open Positions'!B:B,A36,'Open Positions'!K:K,"Open"))</f>
        <v>2</v>
      </c>
      <c r="F36" s="132">
        <f>IF(A36="","",SUMIFS('Open Positions'!O:O,'Open Positions'!B:B,A36,'Open Positions'!K:K,"Open"))</f>
        <v>45</v>
      </c>
      <c r="G36" s="131">
        <f>IF(A36="","",COUNTIFS('Candidate Pipeline'!D:D,A36,'Candidate Pipeline'!I:I,"&lt;&gt;Joined",'Candidate Pipeline'!I:I,"&lt;&gt;Candidate Dropped"))</f>
        <v>31</v>
      </c>
      <c r="H36" s="132">
        <f>IF(A36="","",COUNTIFS('Candidate Pipeline'!D:D,A36,'Candidate Pipeline'!I:I,"Joined"))</f>
        <v>3</v>
      </c>
    </row>
    <row r="37" ht="18.0" customHeight="1">
      <c r="A37" s="131" t="s">
        <v>101</v>
      </c>
      <c r="B37" s="131" t="str">
        <f t="array" ref="B37">IF(A37="","",IFERROR(INDEX(MasterData!$A$4:$A$500,MATCH(A37,MasterData!$B$4:$B$500,0)),""))</f>
        <v>CLI-015</v>
      </c>
      <c r="C37" s="131">
        <f>IF(A37="","",COUNTIFS('Open Positions'!B:B,A37,'Open Positions'!K:K,"Open"))</f>
        <v>2</v>
      </c>
      <c r="D37" s="131">
        <f>IF(A37="","",SUMIFS('Open Positions'!J:J,'Open Positions'!B:B,A37,'Open Positions'!K:K,"Open"))</f>
        <v>2</v>
      </c>
      <c r="E37" s="131">
        <f>IF(A37="","",SUMIFS('Open Positions'!N:N,'Open Positions'!B:B,A37,'Open Positions'!K:K,"Open"))</f>
        <v>0</v>
      </c>
      <c r="F37" s="131">
        <f>IF(A37="","",SUMIFS('Open Positions'!O:O,'Open Positions'!B:B,A37,'Open Positions'!K:K,"Open"))</f>
        <v>2</v>
      </c>
      <c r="G37" s="131">
        <f>IF(A37="","",COUNTIFS('Candidate Pipeline'!D:D,A37,'Candidate Pipeline'!I:I,"&lt;&gt;Joined",'Candidate Pipeline'!I:I,"&lt;&gt;Candidate Dropped"))</f>
        <v>3</v>
      </c>
      <c r="H37" s="131">
        <f>IF(A37="","",COUNTIFS('Candidate Pipeline'!D:D,A37,'Candidate Pipeline'!I:I,"Joined"))</f>
        <v>0</v>
      </c>
    </row>
    <row r="38" ht="18.0" customHeight="1">
      <c r="A38" s="132" t="s">
        <v>104</v>
      </c>
      <c r="B38" s="132" t="str">
        <f t="array" ref="B38">IF(A38="","",IFERROR(INDEX(MasterData!$A$4:$A$500,MATCH(A38,MasterData!$B$4:$B$500,0)),""))</f>
        <v>CLI-016</v>
      </c>
      <c r="C38" s="132">
        <f>IF(A38="","",COUNTIFS('Open Positions'!B:B,A38,'Open Positions'!K:K,"Open"))</f>
        <v>1</v>
      </c>
      <c r="D38" s="132">
        <f>IF(A38="","",SUMIFS('Open Positions'!J:J,'Open Positions'!B:B,A38,'Open Positions'!K:K,"Open"))</f>
        <v>35</v>
      </c>
      <c r="E38" s="132">
        <f>IF(A38="","",SUMIFS('Open Positions'!N:N,'Open Positions'!B:B,A38,'Open Positions'!K:K,"Open"))</f>
        <v>0</v>
      </c>
      <c r="F38" s="132">
        <f>IF(A38="","",SUMIFS('Open Positions'!O:O,'Open Positions'!B:B,A38,'Open Positions'!K:K,"Open"))</f>
        <v>35</v>
      </c>
      <c r="G38" s="131">
        <f>IF(A38="","",COUNTIFS('Candidate Pipeline'!D:D,A38,'Candidate Pipeline'!I:I,"&lt;&gt;Joined",'Candidate Pipeline'!I:I,"&lt;&gt;Candidate Dropped"))</f>
        <v>4</v>
      </c>
      <c r="H38" s="132">
        <f>IF(A38="","",COUNTIFS('Candidate Pipeline'!D:D,A38,'Candidate Pipeline'!I:I,"Joined"))</f>
        <v>0</v>
      </c>
    </row>
    <row r="39" ht="18.0" customHeight="1">
      <c r="A39" s="131" t="s">
        <v>107</v>
      </c>
      <c r="B39" s="131" t="str">
        <f t="array" ref="B39">IF(A39="","",IFERROR(INDEX(MasterData!$A$4:$A$500,MATCH(A39,MasterData!$B$4:$B$500,0)),""))</f>
        <v>CLI-017</v>
      </c>
      <c r="C39" s="131">
        <f>IF(A39="","",COUNTIFS('Open Positions'!B:B,A39,'Open Positions'!K:K,"Open"))</f>
        <v>0</v>
      </c>
      <c r="D39" s="131">
        <f>IF(A39="","",SUMIFS('Open Positions'!J:J,'Open Positions'!B:B,A39,'Open Positions'!K:K,"Open"))</f>
        <v>0</v>
      </c>
      <c r="E39" s="131">
        <f>IF(A39="","",SUMIFS('Open Positions'!N:N,'Open Positions'!B:B,A39,'Open Positions'!K:K,"Open"))</f>
        <v>0</v>
      </c>
      <c r="F39" s="131">
        <f>IF(A39="","",SUMIFS('Open Positions'!O:O,'Open Positions'!B:B,A39,'Open Positions'!K:K,"Open"))</f>
        <v>0</v>
      </c>
      <c r="G39" s="131">
        <f>IF(A39="","",COUNTIFS('Candidate Pipeline'!D:D,A39,'Candidate Pipeline'!I:I,"&lt;&gt;Joined",'Candidate Pipeline'!I:I,"&lt;&gt;Candidate Dropped"))</f>
        <v>1</v>
      </c>
      <c r="H39" s="131">
        <f>IF(A39="","",COUNTIFS('Candidate Pipeline'!D:D,A39,'Candidate Pipeline'!I:I,"Joined"))</f>
        <v>0</v>
      </c>
    </row>
    <row r="40" ht="18.0" customHeight="1">
      <c r="A40" s="132" t="s">
        <v>110</v>
      </c>
      <c r="B40" s="132" t="str">
        <f t="array" ref="B40">IF(A40="","",IFERROR(INDEX(MasterData!$A$4:$A$500,MATCH(A40,MasterData!$B$4:$B$500,0)),""))</f>
        <v>CLI-018</v>
      </c>
      <c r="C40" s="132">
        <f>IF(A40="","",COUNTIFS('Open Positions'!B:B,A40,'Open Positions'!K:K,"Open"))</f>
        <v>0</v>
      </c>
      <c r="D40" s="132">
        <f>IF(A40="","",SUMIFS('Open Positions'!J:J,'Open Positions'!B:B,A40,'Open Positions'!K:K,"Open"))</f>
        <v>0</v>
      </c>
      <c r="E40" s="132">
        <f>IF(A40="","",SUMIFS('Open Positions'!N:N,'Open Positions'!B:B,A40,'Open Positions'!K:K,"Open"))</f>
        <v>0</v>
      </c>
      <c r="F40" s="132">
        <f>IF(A40="","",SUMIFS('Open Positions'!O:O,'Open Positions'!B:B,A40,'Open Positions'!K:K,"Open"))</f>
        <v>0</v>
      </c>
      <c r="G40" s="131">
        <f>IF(A40="","",COUNTIFS('Candidate Pipeline'!D:D,A40,'Candidate Pipeline'!I:I,"&lt;&gt;Joined",'Candidate Pipeline'!I:I,"&lt;&gt;Candidate Dropped"))</f>
        <v>1</v>
      </c>
      <c r="H40" s="132">
        <f>IF(A40="","",COUNTIFS('Candidate Pipeline'!D:D,A40,'Candidate Pipeline'!I:I,"Joined"))</f>
        <v>0</v>
      </c>
    </row>
    <row r="41" ht="18.0" customHeight="1">
      <c r="A41" s="131" t="s">
        <v>113</v>
      </c>
      <c r="B41" s="131" t="str">
        <f t="array" ref="B41">IF(A41="","",IFERROR(INDEX(MasterData!$A$4:$A$500,MATCH(A41,MasterData!$B$4:$B$500,0)),""))</f>
        <v>CLI-019</v>
      </c>
      <c r="C41" s="131">
        <f>IF(A41="","",COUNTIFS('Open Positions'!B:B,A41,'Open Positions'!K:K,"Open"))</f>
        <v>0</v>
      </c>
      <c r="D41" s="131">
        <f>IF(A41="","",SUMIFS('Open Positions'!J:J,'Open Positions'!B:B,A41,'Open Positions'!K:K,"Open"))</f>
        <v>0</v>
      </c>
      <c r="E41" s="131">
        <f>IF(A41="","",SUMIFS('Open Positions'!N:N,'Open Positions'!B:B,A41,'Open Positions'!K:K,"Open"))</f>
        <v>0</v>
      </c>
      <c r="F41" s="131">
        <f>IF(A41="","",SUMIFS('Open Positions'!O:O,'Open Positions'!B:B,A41,'Open Positions'!K:K,"Open"))</f>
        <v>0</v>
      </c>
      <c r="G41" s="131">
        <f>IF(A41="","",COUNTIFS('Candidate Pipeline'!D:D,A41,'Candidate Pipeline'!I:I,"&lt;&gt;Joined",'Candidate Pipeline'!I:I,"&lt;&gt;Candidate Dropped"))</f>
        <v>0</v>
      </c>
      <c r="H41" s="131">
        <f>IF(A41="","",COUNTIFS('Candidate Pipeline'!D:D,A41,'Candidate Pipeline'!I:I,"Joined"))</f>
        <v>0</v>
      </c>
    </row>
    <row r="42" ht="18.0" customHeight="1">
      <c r="A42" s="132" t="s">
        <v>116</v>
      </c>
      <c r="B42" s="132" t="str">
        <f t="array" ref="B42">IF(A42="","",IFERROR(INDEX(MasterData!$A$4:$A$500,MATCH(A42,MasterData!$B$4:$B$500,0)),""))</f>
        <v>CLI-020</v>
      </c>
      <c r="C42" s="132">
        <f>IF(A42="","",COUNTIFS('Open Positions'!B:B,A42,'Open Positions'!K:K,"Open"))</f>
        <v>6</v>
      </c>
      <c r="D42" s="132">
        <f>IF(A42="","",SUMIFS('Open Positions'!J:J,'Open Positions'!B:B,A42,'Open Positions'!K:K,"Open"))</f>
        <v>11</v>
      </c>
      <c r="E42" s="132">
        <f>IF(A42="","",SUMIFS('Open Positions'!N:N,'Open Positions'!B:B,A42,'Open Positions'!K:K,"Open"))</f>
        <v>0</v>
      </c>
      <c r="F42" s="132">
        <f>IF(A42="","",SUMIFS('Open Positions'!O:O,'Open Positions'!B:B,A42,'Open Positions'!K:K,"Open"))</f>
        <v>11</v>
      </c>
      <c r="G42" s="131">
        <f>IF(A42="","",COUNTIFS('Candidate Pipeline'!D:D,A42,'Candidate Pipeline'!I:I,"&lt;&gt;Joined",'Candidate Pipeline'!I:I,"&lt;&gt;Candidate Dropped"))</f>
        <v>7</v>
      </c>
      <c r="H42" s="132">
        <f>IF(A42="","",COUNTIFS('Candidate Pipeline'!D:D,A42,'Candidate Pipeline'!I:I,"Joined"))</f>
        <v>0</v>
      </c>
    </row>
    <row r="43" ht="18.0" customHeight="1">
      <c r="A43" s="131" t="s">
        <v>119</v>
      </c>
      <c r="B43" s="131" t="str">
        <f t="array" ref="B43">IF(A43="","",IFERROR(INDEX(MasterData!$A$4:$A$500,MATCH(A43,MasterData!$B$4:$B$500,0)),""))</f>
        <v>CLI-021</v>
      </c>
      <c r="C43" s="131">
        <f>IF(A43="","",COUNTIFS('Open Positions'!B:B,A43,'Open Positions'!K:K,"Open"))</f>
        <v>0</v>
      </c>
      <c r="D43" s="131">
        <f>IF(A43="","",SUMIFS('Open Positions'!J:J,'Open Positions'!B:B,A43,'Open Positions'!K:K,"Open"))</f>
        <v>0</v>
      </c>
      <c r="E43" s="131">
        <f>IF(A43="","",SUMIFS('Open Positions'!N:N,'Open Positions'!B:B,A43,'Open Positions'!K:K,"Open"))</f>
        <v>0</v>
      </c>
      <c r="F43" s="131">
        <f>IF(A43="","",SUMIFS('Open Positions'!O:O,'Open Positions'!B:B,A43,'Open Positions'!K:K,"Open"))</f>
        <v>0</v>
      </c>
      <c r="G43" s="131">
        <f>IF(A43="","",COUNTIFS('Candidate Pipeline'!D:D,A43,'Candidate Pipeline'!I:I,"&lt;&gt;Joined",'Candidate Pipeline'!I:I,"&lt;&gt;Candidate Dropped"))</f>
        <v>0</v>
      </c>
      <c r="H43" s="131">
        <f>IF(A43="","",COUNTIFS('Candidate Pipeline'!D:D,A43,'Candidate Pipeline'!I:I,"Joined"))</f>
        <v>0</v>
      </c>
    </row>
    <row r="44" ht="18.0" customHeight="1">
      <c r="A44" s="132" t="s">
        <v>122</v>
      </c>
      <c r="B44" s="132" t="str">
        <f t="array" ref="B44">IF(A44="","",IFERROR(INDEX(MasterData!$A$4:$A$500,MATCH(A44,MasterData!$B$4:$B$500,0)),""))</f>
        <v>CLI-022</v>
      </c>
      <c r="C44" s="132">
        <f>IF(A44="","",COUNTIFS('Open Positions'!B:B,A44,'Open Positions'!K:K,"Open"))</f>
        <v>5</v>
      </c>
      <c r="D44" s="132">
        <f>IF(A44="","",SUMIFS('Open Positions'!J:J,'Open Positions'!B:B,A44,'Open Positions'!K:K,"Open"))</f>
        <v>13</v>
      </c>
      <c r="E44" s="132">
        <f>IF(A44="","",SUMIFS('Open Positions'!N:N,'Open Positions'!B:B,A44,'Open Positions'!K:K,"Open"))</f>
        <v>0</v>
      </c>
      <c r="F44" s="132">
        <f>IF(A44="","",SUMIFS('Open Positions'!O:O,'Open Positions'!B:B,A44,'Open Positions'!K:K,"Open"))</f>
        <v>13</v>
      </c>
      <c r="G44" s="131">
        <f>IF(A44="","",COUNTIFS('Candidate Pipeline'!D:D,A44,'Candidate Pipeline'!I:I,"&lt;&gt;Joined",'Candidate Pipeline'!I:I,"&lt;&gt;Candidate Dropped"))</f>
        <v>1</v>
      </c>
      <c r="H44" s="132">
        <f>IF(A44="","",COUNTIFS('Candidate Pipeline'!D:D,A44,'Candidate Pipeline'!I:I,"Joined"))</f>
        <v>0</v>
      </c>
    </row>
    <row r="45" ht="18.0" customHeight="1">
      <c r="A45" s="131" t="s">
        <v>125</v>
      </c>
      <c r="B45" s="131" t="str">
        <f t="array" ref="B45">IF(A45="","",IFERROR(INDEX(MasterData!$A$4:$A$500,MATCH(A45,MasterData!$B$4:$B$500,0)),""))</f>
        <v>CLI-023</v>
      </c>
      <c r="C45" s="131">
        <f>IF(A45="","",COUNTIFS('Open Positions'!B:B,A45,'Open Positions'!K:K,"Open"))</f>
        <v>0</v>
      </c>
      <c r="D45" s="131">
        <f>IF(A45="","",SUMIFS('Open Positions'!J:J,'Open Positions'!B:B,A45,'Open Positions'!K:K,"Open"))</f>
        <v>0</v>
      </c>
      <c r="E45" s="131">
        <f>IF(A45="","",SUMIFS('Open Positions'!N:N,'Open Positions'!B:B,A45,'Open Positions'!K:K,"Open"))</f>
        <v>0</v>
      </c>
      <c r="F45" s="131">
        <f>IF(A45="","",SUMIFS('Open Positions'!O:O,'Open Positions'!B:B,A45,'Open Positions'!K:K,"Open"))</f>
        <v>0</v>
      </c>
      <c r="G45" s="131">
        <f>IF(A45="","",COUNTIFS('Candidate Pipeline'!D:D,A45,'Candidate Pipeline'!I:I,"&lt;&gt;Joined",'Candidate Pipeline'!I:I,"&lt;&gt;Candidate Dropped"))</f>
        <v>0</v>
      </c>
      <c r="H45" s="131">
        <f>IF(A45="","",COUNTIFS('Candidate Pipeline'!D:D,A45,'Candidate Pipeline'!I:I,"Joined"))</f>
        <v>0</v>
      </c>
    </row>
    <row r="46" ht="18.0" customHeight="1">
      <c r="A46" s="132" t="s">
        <v>128</v>
      </c>
      <c r="B46" s="132" t="str">
        <f t="array" ref="B46">IF(A46="","",IFERROR(INDEX(MasterData!$A$4:$A$500,MATCH(A46,MasterData!$B$4:$B$500,0)),""))</f>
        <v>CLI-024</v>
      </c>
      <c r="C46" s="132">
        <f>IF(A46="","",COUNTIFS('Open Positions'!B:B,A46,'Open Positions'!K:K,"Open"))</f>
        <v>0</v>
      </c>
      <c r="D46" s="132">
        <f>IF(A46="","",SUMIFS('Open Positions'!J:J,'Open Positions'!B:B,A46,'Open Positions'!K:K,"Open"))</f>
        <v>0</v>
      </c>
      <c r="E46" s="132">
        <f>IF(A46="","",SUMIFS('Open Positions'!N:N,'Open Positions'!B:B,A46,'Open Positions'!K:K,"Open"))</f>
        <v>0</v>
      </c>
      <c r="F46" s="132">
        <f>IF(A46="","",SUMIFS('Open Positions'!O:O,'Open Positions'!B:B,A46,'Open Positions'!K:K,"Open"))</f>
        <v>0</v>
      </c>
      <c r="G46" s="131">
        <f>IF(A46="","",COUNTIFS('Candidate Pipeline'!D:D,A46,'Candidate Pipeline'!I:I,"&lt;&gt;Joined",'Candidate Pipeline'!I:I,"&lt;&gt;Candidate Dropped"))</f>
        <v>0</v>
      </c>
      <c r="H46" s="132">
        <f>IF(A46="","",COUNTIFS('Candidate Pipeline'!D:D,A46,'Candidate Pipeline'!I:I,"Joined"))</f>
        <v>0</v>
      </c>
    </row>
    <row r="47" ht="18.0" customHeight="1">
      <c r="A47" s="131" t="s">
        <v>131</v>
      </c>
      <c r="B47" s="131" t="str">
        <f t="array" ref="B47">IF(A47="","",IFERROR(INDEX(MasterData!$A$4:$A$500,MATCH(A47,MasterData!$B$4:$B$500,0)),""))</f>
        <v>CLI-025</v>
      </c>
      <c r="C47" s="131">
        <f>IF(A47="","",COUNTIFS('Open Positions'!B:B,A47,'Open Positions'!K:K,"Open"))</f>
        <v>0</v>
      </c>
      <c r="D47" s="131">
        <f>IF(A47="","",SUMIFS('Open Positions'!J:J,'Open Positions'!B:B,A47,'Open Positions'!K:K,"Open"))</f>
        <v>0</v>
      </c>
      <c r="E47" s="131">
        <f>IF(A47="","",SUMIFS('Open Positions'!N:N,'Open Positions'!B:B,A47,'Open Positions'!K:K,"Open"))</f>
        <v>0</v>
      </c>
      <c r="F47" s="131">
        <f>IF(A47="","",SUMIFS('Open Positions'!O:O,'Open Positions'!B:B,A47,'Open Positions'!K:K,"Open"))</f>
        <v>0</v>
      </c>
      <c r="G47" s="131">
        <f>IF(A47="","",COUNTIFS('Candidate Pipeline'!D:D,A47,'Candidate Pipeline'!I:I,"&lt;&gt;Joined",'Candidate Pipeline'!I:I,"&lt;&gt;Candidate Dropped"))</f>
        <v>0</v>
      </c>
      <c r="H47" s="131">
        <f>IF(A47="","",COUNTIFS('Candidate Pipeline'!D:D,A47,'Candidate Pipeline'!I:I,"Joined"))</f>
        <v>0</v>
      </c>
    </row>
    <row r="48" ht="18.0" customHeight="1">
      <c r="A48" s="132" t="s">
        <v>134</v>
      </c>
      <c r="B48" s="132" t="str">
        <f t="array" ref="B48">IF(A48="","",IFERROR(INDEX(MasterData!$A$4:$A$500,MATCH(A48,MasterData!$B$4:$B$500,0)),""))</f>
        <v>CLI-026</v>
      </c>
      <c r="C48" s="132">
        <f>IF(A48="","",COUNTIFS('Open Positions'!B:B,A48,'Open Positions'!K:K,"Open"))</f>
        <v>1</v>
      </c>
      <c r="D48" s="132">
        <f>IF(A48="","",SUMIFS('Open Positions'!J:J,'Open Positions'!B:B,A48,'Open Positions'!K:K,"Open"))</f>
        <v>8</v>
      </c>
      <c r="E48" s="132">
        <f>IF(A48="","",SUMIFS('Open Positions'!N:N,'Open Positions'!B:B,A48,'Open Positions'!K:K,"Open"))</f>
        <v>0</v>
      </c>
      <c r="F48" s="132">
        <f>IF(A48="","",SUMIFS('Open Positions'!O:O,'Open Positions'!B:B,A48,'Open Positions'!K:K,"Open"))</f>
        <v>8</v>
      </c>
      <c r="G48" s="131">
        <f>IF(A48="","",COUNTIFS('Candidate Pipeline'!D:D,A48,'Candidate Pipeline'!I:I,"&lt;&gt;Joined",'Candidate Pipeline'!I:I,"&lt;&gt;Candidate Dropped"))</f>
        <v>2</v>
      </c>
      <c r="H48" s="132">
        <f>IF(A48="","",COUNTIFS('Candidate Pipeline'!D:D,A48,'Candidate Pipeline'!I:I,"Joined"))</f>
        <v>1</v>
      </c>
    </row>
    <row r="49" ht="18.0" customHeight="1">
      <c r="A49" s="131" t="s">
        <v>137</v>
      </c>
      <c r="B49" s="131" t="str">
        <f t="array" ref="B49">IF(A49="","",IFERROR(INDEX(MasterData!$A$4:$A$500,MATCH(A49,MasterData!$B$4:$B$500,0)),""))</f>
        <v>CLI-027</v>
      </c>
      <c r="C49" s="131">
        <f>IF(A49="","",COUNTIFS('Open Positions'!B:B,A49,'Open Positions'!K:K,"Open"))</f>
        <v>0</v>
      </c>
      <c r="D49" s="131">
        <f>IF(A49="","",SUMIFS('Open Positions'!J:J,'Open Positions'!B:B,A49,'Open Positions'!K:K,"Open"))</f>
        <v>0</v>
      </c>
      <c r="E49" s="131">
        <f>IF(A49="","",SUMIFS('Open Positions'!N:N,'Open Positions'!B:B,A49,'Open Positions'!K:K,"Open"))</f>
        <v>0</v>
      </c>
      <c r="F49" s="131">
        <f>IF(A49="","",SUMIFS('Open Positions'!O:O,'Open Positions'!B:B,A49,'Open Positions'!K:K,"Open"))</f>
        <v>0</v>
      </c>
      <c r="G49" s="131">
        <f>IF(A49="","",COUNTIFS('Candidate Pipeline'!D:D,A49,'Candidate Pipeline'!I:I,"&lt;&gt;Joined",'Candidate Pipeline'!I:I,"&lt;&gt;Candidate Dropped"))</f>
        <v>0</v>
      </c>
      <c r="H49" s="131">
        <f>IF(A49="","",COUNTIFS('Candidate Pipeline'!D:D,A49,'Candidate Pipeline'!I:I,"Joined"))</f>
        <v>0</v>
      </c>
    </row>
    <row r="50" ht="18.0" customHeight="1">
      <c r="A50" s="132" t="s">
        <v>140</v>
      </c>
      <c r="B50" s="132" t="str">
        <f t="array" ref="B50">IF(A50="","",IFERROR(INDEX(MasterData!$A$4:$A$500,MATCH(A50,MasterData!$B$4:$B$500,0)),""))</f>
        <v>CLI-028</v>
      </c>
      <c r="C50" s="132">
        <f>IF(A50="","",COUNTIFS('Open Positions'!B:B,A50,'Open Positions'!K:K,"Open"))</f>
        <v>0</v>
      </c>
      <c r="D50" s="132">
        <f>IF(A50="","",SUMIFS('Open Positions'!J:J,'Open Positions'!B:B,A50,'Open Positions'!K:K,"Open"))</f>
        <v>0</v>
      </c>
      <c r="E50" s="132">
        <f>IF(A50="","",SUMIFS('Open Positions'!N:N,'Open Positions'!B:B,A50,'Open Positions'!K:K,"Open"))</f>
        <v>0</v>
      </c>
      <c r="F50" s="132">
        <f>IF(A50="","",SUMIFS('Open Positions'!O:O,'Open Positions'!B:B,A50,'Open Positions'!K:K,"Open"))</f>
        <v>0</v>
      </c>
      <c r="G50" s="131">
        <f>IF(A50="","",COUNTIFS('Candidate Pipeline'!D:D,A50,'Candidate Pipeline'!I:I,"&lt;&gt;Joined",'Candidate Pipeline'!I:I,"&lt;&gt;Candidate Dropped"))</f>
        <v>1</v>
      </c>
      <c r="H50" s="132">
        <f>IF(A50="","",COUNTIFS('Candidate Pipeline'!D:D,A50,'Candidate Pipeline'!I:I,"Joined"))</f>
        <v>0</v>
      </c>
    </row>
    <row r="51" ht="18.0" customHeight="1">
      <c r="A51" s="131" t="s">
        <v>143</v>
      </c>
      <c r="B51" s="131" t="str">
        <f t="array" ref="B51">IF(A51="","",IFERROR(INDEX(MasterData!$A$4:$A$500,MATCH(A51,MasterData!$B$4:$B$500,0)),""))</f>
        <v>CLI-029</v>
      </c>
      <c r="C51" s="131">
        <f>IF(A51="","",COUNTIFS('Open Positions'!B:B,A51,'Open Positions'!K:K,"Open"))</f>
        <v>0</v>
      </c>
      <c r="D51" s="131">
        <f>IF(A51="","",SUMIFS('Open Positions'!J:J,'Open Positions'!B:B,A51,'Open Positions'!K:K,"Open"))</f>
        <v>0</v>
      </c>
      <c r="E51" s="131">
        <f>IF(A51="","",SUMIFS('Open Positions'!N:N,'Open Positions'!B:B,A51,'Open Positions'!K:K,"Open"))</f>
        <v>0</v>
      </c>
      <c r="F51" s="131">
        <f>IF(A51="","",SUMIFS('Open Positions'!O:O,'Open Positions'!B:B,A51,'Open Positions'!K:K,"Open"))</f>
        <v>0</v>
      </c>
      <c r="G51" s="131">
        <f>IF(A51="","",COUNTIFS('Candidate Pipeline'!D:D,A51,'Candidate Pipeline'!I:I,"&lt;&gt;Joined",'Candidate Pipeline'!I:I,"&lt;&gt;Candidate Dropped"))</f>
        <v>0</v>
      </c>
      <c r="H51" s="131">
        <f>IF(A51="","",COUNTIFS('Candidate Pipeline'!D:D,A51,'Candidate Pipeline'!I:I,"Joined"))</f>
        <v>0</v>
      </c>
    </row>
    <row r="52" ht="18.0" customHeight="1">
      <c r="A52" s="132" t="s">
        <v>146</v>
      </c>
      <c r="B52" s="132" t="str">
        <f t="array" ref="B52">IF(A52="","",IFERROR(INDEX(MasterData!$A$4:$A$500,MATCH(A52,MasterData!$B$4:$B$500,0)),""))</f>
        <v>CLI-030</v>
      </c>
      <c r="C52" s="132">
        <f>IF(A52="","",COUNTIFS('Open Positions'!B:B,A52,'Open Positions'!K:K,"Open"))</f>
        <v>0</v>
      </c>
      <c r="D52" s="132">
        <f>IF(A52="","",SUMIFS('Open Positions'!J:J,'Open Positions'!B:B,A52,'Open Positions'!K:K,"Open"))</f>
        <v>0</v>
      </c>
      <c r="E52" s="132">
        <f>IF(A52="","",SUMIFS('Open Positions'!N:N,'Open Positions'!B:B,A52,'Open Positions'!K:K,"Open"))</f>
        <v>0</v>
      </c>
      <c r="F52" s="132">
        <f>IF(A52="","",SUMIFS('Open Positions'!O:O,'Open Positions'!B:B,A52,'Open Positions'!K:K,"Open"))</f>
        <v>0</v>
      </c>
      <c r="G52" s="131">
        <f>IF(A52="","",COUNTIFS('Candidate Pipeline'!D:D,A52,'Candidate Pipeline'!I:I,"&lt;&gt;Joined",'Candidate Pipeline'!I:I,"&lt;&gt;Candidate Dropped"))</f>
        <v>0</v>
      </c>
      <c r="H52" s="132">
        <f>IF(A52="","",COUNTIFS('Candidate Pipeline'!D:D,A52,'Candidate Pipeline'!I:I,"Joined"))</f>
        <v>0</v>
      </c>
    </row>
    <row r="53" ht="14.25" customHeight="1">
      <c r="A53" s="131" t="s">
        <v>149</v>
      </c>
      <c r="B53" s="131" t="str">
        <f t="array" ref="B53">IF(A53="","",IFERROR(INDEX(MasterData!$A$4:$A$500,MATCH(A53,MasterData!$B$4:$B$500,0)),""))</f>
        <v>CLI-031</v>
      </c>
      <c r="C53" s="131">
        <f>IF(A53="","",COUNTIFS('Open Positions'!B:B,A53,'Open Positions'!K:K,"Open"))</f>
        <v>2</v>
      </c>
      <c r="D53" s="131">
        <f>IF(A53="","",SUMIFS('Open Positions'!J:J,'Open Positions'!B:B,A53,'Open Positions'!K:K,"Open"))</f>
        <v>14</v>
      </c>
      <c r="E53" s="131">
        <f>IF(A53="","",SUMIFS('Open Positions'!N:N,'Open Positions'!B:B,A53,'Open Positions'!K:K,"Open"))</f>
        <v>3</v>
      </c>
      <c r="F53" s="131">
        <f>IF(A53="","",SUMIFS('Open Positions'!O:O,'Open Positions'!B:B,A53,'Open Positions'!K:K,"Open"))</f>
        <v>11</v>
      </c>
      <c r="G53" s="131">
        <f>IF(A53="","",COUNTIFS('Candidate Pipeline'!D:D,A53,'Candidate Pipeline'!I:I,"&lt;&gt;Joined",'Candidate Pipeline'!I:I,"&lt;&gt;Candidate Dropped"))</f>
        <v>6</v>
      </c>
      <c r="H53" s="131">
        <f>IF(A53="","",COUNTIFS('Candidate Pipeline'!D:D,A53,'Candidate Pipeline'!I:I,"Joined"))</f>
        <v>1</v>
      </c>
    </row>
    <row r="54" ht="14.25" customHeight="1">
      <c r="A54" s="132" t="s">
        <v>152</v>
      </c>
      <c r="B54" s="132" t="str">
        <f t="array" ref="B54">IF(A54="","",IFERROR(INDEX(MasterData!$A$4:$A$500,MATCH(A54,MasterData!$B$4:$B$500,0)),""))</f>
        <v>CLI-032</v>
      </c>
      <c r="C54" s="132">
        <f>IF(A54="","",COUNTIFS('Open Positions'!B:B,A54,'Open Positions'!K:K,"Open"))</f>
        <v>0</v>
      </c>
      <c r="D54" s="132">
        <f>IF(A54="","",SUMIFS('Open Positions'!J:J,'Open Positions'!B:B,A54,'Open Positions'!K:K,"Open"))</f>
        <v>0</v>
      </c>
      <c r="E54" s="132">
        <f>IF(A54="","",SUMIFS('Open Positions'!N:N,'Open Positions'!B:B,A54,'Open Positions'!K:K,"Open"))</f>
        <v>0</v>
      </c>
      <c r="F54" s="132">
        <f>IF(A54="","",SUMIFS('Open Positions'!O:O,'Open Positions'!B:B,A54,'Open Positions'!K:K,"Open"))</f>
        <v>0</v>
      </c>
      <c r="G54" s="131">
        <f>IF(A54="","",COUNTIFS('Candidate Pipeline'!D:D,A54,'Candidate Pipeline'!I:I,"&lt;&gt;Joined",'Candidate Pipeline'!I:I,"&lt;&gt;Candidate Dropped"))</f>
        <v>0</v>
      </c>
      <c r="H54" s="132">
        <f>IF(A54="","",COUNTIFS('Candidate Pipeline'!D:D,A54,'Candidate Pipeline'!I:I,"Joined"))</f>
        <v>0</v>
      </c>
    </row>
    <row r="55" ht="14.25" customHeight="1">
      <c r="A55" s="131" t="s">
        <v>155</v>
      </c>
      <c r="B55" s="131" t="str">
        <f t="array" ref="B55">IF(A55="","",IFERROR(INDEX(MasterData!$A$4:$A$500,MATCH(A55,MasterData!$B$4:$B$500,0)),""))</f>
        <v>CLI-033</v>
      </c>
      <c r="C55" s="131">
        <f>IF(A55="","",COUNTIFS('Open Positions'!B:B,A55,'Open Positions'!K:K,"Open"))</f>
        <v>0</v>
      </c>
      <c r="D55" s="131">
        <f>IF(A55="","",SUMIFS('Open Positions'!J:J,'Open Positions'!B:B,A55,'Open Positions'!K:K,"Open"))</f>
        <v>0</v>
      </c>
      <c r="E55" s="131">
        <f>IF(A55="","",SUMIFS('Open Positions'!N:N,'Open Positions'!B:B,A55,'Open Positions'!K:K,"Open"))</f>
        <v>0</v>
      </c>
      <c r="F55" s="131">
        <f>IF(A55="","",SUMIFS('Open Positions'!O:O,'Open Positions'!B:B,A55,'Open Positions'!K:K,"Open"))</f>
        <v>0</v>
      </c>
      <c r="G55" s="131">
        <f>IF(A55="","",COUNTIFS('Candidate Pipeline'!D:D,A55,'Candidate Pipeline'!I:I,"&lt;&gt;Joined",'Candidate Pipeline'!I:I,"&lt;&gt;Candidate Dropped"))</f>
        <v>0</v>
      </c>
      <c r="H55" s="131">
        <f>IF(A55="","",COUNTIFS('Candidate Pipeline'!D:D,A55,'Candidate Pipeline'!I:I,"Joined"))</f>
        <v>0</v>
      </c>
    </row>
    <row r="56" ht="14.25" customHeight="1">
      <c r="A56" s="132" t="s">
        <v>158</v>
      </c>
      <c r="B56" s="132" t="str">
        <f t="array" ref="B56">IF(A56="","",IFERROR(INDEX(MasterData!$A$4:$A$500,MATCH(A56,MasterData!$B$4:$B$500,0)),""))</f>
        <v>CLI-034</v>
      </c>
      <c r="C56" s="132">
        <f>IF(A56="","",COUNTIFS('Open Positions'!B:B,A56,'Open Positions'!K:K,"Open"))</f>
        <v>3</v>
      </c>
      <c r="D56" s="132">
        <f>IF(A56="","",SUMIFS('Open Positions'!J:J,'Open Positions'!B:B,A56,'Open Positions'!K:K,"Open"))</f>
        <v>11</v>
      </c>
      <c r="E56" s="132">
        <f>IF(A56="","",SUMIFS('Open Positions'!N:N,'Open Positions'!B:B,A56,'Open Positions'!K:K,"Open"))</f>
        <v>0</v>
      </c>
      <c r="F56" s="132">
        <f>IF(A56="","",SUMIFS('Open Positions'!O:O,'Open Positions'!B:B,A56,'Open Positions'!K:K,"Open"))</f>
        <v>11</v>
      </c>
      <c r="G56" s="131">
        <f>IF(A56="","",COUNTIFS('Candidate Pipeline'!D:D,A56,'Candidate Pipeline'!I:I,"&lt;&gt;Joined",'Candidate Pipeline'!I:I,"&lt;&gt;Candidate Dropped"))</f>
        <v>6</v>
      </c>
      <c r="H56" s="132">
        <f>IF(A56="","",COUNTIFS('Candidate Pipeline'!D:D,A56,'Candidate Pipeline'!I:I,"Joined"))</f>
        <v>0</v>
      </c>
    </row>
    <row r="57" ht="14.25" customHeight="1">
      <c r="A57" s="131" t="s">
        <v>161</v>
      </c>
      <c r="B57" s="131" t="str">
        <f t="array" ref="B57">IF(A57="","",IFERROR(INDEX(MasterData!$A$4:$A$500,MATCH(A57,MasterData!$B$4:$B$500,0)),""))</f>
        <v>CLI-035</v>
      </c>
      <c r="C57" s="131">
        <f>IF(A57="","",COUNTIFS('Open Positions'!B:B,A57,'Open Positions'!K:K,"Open"))</f>
        <v>0</v>
      </c>
      <c r="D57" s="131">
        <f>IF(A57="","",SUMIFS('Open Positions'!J:J,'Open Positions'!B:B,A57,'Open Positions'!K:K,"Open"))</f>
        <v>0</v>
      </c>
      <c r="E57" s="131">
        <f>IF(A57="","",SUMIFS('Open Positions'!N:N,'Open Positions'!B:B,A57,'Open Positions'!K:K,"Open"))</f>
        <v>0</v>
      </c>
      <c r="F57" s="131">
        <f>IF(A57="","",SUMIFS('Open Positions'!O:O,'Open Positions'!B:B,A57,'Open Positions'!K:K,"Open"))</f>
        <v>0</v>
      </c>
      <c r="G57" s="131">
        <f>IF(A57="","",COUNTIFS('Candidate Pipeline'!D:D,A57,'Candidate Pipeline'!I:I,"&lt;&gt;Joined",'Candidate Pipeline'!I:I,"&lt;&gt;Candidate Dropped"))</f>
        <v>0</v>
      </c>
      <c r="H57" s="131">
        <f>IF(A57="","",COUNTIFS('Candidate Pipeline'!D:D,A57,'Candidate Pipeline'!I:I,"Joined"))</f>
        <v>0</v>
      </c>
    </row>
    <row r="58" ht="14.25" customHeight="1">
      <c r="A58" s="132" t="s">
        <v>164</v>
      </c>
      <c r="B58" s="132" t="str">
        <f t="array" ref="B58">IF(A58="","",IFERROR(INDEX(MasterData!$A$4:$A$500,MATCH(A58,MasterData!$B$4:$B$500,0)),""))</f>
        <v>CLI-036</v>
      </c>
      <c r="C58" s="132">
        <f>IF(A58="","",COUNTIFS('Open Positions'!B:B,A58,'Open Positions'!K:K,"Open"))</f>
        <v>0</v>
      </c>
      <c r="D58" s="132">
        <f>IF(A58="","",SUMIFS('Open Positions'!J:J,'Open Positions'!B:B,A58,'Open Positions'!K:K,"Open"))</f>
        <v>0</v>
      </c>
      <c r="E58" s="132">
        <f>IF(A58="","",SUMIFS('Open Positions'!N:N,'Open Positions'!B:B,A58,'Open Positions'!K:K,"Open"))</f>
        <v>0</v>
      </c>
      <c r="F58" s="132">
        <f>IF(A58="","",SUMIFS('Open Positions'!O:O,'Open Positions'!B:B,A58,'Open Positions'!K:K,"Open"))</f>
        <v>0</v>
      </c>
      <c r="G58" s="131">
        <f>IF(A58="","",COUNTIFS('Candidate Pipeline'!D:D,A58,'Candidate Pipeline'!I:I,"&lt;&gt;Joined",'Candidate Pipeline'!I:I,"&lt;&gt;Candidate Dropped"))</f>
        <v>0</v>
      </c>
      <c r="H58" s="132">
        <f>IF(A58="","",COUNTIFS('Candidate Pipeline'!D:D,A58,'Candidate Pipeline'!I:I,"Joined"))</f>
        <v>0</v>
      </c>
    </row>
    <row r="59" ht="14.25" customHeight="1">
      <c r="A59" s="131" t="s">
        <v>167</v>
      </c>
      <c r="B59" s="131" t="str">
        <f t="array" ref="B59">IF(A59="","",IFERROR(INDEX(MasterData!$A$4:$A$500,MATCH(A59,MasterData!$B$4:$B$500,0)),""))</f>
        <v>CLI-037</v>
      </c>
      <c r="C59" s="131">
        <f>IF(A59="","",COUNTIFS('Open Positions'!B:B,A59,'Open Positions'!K:K,"Open"))</f>
        <v>2</v>
      </c>
      <c r="D59" s="131">
        <f>IF(A59="","",SUMIFS('Open Positions'!J:J,'Open Positions'!B:B,A59,'Open Positions'!K:K,"Open"))</f>
        <v>2</v>
      </c>
      <c r="E59" s="131">
        <f>IF(A59="","",SUMIFS('Open Positions'!N:N,'Open Positions'!B:B,A59,'Open Positions'!K:K,"Open"))</f>
        <v>0</v>
      </c>
      <c r="F59" s="131">
        <f>IF(A59="","",SUMIFS('Open Positions'!O:O,'Open Positions'!B:B,A59,'Open Positions'!K:K,"Open"))</f>
        <v>2</v>
      </c>
      <c r="G59" s="131">
        <f>IF(A59="","",COUNTIFS('Candidate Pipeline'!D:D,A59,'Candidate Pipeline'!I:I,"&lt;&gt;Joined",'Candidate Pipeline'!I:I,"&lt;&gt;Candidate Dropped"))</f>
        <v>3</v>
      </c>
      <c r="H59" s="131">
        <f>IF(A59="","",COUNTIFS('Candidate Pipeline'!D:D,A59,'Candidate Pipeline'!I:I,"Joined"))</f>
        <v>0</v>
      </c>
    </row>
    <row r="60" ht="14.25" customHeight="1">
      <c r="A60" s="132" t="s">
        <v>170</v>
      </c>
      <c r="B60" s="132" t="str">
        <f t="array" ref="B60">IF(A60="","",IFERROR(INDEX(MasterData!$A$4:$A$500,MATCH(A60,MasterData!$B$4:$B$500,0)),""))</f>
        <v>CLI-038</v>
      </c>
      <c r="C60" s="132">
        <f>IF(A60="","",COUNTIFS('Open Positions'!B:B,A60,'Open Positions'!K:K,"Open"))</f>
        <v>6</v>
      </c>
      <c r="D60" s="132">
        <f>IF(A60="","",SUMIFS('Open Positions'!J:J,'Open Positions'!B:B,A60,'Open Positions'!K:K,"Open"))</f>
        <v>27</v>
      </c>
      <c r="E60" s="132">
        <f>IF(A60="","",SUMIFS('Open Positions'!N:N,'Open Positions'!B:B,A60,'Open Positions'!K:K,"Open"))</f>
        <v>0</v>
      </c>
      <c r="F60" s="132">
        <f>IF(A60="","",SUMIFS('Open Positions'!O:O,'Open Positions'!B:B,A60,'Open Positions'!K:K,"Open"))</f>
        <v>27</v>
      </c>
      <c r="G60" s="131">
        <f>IF(A60="","",COUNTIFS('Candidate Pipeline'!D:D,A60,'Candidate Pipeline'!I:I,"&lt;&gt;Joined",'Candidate Pipeline'!I:I,"&lt;&gt;Candidate Dropped"))</f>
        <v>2</v>
      </c>
      <c r="H60" s="132">
        <f>IF(A60="","",COUNTIFS('Candidate Pipeline'!D:D,A60,'Candidate Pipeline'!I:I,"Joined"))</f>
        <v>1</v>
      </c>
    </row>
    <row r="61" ht="14.25" customHeight="1">
      <c r="A61" s="131" t="s">
        <v>173</v>
      </c>
      <c r="B61" s="131" t="str">
        <f t="array" ref="B61">IF(A61="","",IFERROR(INDEX(MasterData!$A$4:$A$500,MATCH(A61,MasterData!$B$4:$B$500,0)),""))</f>
        <v>CLI-039</v>
      </c>
      <c r="C61" s="131">
        <f>IF(A61="","",COUNTIFS('Open Positions'!B:B,A61,'Open Positions'!K:K,"Open"))</f>
        <v>4</v>
      </c>
      <c r="D61" s="131">
        <f>IF(A61="","",SUMIFS('Open Positions'!J:J,'Open Positions'!B:B,A61,'Open Positions'!K:K,"Open"))</f>
        <v>5</v>
      </c>
      <c r="E61" s="131">
        <f>IF(A61="","",SUMIFS('Open Positions'!N:N,'Open Positions'!B:B,A61,'Open Positions'!K:K,"Open"))</f>
        <v>0</v>
      </c>
      <c r="F61" s="131">
        <f>IF(A61="","",SUMIFS('Open Positions'!O:O,'Open Positions'!B:B,A61,'Open Positions'!K:K,"Open"))</f>
        <v>5</v>
      </c>
      <c r="G61" s="131">
        <f>IF(A61="","",COUNTIFS('Candidate Pipeline'!D:D,A61,'Candidate Pipeline'!I:I,"&lt;&gt;Joined",'Candidate Pipeline'!I:I,"&lt;&gt;Candidate Dropped"))</f>
        <v>10</v>
      </c>
      <c r="H61" s="131">
        <f>IF(A61="","",COUNTIFS('Candidate Pipeline'!D:D,A61,'Candidate Pipeline'!I:I,"Joined"))</f>
        <v>1</v>
      </c>
    </row>
    <row r="62" ht="14.25" customHeight="1">
      <c r="A62" s="132" t="s">
        <v>176</v>
      </c>
      <c r="B62" s="132" t="str">
        <f t="array" ref="B62">IF(A62="","",IFERROR(INDEX(MasterData!$A$4:$A$500,MATCH(A62,MasterData!$B$4:$B$500,0)),""))</f>
        <v>CLI-040</v>
      </c>
      <c r="C62" s="132">
        <f>IF(A62="","",COUNTIFS('Open Positions'!B:B,A62,'Open Positions'!K:K,"Open"))</f>
        <v>0</v>
      </c>
      <c r="D62" s="132">
        <f>IF(A62="","",SUMIFS('Open Positions'!J:J,'Open Positions'!B:B,A62,'Open Positions'!K:K,"Open"))</f>
        <v>0</v>
      </c>
      <c r="E62" s="132">
        <f>IF(A62="","",SUMIFS('Open Positions'!N:N,'Open Positions'!B:B,A62,'Open Positions'!K:K,"Open"))</f>
        <v>0</v>
      </c>
      <c r="F62" s="132">
        <f>IF(A62="","",SUMIFS('Open Positions'!O:O,'Open Positions'!B:B,A62,'Open Positions'!K:K,"Open"))</f>
        <v>0</v>
      </c>
      <c r="G62" s="131">
        <f>IF(A62="","",COUNTIFS('Candidate Pipeline'!D:D,A62,'Candidate Pipeline'!I:I,"&lt;&gt;Joined",'Candidate Pipeline'!I:I,"&lt;&gt;Candidate Dropped"))</f>
        <v>0</v>
      </c>
      <c r="H62" s="132">
        <f>IF(A62="","",COUNTIFS('Candidate Pipeline'!D:D,A62,'Candidate Pipeline'!I:I,"Joined"))</f>
        <v>0</v>
      </c>
    </row>
    <row r="63" ht="14.25" customHeight="1">
      <c r="A63" s="131" t="s">
        <v>179</v>
      </c>
      <c r="B63" s="131" t="str">
        <f t="array" ref="B63">IF(A63="","",IFERROR(INDEX(MasterData!$A$4:$A$500,MATCH(A63,MasterData!$B$4:$B$500,0)),""))</f>
        <v>CLI-041</v>
      </c>
      <c r="C63" s="131">
        <f>IF(A63="","",COUNTIFS('Open Positions'!B:B,A63,'Open Positions'!K:K,"Open"))</f>
        <v>0</v>
      </c>
      <c r="D63" s="131">
        <f>IF(A63="","",SUMIFS('Open Positions'!J:J,'Open Positions'!B:B,A63,'Open Positions'!K:K,"Open"))</f>
        <v>0</v>
      </c>
      <c r="E63" s="131">
        <f>IF(A63="","",SUMIFS('Open Positions'!N:N,'Open Positions'!B:B,A63,'Open Positions'!K:K,"Open"))</f>
        <v>0</v>
      </c>
      <c r="F63" s="131">
        <f>IF(A63="","",SUMIFS('Open Positions'!O:O,'Open Positions'!B:B,A63,'Open Positions'!K:K,"Open"))</f>
        <v>0</v>
      </c>
      <c r="G63" s="131">
        <f>IF(A63="","",COUNTIFS('Candidate Pipeline'!D:D,A63,'Candidate Pipeline'!I:I,"&lt;&gt;Joined",'Candidate Pipeline'!I:I,"&lt;&gt;Candidate Dropped"))</f>
        <v>0</v>
      </c>
      <c r="H63" s="131">
        <f>IF(A63="","",COUNTIFS('Candidate Pipeline'!D:D,A63,'Candidate Pipeline'!I:I,"Joined"))</f>
        <v>0</v>
      </c>
    </row>
    <row r="64" ht="14.25" customHeight="1">
      <c r="A64" s="132" t="s">
        <v>182</v>
      </c>
      <c r="B64" s="132" t="str">
        <f t="array" ref="B64">IF(A64="","",IFERROR(INDEX(MasterData!$A$4:$A$500,MATCH(A64,MasterData!$B$4:$B$500,0)),""))</f>
        <v>CLI-042</v>
      </c>
      <c r="C64" s="132">
        <f>IF(A64="","",COUNTIFS('Open Positions'!B:B,A64,'Open Positions'!K:K,"Open"))</f>
        <v>3</v>
      </c>
      <c r="D64" s="132">
        <f>IF(A64="","",SUMIFS('Open Positions'!J:J,'Open Positions'!B:B,A64,'Open Positions'!K:K,"Open"))</f>
        <v>4</v>
      </c>
      <c r="E64" s="132">
        <f>IF(A64="","",SUMIFS('Open Positions'!N:N,'Open Positions'!B:B,A64,'Open Positions'!K:K,"Open"))</f>
        <v>0</v>
      </c>
      <c r="F64" s="132">
        <f>IF(A64="","",SUMIFS('Open Positions'!O:O,'Open Positions'!B:B,A64,'Open Positions'!K:K,"Open"))</f>
        <v>0</v>
      </c>
      <c r="G64" s="131">
        <f>IF(A64="","",COUNTIFS('Candidate Pipeline'!D:D,A64,'Candidate Pipeline'!I:I,"&lt;&gt;Joined",'Candidate Pipeline'!I:I,"&lt;&gt;Candidate Dropped"))</f>
        <v>8</v>
      </c>
      <c r="H64" s="132">
        <f>IF(A64="","",COUNTIFS('Candidate Pipeline'!D:D,A64,'Candidate Pipeline'!I:I,"Joined"))</f>
        <v>0</v>
      </c>
    </row>
    <row r="65" ht="14.25" customHeight="1">
      <c r="A65" s="131" t="s">
        <v>185</v>
      </c>
      <c r="B65" s="131" t="str">
        <f t="array" ref="B65">IF(A65="","",IFERROR(INDEX(MasterData!$A$4:$A$500,MATCH(A65,MasterData!$B$4:$B$500,0)),""))</f>
        <v>CLI-043</v>
      </c>
      <c r="C65" s="131">
        <f>IF(A65="","",COUNTIFS('Open Positions'!B:B,A65,'Open Positions'!K:K,"Open"))</f>
        <v>0</v>
      </c>
      <c r="D65" s="131">
        <f>IF(A65="","",SUMIFS('Open Positions'!J:J,'Open Positions'!B:B,A65,'Open Positions'!K:K,"Open"))</f>
        <v>0</v>
      </c>
      <c r="E65" s="131">
        <f>IF(A65="","",SUMIFS('Open Positions'!N:N,'Open Positions'!B:B,A65,'Open Positions'!K:K,"Open"))</f>
        <v>0</v>
      </c>
      <c r="F65" s="131">
        <f>IF(A65="","",SUMIFS('Open Positions'!O:O,'Open Positions'!B:B,A65,'Open Positions'!K:K,"Open"))</f>
        <v>0</v>
      </c>
      <c r="G65" s="131">
        <f>IF(A65="","",COUNTIFS('Candidate Pipeline'!D:D,A65,'Candidate Pipeline'!I:I,"&lt;&gt;Joined",'Candidate Pipeline'!I:I,"&lt;&gt;Candidate Dropped"))</f>
        <v>0</v>
      </c>
      <c r="H65" s="131">
        <f>IF(A65="","",COUNTIFS('Candidate Pipeline'!D:D,A65,'Candidate Pipeline'!I:I,"Joined"))</f>
        <v>0</v>
      </c>
    </row>
    <row r="66" ht="14.25" customHeight="1">
      <c r="A66" s="132" t="s">
        <v>188</v>
      </c>
      <c r="B66" s="132" t="str">
        <f t="array" ref="B66">IF(A66="","",IFERROR(INDEX(MasterData!$A$4:$A$500,MATCH(A66,MasterData!$B$4:$B$500,0)),""))</f>
        <v>CLI-044</v>
      </c>
      <c r="C66" s="132">
        <f>IF(A66="","",COUNTIFS('Open Positions'!B:B,A66,'Open Positions'!K:K,"Open"))</f>
        <v>0</v>
      </c>
      <c r="D66" s="132">
        <f>IF(A66="","",SUMIFS('Open Positions'!J:J,'Open Positions'!B:B,A66,'Open Positions'!K:K,"Open"))</f>
        <v>0</v>
      </c>
      <c r="E66" s="132">
        <f>IF(A66="","",SUMIFS('Open Positions'!N:N,'Open Positions'!B:B,A66,'Open Positions'!K:K,"Open"))</f>
        <v>0</v>
      </c>
      <c r="F66" s="132">
        <f>IF(A66="","",SUMIFS('Open Positions'!O:O,'Open Positions'!B:B,A66,'Open Positions'!K:K,"Open"))</f>
        <v>0</v>
      </c>
      <c r="G66" s="131">
        <f>IF(A66="","",COUNTIFS('Candidate Pipeline'!D:D,A66,'Candidate Pipeline'!I:I,"&lt;&gt;Joined",'Candidate Pipeline'!I:I,"&lt;&gt;Candidate Dropped"))</f>
        <v>0</v>
      </c>
      <c r="H66" s="132">
        <f>IF(A66="","",COUNTIFS('Candidate Pipeline'!D:D,A66,'Candidate Pipeline'!I:I,"Joined"))</f>
        <v>0</v>
      </c>
    </row>
    <row r="67" ht="14.25" customHeight="1">
      <c r="A67" s="131" t="s">
        <v>191</v>
      </c>
      <c r="B67" s="131" t="str">
        <f t="array" ref="B67">IF(A67="","",IFERROR(INDEX(MasterData!$A$4:$A$500,MATCH(A67,MasterData!$B$4:$B$500,0)),""))</f>
        <v>CLI-045</v>
      </c>
      <c r="C67" s="131">
        <f>IF(A67="","",COUNTIFS('Open Positions'!B:B,A67,'Open Positions'!K:K,"Open"))</f>
        <v>2</v>
      </c>
      <c r="D67" s="131">
        <f>IF(A67="","",SUMIFS('Open Positions'!J:J,'Open Positions'!B:B,A67,'Open Positions'!K:K,"Open"))</f>
        <v>2</v>
      </c>
      <c r="E67" s="131">
        <f>IF(A67="","",SUMIFS('Open Positions'!N:N,'Open Positions'!B:B,A67,'Open Positions'!K:K,"Open"))</f>
        <v>0</v>
      </c>
      <c r="F67" s="131">
        <f>IF(A67="","",SUMIFS('Open Positions'!O:O,'Open Positions'!B:B,A67,'Open Positions'!K:K,"Open"))</f>
        <v>2</v>
      </c>
      <c r="G67" s="131">
        <f>IF(A67="","",COUNTIFS('Candidate Pipeline'!D:D,A67,'Candidate Pipeline'!I:I,"&lt;&gt;Joined",'Candidate Pipeline'!I:I,"&lt;&gt;Candidate Dropped"))</f>
        <v>0</v>
      </c>
      <c r="H67" s="131">
        <f>IF(A67="","",COUNTIFS('Candidate Pipeline'!D:D,A67,'Candidate Pipeline'!I:I,"Joined"))</f>
        <v>0</v>
      </c>
    </row>
    <row r="68" ht="14.25" customHeight="1">
      <c r="A68" s="132" t="s">
        <v>194</v>
      </c>
      <c r="B68" s="132" t="str">
        <f t="array" ref="B68">IF(A68="","",IFERROR(INDEX(MasterData!$A$4:$A$500,MATCH(A68,MasterData!$B$4:$B$500,0)),""))</f>
        <v>CLI-046</v>
      </c>
      <c r="C68" s="132">
        <f>IF(A68="","",COUNTIFS('Open Positions'!B:B,A68,'Open Positions'!K:K,"Open"))</f>
        <v>0</v>
      </c>
      <c r="D68" s="132">
        <f>IF(A68="","",SUMIFS('Open Positions'!J:J,'Open Positions'!B:B,A68,'Open Positions'!K:K,"Open"))</f>
        <v>0</v>
      </c>
      <c r="E68" s="132">
        <f>IF(A68="","",SUMIFS('Open Positions'!N:N,'Open Positions'!B:B,A68,'Open Positions'!K:K,"Open"))</f>
        <v>0</v>
      </c>
      <c r="F68" s="132">
        <f>IF(A68="","",SUMIFS('Open Positions'!O:O,'Open Positions'!B:B,A68,'Open Positions'!K:K,"Open"))</f>
        <v>0</v>
      </c>
      <c r="G68" s="131">
        <f>IF(A68="","",COUNTIFS('Candidate Pipeline'!D:D,A68,'Candidate Pipeline'!I:I,"&lt;&gt;Joined",'Candidate Pipeline'!I:I,"&lt;&gt;Candidate Dropped"))</f>
        <v>0</v>
      </c>
      <c r="H68" s="132">
        <f>IF(A68="","",COUNTIFS('Candidate Pipeline'!D:D,A68,'Candidate Pipeline'!I:I,"Joined"))</f>
        <v>0</v>
      </c>
    </row>
    <row r="69" ht="14.25" customHeight="1">
      <c r="A69" s="131" t="s">
        <v>197</v>
      </c>
      <c r="B69" s="131" t="str">
        <f t="array" ref="B69">IF(A69="","",IFERROR(INDEX(MasterData!$A$4:$A$500,MATCH(A69,MasterData!$B$4:$B$500,0)),""))</f>
        <v>CLI-047</v>
      </c>
      <c r="C69" s="131">
        <f>IF(A69="","",COUNTIFS('Open Positions'!B:B,A69,'Open Positions'!K:K,"Open"))</f>
        <v>0</v>
      </c>
      <c r="D69" s="131">
        <f>IF(A69="","",SUMIFS('Open Positions'!J:J,'Open Positions'!B:B,A69,'Open Positions'!K:K,"Open"))</f>
        <v>0</v>
      </c>
      <c r="E69" s="131">
        <f>IF(A69="","",SUMIFS('Open Positions'!N:N,'Open Positions'!B:B,A69,'Open Positions'!K:K,"Open"))</f>
        <v>0</v>
      </c>
      <c r="F69" s="131">
        <f>IF(A69="","",SUMIFS('Open Positions'!O:O,'Open Positions'!B:B,A69,'Open Positions'!K:K,"Open"))</f>
        <v>0</v>
      </c>
      <c r="G69" s="131">
        <f>IF(A69="","",COUNTIFS('Candidate Pipeline'!D:D,A69,'Candidate Pipeline'!I:I,"&lt;&gt;Joined",'Candidate Pipeline'!I:I,"&lt;&gt;Candidate Dropped"))</f>
        <v>0</v>
      </c>
      <c r="H69" s="131">
        <f>IF(A69="","",COUNTIFS('Candidate Pipeline'!D:D,A69,'Candidate Pipeline'!I:I,"Joined"))</f>
        <v>0</v>
      </c>
    </row>
    <row r="70" ht="14.25" customHeight="1">
      <c r="A70" s="132" t="s">
        <v>200</v>
      </c>
      <c r="B70" s="132" t="str">
        <f t="array" ref="B70">IF(A70="","",IFERROR(INDEX(MasterData!$A$4:$A$500,MATCH(A70,MasterData!$B$4:$B$500,0)),""))</f>
        <v>CLI-048</v>
      </c>
      <c r="C70" s="132">
        <f>IF(A70="","",COUNTIFS('Open Positions'!B:B,A70,'Open Positions'!K:K,"Open"))</f>
        <v>0</v>
      </c>
      <c r="D70" s="132">
        <f>IF(A70="","",SUMIFS('Open Positions'!J:J,'Open Positions'!B:B,A70,'Open Positions'!K:K,"Open"))</f>
        <v>0</v>
      </c>
      <c r="E70" s="132">
        <f>IF(A70="","",SUMIFS('Open Positions'!N:N,'Open Positions'!B:B,A70,'Open Positions'!K:K,"Open"))</f>
        <v>0</v>
      </c>
      <c r="F70" s="132">
        <f>IF(A70="","",SUMIFS('Open Positions'!O:O,'Open Positions'!B:B,A70,'Open Positions'!K:K,"Open"))</f>
        <v>0</v>
      </c>
      <c r="G70" s="131">
        <f>IF(A70="","",COUNTIFS('Candidate Pipeline'!D:D,A70,'Candidate Pipeline'!I:I,"&lt;&gt;Joined",'Candidate Pipeline'!I:I,"&lt;&gt;Candidate Dropped"))</f>
        <v>0</v>
      </c>
      <c r="H70" s="132">
        <f>IF(A70="","",COUNTIFS('Candidate Pipeline'!D:D,A70,'Candidate Pipeline'!I:I,"Joined"))</f>
        <v>0</v>
      </c>
    </row>
    <row r="71" ht="14.25" customHeight="1">
      <c r="A71" s="131" t="s">
        <v>203</v>
      </c>
      <c r="B71" s="131" t="str">
        <f t="array" ref="B71">IF(A71="","",IFERROR(INDEX(MasterData!$A$4:$A$500,MATCH(A71,MasterData!$B$4:$B$500,0)),""))</f>
        <v>CLI-049</v>
      </c>
      <c r="C71" s="131">
        <f>IF(A71="","",COUNTIFS('Open Positions'!B:B,A71,'Open Positions'!K:K,"Open"))</f>
        <v>0</v>
      </c>
      <c r="D71" s="131">
        <f>IF(A71="","",SUMIFS('Open Positions'!J:J,'Open Positions'!B:B,A71,'Open Positions'!K:K,"Open"))</f>
        <v>0</v>
      </c>
      <c r="E71" s="131">
        <f>IF(A71="","",SUMIFS('Open Positions'!N:N,'Open Positions'!B:B,A71,'Open Positions'!K:K,"Open"))</f>
        <v>0</v>
      </c>
      <c r="F71" s="131">
        <f>IF(A71="","",SUMIFS('Open Positions'!O:O,'Open Positions'!B:B,A71,'Open Positions'!K:K,"Open"))</f>
        <v>0</v>
      </c>
      <c r="G71" s="131">
        <f>IF(A71="","",COUNTIFS('Candidate Pipeline'!D:D,A71,'Candidate Pipeline'!I:I,"&lt;&gt;Joined",'Candidate Pipeline'!I:I,"&lt;&gt;Candidate Dropped"))</f>
        <v>0</v>
      </c>
      <c r="H71" s="131">
        <f>IF(A71="","",COUNTIFS('Candidate Pipeline'!D:D,A71,'Candidate Pipeline'!I:I,"Joined"))</f>
        <v>0</v>
      </c>
    </row>
    <row r="72" ht="14.25" customHeight="1">
      <c r="A72" s="132" t="s">
        <v>206</v>
      </c>
      <c r="B72" s="132" t="str">
        <f t="array" ref="B72">IF(A72="","",IFERROR(INDEX(MasterData!$A$4:$A$500,MATCH(A72,MasterData!$B$4:$B$500,0)),""))</f>
        <v>CLI-050</v>
      </c>
      <c r="C72" s="132">
        <f>IF(A72="","",COUNTIFS('Open Positions'!B:B,A72,'Open Positions'!K:K,"Open"))</f>
        <v>0</v>
      </c>
      <c r="D72" s="132">
        <f>IF(A72="","",SUMIFS('Open Positions'!J:J,'Open Positions'!B:B,A72,'Open Positions'!K:K,"Open"))</f>
        <v>0</v>
      </c>
      <c r="E72" s="132">
        <f>IF(A72="","",SUMIFS('Open Positions'!N:N,'Open Positions'!B:B,A72,'Open Positions'!K:K,"Open"))</f>
        <v>0</v>
      </c>
      <c r="F72" s="132">
        <f>IF(A72="","",SUMIFS('Open Positions'!O:O,'Open Positions'!B:B,A72,'Open Positions'!K:K,"Open"))</f>
        <v>0</v>
      </c>
      <c r="G72" s="131">
        <f>IF(A72="","",COUNTIFS('Candidate Pipeline'!D:D,A72,'Candidate Pipeline'!I:I,"&lt;&gt;Joined",'Candidate Pipeline'!I:I,"&lt;&gt;Candidate Dropped"))</f>
        <v>0</v>
      </c>
      <c r="H72" s="132">
        <f>IF(A72="","",COUNTIFS('Candidate Pipeline'!D:D,A72,'Candidate Pipeline'!I:I,"Joined"))</f>
        <v>1</v>
      </c>
    </row>
    <row r="73" ht="14.25" customHeight="1">
      <c r="A73" s="131" t="s">
        <v>209</v>
      </c>
      <c r="B73" s="131" t="str">
        <f t="array" ref="B73">IF(A73="","",IFERROR(INDEX(MasterData!$A$4:$A$500,MATCH(A73,MasterData!$B$4:$B$500,0)),""))</f>
        <v>CLI-051</v>
      </c>
      <c r="C73" s="131">
        <f>IF(A73="","",COUNTIFS('Open Positions'!B:B,A73,'Open Positions'!K:K,"Open"))</f>
        <v>0</v>
      </c>
      <c r="D73" s="131">
        <f>IF(A73="","",SUMIFS('Open Positions'!J:J,'Open Positions'!B:B,A73,'Open Positions'!K:K,"Open"))</f>
        <v>0</v>
      </c>
      <c r="E73" s="131">
        <f>IF(A73="","",SUMIFS('Open Positions'!N:N,'Open Positions'!B:B,A73,'Open Positions'!K:K,"Open"))</f>
        <v>0</v>
      </c>
      <c r="F73" s="131">
        <f>IF(A73="","",SUMIFS('Open Positions'!O:O,'Open Positions'!B:B,A73,'Open Positions'!K:K,"Open"))</f>
        <v>0</v>
      </c>
      <c r="G73" s="131">
        <f>IF(A73="","",COUNTIFS('Candidate Pipeline'!D:D,A73,'Candidate Pipeline'!I:I,"&lt;&gt;Joined",'Candidate Pipeline'!I:I,"&lt;&gt;Candidate Dropped"))</f>
        <v>0</v>
      </c>
      <c r="H73" s="131">
        <f>IF(A73="","",COUNTIFS('Candidate Pipeline'!D:D,A73,'Candidate Pipeline'!I:I,"Joined"))</f>
        <v>0</v>
      </c>
    </row>
    <row r="74" ht="14.25" customHeight="1">
      <c r="A74" s="132" t="s">
        <v>212</v>
      </c>
      <c r="B74" s="132" t="str">
        <f t="array" ref="B74">IF(A74="","",IFERROR(INDEX(MasterData!$A$4:$A$500,MATCH(A74,MasterData!$B$4:$B$500,0)),""))</f>
        <v>CLI-052</v>
      </c>
      <c r="C74" s="132">
        <f>IF(A74="","",COUNTIFS('Open Positions'!B:B,A74,'Open Positions'!K:K,"Open"))</f>
        <v>0</v>
      </c>
      <c r="D74" s="132">
        <f>IF(A74="","",SUMIFS('Open Positions'!J:J,'Open Positions'!B:B,A74,'Open Positions'!K:K,"Open"))</f>
        <v>0</v>
      </c>
      <c r="E74" s="132">
        <f>IF(A74="","",SUMIFS('Open Positions'!N:N,'Open Positions'!B:B,A74,'Open Positions'!K:K,"Open"))</f>
        <v>0</v>
      </c>
      <c r="F74" s="132">
        <f>IF(A74="","",SUMIFS('Open Positions'!O:O,'Open Positions'!B:B,A74,'Open Positions'!K:K,"Open"))</f>
        <v>0</v>
      </c>
      <c r="G74" s="131">
        <f>IF(A74="","",COUNTIFS('Candidate Pipeline'!D:D,A74,'Candidate Pipeline'!I:I,"&lt;&gt;Joined",'Candidate Pipeline'!I:I,"&lt;&gt;Candidate Dropped"))</f>
        <v>0</v>
      </c>
      <c r="H74" s="132">
        <f>IF(A74="","",COUNTIFS('Candidate Pipeline'!D:D,A74,'Candidate Pipeline'!I:I,"Joined"))</f>
        <v>0</v>
      </c>
    </row>
    <row r="75" ht="14.25" customHeight="1">
      <c r="A75" s="131" t="s">
        <v>215</v>
      </c>
      <c r="B75" s="131" t="str">
        <f t="array" ref="B75">IF(A75="","",IFERROR(INDEX(MasterData!$A$4:$A$500,MATCH(A75,MasterData!$B$4:$B$500,0)),""))</f>
        <v>CLI-053</v>
      </c>
      <c r="C75" s="131">
        <f>IF(A75="","",COUNTIFS('Open Positions'!B:B,A75,'Open Positions'!K:K,"Open"))</f>
        <v>0</v>
      </c>
      <c r="D75" s="131">
        <f>IF(A75="","",SUMIFS('Open Positions'!J:J,'Open Positions'!B:B,A75,'Open Positions'!K:K,"Open"))</f>
        <v>0</v>
      </c>
      <c r="E75" s="131">
        <f>IF(A75="","",SUMIFS('Open Positions'!N:N,'Open Positions'!B:B,A75,'Open Positions'!K:K,"Open"))</f>
        <v>0</v>
      </c>
      <c r="F75" s="131">
        <f>IF(A75="","",SUMIFS('Open Positions'!O:O,'Open Positions'!B:B,A75,'Open Positions'!K:K,"Open"))</f>
        <v>0</v>
      </c>
      <c r="G75" s="131">
        <f>IF(A75="","",COUNTIFS('Candidate Pipeline'!D:D,A75,'Candidate Pipeline'!I:I,"&lt;&gt;Joined",'Candidate Pipeline'!I:I,"&lt;&gt;Candidate Dropped"))</f>
        <v>0</v>
      </c>
      <c r="H75" s="131">
        <f>IF(A75="","",COUNTIFS('Candidate Pipeline'!D:D,A75,'Candidate Pipeline'!I:I,"Joined"))</f>
        <v>0</v>
      </c>
    </row>
    <row r="76" ht="14.25" customHeight="1">
      <c r="A76" s="132" t="s">
        <v>218</v>
      </c>
      <c r="B76" s="132" t="str">
        <f t="array" ref="B76">IF(A76="","",IFERROR(INDEX(MasterData!$A$4:$A$500,MATCH(A76,MasterData!$B$4:$B$500,0)),""))</f>
        <v>CLI-054</v>
      </c>
      <c r="C76" s="132">
        <f>IF(A76="","",COUNTIFS('Open Positions'!B:B,A76,'Open Positions'!K:K,"Open"))</f>
        <v>0</v>
      </c>
      <c r="D76" s="132">
        <f>IF(A76="","",SUMIFS('Open Positions'!J:J,'Open Positions'!B:B,A76,'Open Positions'!K:K,"Open"))</f>
        <v>0</v>
      </c>
      <c r="E76" s="132">
        <f>IF(A76="","",SUMIFS('Open Positions'!N:N,'Open Positions'!B:B,A76,'Open Positions'!K:K,"Open"))</f>
        <v>0</v>
      </c>
      <c r="F76" s="132">
        <f>IF(A76="","",SUMIFS('Open Positions'!O:O,'Open Positions'!B:B,A76,'Open Positions'!K:K,"Open"))</f>
        <v>0</v>
      </c>
      <c r="G76" s="131">
        <f>IF(A76="","",COUNTIFS('Candidate Pipeline'!D:D,A76,'Candidate Pipeline'!I:I,"&lt;&gt;Joined",'Candidate Pipeline'!I:I,"&lt;&gt;Candidate Dropped"))</f>
        <v>0</v>
      </c>
      <c r="H76" s="132">
        <f>IF(A76="","",COUNTIFS('Candidate Pipeline'!D:D,A76,'Candidate Pipeline'!I:I,"Joined"))</f>
        <v>0</v>
      </c>
    </row>
    <row r="77" ht="14.25" customHeight="1">
      <c r="A77" s="131" t="s">
        <v>221</v>
      </c>
      <c r="B77" s="131" t="str">
        <f t="array" ref="B77">IF(A77="","",IFERROR(INDEX(MasterData!$A$4:$A$500,MATCH(A77,MasterData!$B$4:$B$500,0)),""))</f>
        <v>CLI-055</v>
      </c>
      <c r="C77" s="131">
        <f>IF(A77="","",COUNTIFS('Open Positions'!B:B,A77,'Open Positions'!K:K,"Open"))</f>
        <v>0</v>
      </c>
      <c r="D77" s="131">
        <f>IF(A77="","",SUMIFS('Open Positions'!J:J,'Open Positions'!B:B,A77,'Open Positions'!K:K,"Open"))</f>
        <v>0</v>
      </c>
      <c r="E77" s="131">
        <f>IF(A77="","",SUMIFS('Open Positions'!N:N,'Open Positions'!B:B,A77,'Open Positions'!K:K,"Open"))</f>
        <v>0</v>
      </c>
      <c r="F77" s="131">
        <f>IF(A77="","",SUMIFS('Open Positions'!O:O,'Open Positions'!B:B,A77,'Open Positions'!K:K,"Open"))</f>
        <v>0</v>
      </c>
      <c r="G77" s="131">
        <f>IF(A77="","",COUNTIFS('Candidate Pipeline'!D:D,A77,'Candidate Pipeline'!I:I,"&lt;&gt;Joined",'Candidate Pipeline'!I:I,"&lt;&gt;Candidate Dropped"))</f>
        <v>0</v>
      </c>
      <c r="H77" s="131">
        <f>IF(A77="","",COUNTIFS('Candidate Pipeline'!D:D,A77,'Candidate Pipeline'!I:I,"Joined"))</f>
        <v>0</v>
      </c>
    </row>
    <row r="78" ht="14.25" customHeight="1">
      <c r="A78" s="132" t="s">
        <v>224</v>
      </c>
      <c r="B78" s="132" t="str">
        <f t="array" ref="B78">IF(A78="","",IFERROR(INDEX(MasterData!$A$4:$A$500,MATCH(A78,MasterData!$B$4:$B$500,0)),""))</f>
        <v>CLI-056</v>
      </c>
      <c r="C78" s="132">
        <f>IF(A78="","",COUNTIFS('Open Positions'!B:B,A78,'Open Positions'!K:K,"Open"))</f>
        <v>0</v>
      </c>
      <c r="D78" s="132">
        <f>IF(A78="","",SUMIFS('Open Positions'!J:J,'Open Positions'!B:B,A78,'Open Positions'!K:K,"Open"))</f>
        <v>0</v>
      </c>
      <c r="E78" s="132">
        <f>IF(A78="","",SUMIFS('Open Positions'!N:N,'Open Positions'!B:B,A78,'Open Positions'!K:K,"Open"))</f>
        <v>0</v>
      </c>
      <c r="F78" s="132">
        <f>IF(A78="","",SUMIFS('Open Positions'!O:O,'Open Positions'!B:B,A78,'Open Positions'!K:K,"Open"))</f>
        <v>0</v>
      </c>
      <c r="G78" s="131">
        <f>IF(A78="","",COUNTIFS('Candidate Pipeline'!D:D,A78,'Candidate Pipeline'!I:I,"&lt;&gt;Joined",'Candidate Pipeline'!I:I,"&lt;&gt;Candidate Dropped"))</f>
        <v>0</v>
      </c>
      <c r="H78" s="132">
        <f>IF(A78="","",COUNTIFS('Candidate Pipeline'!D:D,A78,'Candidate Pipeline'!I:I,"Joined"))</f>
        <v>0</v>
      </c>
    </row>
    <row r="79" ht="14.25" customHeight="1">
      <c r="A79" s="131" t="s">
        <v>227</v>
      </c>
      <c r="B79" s="131" t="str">
        <f t="array" ref="B79">IF(A79="","",IFERROR(INDEX(MasterData!$A$4:$A$500,MATCH(A79,MasterData!$B$4:$B$500,0)),""))</f>
        <v>CLI-057</v>
      </c>
      <c r="C79" s="131">
        <f>IF(A79="","",COUNTIFS('Open Positions'!B:B,A79,'Open Positions'!K:K,"Open"))</f>
        <v>0</v>
      </c>
      <c r="D79" s="131">
        <f>IF(A79="","",SUMIFS('Open Positions'!J:J,'Open Positions'!B:B,A79,'Open Positions'!K:K,"Open"))</f>
        <v>0</v>
      </c>
      <c r="E79" s="131">
        <f>IF(A79="","",SUMIFS('Open Positions'!N:N,'Open Positions'!B:B,A79,'Open Positions'!K:K,"Open"))</f>
        <v>0</v>
      </c>
      <c r="F79" s="131">
        <f>IF(A79="","",SUMIFS('Open Positions'!O:O,'Open Positions'!B:B,A79,'Open Positions'!K:K,"Open"))</f>
        <v>0</v>
      </c>
      <c r="G79" s="131">
        <f>IF(A79="","",COUNTIFS('Candidate Pipeline'!D:D,A79,'Candidate Pipeline'!I:I,"&lt;&gt;Joined",'Candidate Pipeline'!I:I,"&lt;&gt;Candidate Dropped"))</f>
        <v>0</v>
      </c>
      <c r="H79" s="131">
        <f>IF(A79="","",COUNTIFS('Candidate Pipeline'!D:D,A79,'Candidate Pipeline'!I:I,"Joined"))</f>
        <v>0</v>
      </c>
    </row>
    <row r="80" ht="14.25" customHeight="1">
      <c r="A80" s="132" t="s">
        <v>230</v>
      </c>
      <c r="B80" s="132" t="str">
        <f t="array" ref="B80">IF(A80="","",IFERROR(INDEX(MasterData!$A$4:$A$500,MATCH(A80,MasterData!$B$4:$B$500,0)),""))</f>
        <v>CLI-058</v>
      </c>
      <c r="C80" s="132">
        <f>IF(A80="","",COUNTIFS('Open Positions'!B:B,A80,'Open Positions'!K:K,"Open"))</f>
        <v>0</v>
      </c>
      <c r="D80" s="132">
        <f>IF(A80="","",SUMIFS('Open Positions'!J:J,'Open Positions'!B:B,A80,'Open Positions'!K:K,"Open"))</f>
        <v>0</v>
      </c>
      <c r="E80" s="132">
        <f>IF(A80="","",SUMIFS('Open Positions'!N:N,'Open Positions'!B:B,A80,'Open Positions'!K:K,"Open"))</f>
        <v>0</v>
      </c>
      <c r="F80" s="132">
        <f>IF(A80="","",SUMIFS('Open Positions'!O:O,'Open Positions'!B:B,A80,'Open Positions'!K:K,"Open"))</f>
        <v>0</v>
      </c>
      <c r="G80" s="131">
        <f>IF(A80="","",COUNTIFS('Candidate Pipeline'!D:D,A80,'Candidate Pipeline'!I:I,"&lt;&gt;Joined",'Candidate Pipeline'!I:I,"&lt;&gt;Candidate Dropped"))</f>
        <v>0</v>
      </c>
      <c r="H80" s="132">
        <f>IF(A80="","",COUNTIFS('Candidate Pipeline'!D:D,A80,'Candidate Pipeline'!I:I,"Joined"))</f>
        <v>0</v>
      </c>
    </row>
    <row r="81" ht="14.25" customHeight="1">
      <c r="A81" s="131" t="s">
        <v>233</v>
      </c>
      <c r="B81" s="131" t="str">
        <f t="array" ref="B81">IF(A81="","",IFERROR(INDEX(MasterData!$A$4:$A$500,MATCH(A81,MasterData!$B$4:$B$500,0)),""))</f>
        <v>CLI-059</v>
      </c>
      <c r="C81" s="131">
        <f>IF(A81="","",COUNTIFS('Open Positions'!B:B,A81,'Open Positions'!K:K,"Open"))</f>
        <v>0</v>
      </c>
      <c r="D81" s="131">
        <f>IF(A81="","",SUMIFS('Open Positions'!J:J,'Open Positions'!B:B,A81,'Open Positions'!K:K,"Open"))</f>
        <v>0</v>
      </c>
      <c r="E81" s="131">
        <f>IF(A81="","",SUMIFS('Open Positions'!N:N,'Open Positions'!B:B,A81,'Open Positions'!K:K,"Open"))</f>
        <v>0</v>
      </c>
      <c r="F81" s="131">
        <f>IF(A81="","",SUMIFS('Open Positions'!O:O,'Open Positions'!B:B,A81,'Open Positions'!K:K,"Open"))</f>
        <v>0</v>
      </c>
      <c r="G81" s="131">
        <f>IF(A81="","",COUNTIFS('Candidate Pipeline'!D:D,A81,'Candidate Pipeline'!I:I,"&lt;&gt;Joined",'Candidate Pipeline'!I:I,"&lt;&gt;Candidate Dropped"))</f>
        <v>0</v>
      </c>
      <c r="H81" s="131">
        <f>IF(A81="","",COUNTIFS('Candidate Pipeline'!D:D,A81,'Candidate Pipeline'!I:I,"Joined"))</f>
        <v>0</v>
      </c>
    </row>
    <row r="82" ht="14.25" customHeight="1">
      <c r="A82" s="132" t="s">
        <v>236</v>
      </c>
      <c r="B82" s="132" t="str">
        <f t="array" ref="B82">IF(A82="","",IFERROR(INDEX(MasterData!$A$4:$A$500,MATCH(A82,MasterData!$B$4:$B$500,0)),""))</f>
        <v>CLI-060</v>
      </c>
      <c r="C82" s="132">
        <f>IF(A82="","",COUNTIFS('Open Positions'!B:B,A82,'Open Positions'!K:K,"Open"))</f>
        <v>0</v>
      </c>
      <c r="D82" s="132">
        <f>IF(A82="","",SUMIFS('Open Positions'!J:J,'Open Positions'!B:B,A82,'Open Positions'!K:K,"Open"))</f>
        <v>0</v>
      </c>
      <c r="E82" s="132">
        <f>IF(A82="","",SUMIFS('Open Positions'!N:N,'Open Positions'!B:B,A82,'Open Positions'!K:K,"Open"))</f>
        <v>0</v>
      </c>
      <c r="F82" s="132">
        <f>IF(A82="","",SUMIFS('Open Positions'!O:O,'Open Positions'!B:B,A82,'Open Positions'!K:K,"Open"))</f>
        <v>0</v>
      </c>
      <c r="G82" s="131">
        <f>IF(A82="","",COUNTIFS('Candidate Pipeline'!D:D,A82,'Candidate Pipeline'!I:I,"&lt;&gt;Joined",'Candidate Pipeline'!I:I,"&lt;&gt;Candidate Dropped"))</f>
        <v>1</v>
      </c>
      <c r="H82" s="132">
        <f>IF(A82="","",COUNTIFS('Candidate Pipeline'!D:D,A82,'Candidate Pipeline'!I:I,"Joined"))</f>
        <v>0</v>
      </c>
    </row>
    <row r="83" ht="14.25" customHeight="1">
      <c r="A83" s="131" t="s">
        <v>239</v>
      </c>
      <c r="B83" s="131" t="str">
        <f t="array" ref="B83">IF(A83="","",IFERROR(INDEX(MasterData!$A$4:$A$500,MATCH(A83,MasterData!$B$4:$B$500,0)),""))</f>
        <v>CLI-061</v>
      </c>
      <c r="C83" s="131">
        <f>IF(A83="","",COUNTIFS('Open Positions'!B:B,A83,'Open Positions'!K:K,"Open"))</f>
        <v>4</v>
      </c>
      <c r="D83" s="131">
        <f>IF(A83="","",SUMIFS('Open Positions'!J:J,'Open Positions'!B:B,A83,'Open Positions'!K:K,"Open"))</f>
        <v>7</v>
      </c>
      <c r="E83" s="131">
        <f>IF(A83="","",SUMIFS('Open Positions'!N:N,'Open Positions'!B:B,A83,'Open Positions'!K:K,"Open"))</f>
        <v>0</v>
      </c>
      <c r="F83" s="131">
        <f>IF(A83="","",SUMIFS('Open Positions'!O:O,'Open Positions'!B:B,A83,'Open Positions'!K:K,"Open"))</f>
        <v>7</v>
      </c>
      <c r="G83" s="131">
        <f>IF(A83="","",COUNTIFS('Candidate Pipeline'!D:D,A83,'Candidate Pipeline'!I:I,"&lt;&gt;Joined",'Candidate Pipeline'!I:I,"&lt;&gt;Candidate Dropped"))</f>
        <v>17</v>
      </c>
      <c r="H83" s="131">
        <f>IF(A83="","",COUNTIFS('Candidate Pipeline'!D:D,A83,'Candidate Pipeline'!I:I,"Joined"))</f>
        <v>1</v>
      </c>
    </row>
    <row r="84" ht="14.25" customHeight="1">
      <c r="A84" s="132" t="s">
        <v>242</v>
      </c>
      <c r="B84" s="132" t="str">
        <f t="array" ref="B84">IF(A84="","",IFERROR(INDEX(MasterData!$A$4:$A$500,MATCH(A84,MasterData!$B$4:$B$500,0)),""))</f>
        <v>CLI-062</v>
      </c>
      <c r="C84" s="132">
        <f>IF(A84="","",COUNTIFS('Open Positions'!B:B,A84,'Open Positions'!K:K,"Open"))</f>
        <v>0</v>
      </c>
      <c r="D84" s="132">
        <f>IF(A84="","",SUMIFS('Open Positions'!J:J,'Open Positions'!B:B,A84,'Open Positions'!K:K,"Open"))</f>
        <v>0</v>
      </c>
      <c r="E84" s="132">
        <f>IF(A84="","",SUMIFS('Open Positions'!N:N,'Open Positions'!B:B,A84,'Open Positions'!K:K,"Open"))</f>
        <v>0</v>
      </c>
      <c r="F84" s="132">
        <f>IF(A84="","",SUMIFS('Open Positions'!O:O,'Open Positions'!B:B,A84,'Open Positions'!K:K,"Open"))</f>
        <v>0</v>
      </c>
      <c r="G84" s="131">
        <f>IF(A84="","",COUNTIFS('Candidate Pipeline'!D:D,A84,'Candidate Pipeline'!I:I,"&lt;&gt;Joined",'Candidate Pipeline'!I:I,"&lt;&gt;Candidate Dropped"))</f>
        <v>0</v>
      </c>
      <c r="H84" s="132">
        <f>IF(A84="","",COUNTIFS('Candidate Pipeline'!D:D,A84,'Candidate Pipeline'!I:I,"Joined"))</f>
        <v>0</v>
      </c>
    </row>
    <row r="85" ht="14.25" customHeight="1">
      <c r="A85" s="131" t="s">
        <v>245</v>
      </c>
      <c r="B85" s="131" t="str">
        <f t="array" ref="B85">IF(A85="","",IFERROR(INDEX(MasterData!$A$4:$A$500,MATCH(A85,MasterData!$B$4:$B$500,0)),""))</f>
        <v>CLI-063</v>
      </c>
      <c r="C85" s="131">
        <f>IF(A85="","",COUNTIFS('Open Positions'!B:B,A85,'Open Positions'!K:K,"Open"))</f>
        <v>0</v>
      </c>
      <c r="D85" s="131">
        <f>IF(A85="","",SUMIFS('Open Positions'!J:J,'Open Positions'!B:B,A85,'Open Positions'!K:K,"Open"))</f>
        <v>0</v>
      </c>
      <c r="E85" s="131">
        <f>IF(A85="","",SUMIFS('Open Positions'!N:N,'Open Positions'!B:B,A85,'Open Positions'!K:K,"Open"))</f>
        <v>0</v>
      </c>
      <c r="F85" s="131">
        <f>IF(A85="","",SUMIFS('Open Positions'!O:O,'Open Positions'!B:B,A85,'Open Positions'!K:K,"Open"))</f>
        <v>0</v>
      </c>
      <c r="G85" s="131">
        <f>IF(A85="","",COUNTIFS('Candidate Pipeline'!D:D,A85,'Candidate Pipeline'!I:I,"&lt;&gt;Joined",'Candidate Pipeline'!I:I,"&lt;&gt;Candidate Dropped"))</f>
        <v>0</v>
      </c>
      <c r="H85" s="131">
        <f>IF(A85="","",COUNTIFS('Candidate Pipeline'!D:D,A85,'Candidate Pipeline'!I:I,"Joined"))</f>
        <v>0</v>
      </c>
    </row>
    <row r="86" ht="14.25" customHeight="1">
      <c r="A86" s="132" t="s">
        <v>248</v>
      </c>
      <c r="B86" s="132" t="str">
        <f t="array" ref="B86">IF(A86="","",IFERROR(INDEX(MasterData!$A$4:$A$500,MATCH(A86,MasterData!$B$4:$B$500,0)),""))</f>
        <v>CLI-064</v>
      </c>
      <c r="C86" s="132">
        <f>IF(A86="","",COUNTIFS('Open Positions'!B:B,A86,'Open Positions'!K:K,"Open"))</f>
        <v>0</v>
      </c>
      <c r="D86" s="132">
        <f>IF(A86="","",SUMIFS('Open Positions'!J:J,'Open Positions'!B:B,A86,'Open Positions'!K:K,"Open"))</f>
        <v>0</v>
      </c>
      <c r="E86" s="132">
        <f>IF(A86="","",SUMIFS('Open Positions'!N:N,'Open Positions'!B:B,A86,'Open Positions'!K:K,"Open"))</f>
        <v>0</v>
      </c>
      <c r="F86" s="132">
        <f>IF(A86="","",SUMIFS('Open Positions'!O:O,'Open Positions'!B:B,A86,'Open Positions'!K:K,"Open"))</f>
        <v>0</v>
      </c>
      <c r="G86" s="131">
        <f>IF(A86="","",COUNTIFS('Candidate Pipeline'!D:D,A86,'Candidate Pipeline'!I:I,"&lt;&gt;Joined",'Candidate Pipeline'!I:I,"&lt;&gt;Candidate Dropped"))</f>
        <v>0</v>
      </c>
      <c r="H86" s="132">
        <f>IF(A86="","",COUNTIFS('Candidate Pipeline'!D:D,A86,'Candidate Pipeline'!I:I,"Joined"))</f>
        <v>0</v>
      </c>
    </row>
    <row r="87" ht="14.25" customHeight="1">
      <c r="A87" s="131" t="s">
        <v>250</v>
      </c>
      <c r="B87" s="131" t="str">
        <f t="array" ref="B87">IF(A87="","",IFERROR(INDEX(MasterData!$A$4:$A$500,MATCH(A87,MasterData!$B$4:$B$500,0)),""))</f>
        <v>CLI-065</v>
      </c>
      <c r="C87" s="131">
        <f>IF(A87="","",COUNTIFS('Open Positions'!B:B,A87,'Open Positions'!K:K,"Open"))</f>
        <v>0</v>
      </c>
      <c r="D87" s="131">
        <f>IF(A87="","",SUMIFS('Open Positions'!J:J,'Open Positions'!B:B,A87,'Open Positions'!K:K,"Open"))</f>
        <v>0</v>
      </c>
      <c r="E87" s="131">
        <f>IF(A87="","",SUMIFS('Open Positions'!N:N,'Open Positions'!B:B,A87,'Open Positions'!K:K,"Open"))</f>
        <v>0</v>
      </c>
      <c r="F87" s="131">
        <f>IF(A87="","",SUMIFS('Open Positions'!O:O,'Open Positions'!B:B,A87,'Open Positions'!K:K,"Open"))</f>
        <v>0</v>
      </c>
      <c r="G87" s="131">
        <f>IF(A87="","",COUNTIFS('Candidate Pipeline'!D:D,A87,'Candidate Pipeline'!I:I,"&lt;&gt;Joined",'Candidate Pipeline'!I:I,"&lt;&gt;Candidate Dropped"))</f>
        <v>0</v>
      </c>
      <c r="H87" s="131">
        <f>IF(A87="","",COUNTIFS('Candidate Pipeline'!D:D,A87,'Candidate Pipeline'!I:I,"Joined"))</f>
        <v>0</v>
      </c>
    </row>
    <row r="88" ht="14.25" customHeight="1">
      <c r="A88" s="132" t="s">
        <v>253</v>
      </c>
      <c r="B88" s="132" t="str">
        <f t="array" ref="B88">IF(A88="","",IFERROR(INDEX(MasterData!$A$4:$A$500,MATCH(A88,MasterData!$B$4:$B$500,0)),""))</f>
        <v>CLI-066</v>
      </c>
      <c r="C88" s="132">
        <f>IF(A88="","",COUNTIFS('Open Positions'!B:B,A88,'Open Positions'!K:K,"Open"))</f>
        <v>0</v>
      </c>
      <c r="D88" s="132">
        <f>IF(A88="","",SUMIFS('Open Positions'!J:J,'Open Positions'!B:B,A88,'Open Positions'!K:K,"Open"))</f>
        <v>0</v>
      </c>
      <c r="E88" s="132">
        <f>IF(A88="","",SUMIFS('Open Positions'!N:N,'Open Positions'!B:B,A88,'Open Positions'!K:K,"Open"))</f>
        <v>0</v>
      </c>
      <c r="F88" s="132">
        <f>IF(A88="","",SUMIFS('Open Positions'!O:O,'Open Positions'!B:B,A88,'Open Positions'!K:K,"Open"))</f>
        <v>0</v>
      </c>
      <c r="G88" s="131">
        <f>IF(A88="","",COUNTIFS('Candidate Pipeline'!D:D,A88,'Candidate Pipeline'!I:I,"&lt;&gt;Joined",'Candidate Pipeline'!I:I,"&lt;&gt;Candidate Dropped"))</f>
        <v>0</v>
      </c>
      <c r="H88" s="132">
        <f>IF(A88="","",COUNTIFS('Candidate Pipeline'!D:D,A88,'Candidate Pipeline'!I:I,"Joined"))</f>
        <v>0</v>
      </c>
    </row>
    <row r="89" ht="14.25" customHeight="1">
      <c r="A89" s="131" t="s">
        <v>256</v>
      </c>
      <c r="B89" s="131" t="str">
        <f t="array" ref="B89">IF(A89="","",IFERROR(INDEX(MasterData!$A$4:$A$500,MATCH(A89,MasterData!$B$4:$B$500,0)),""))</f>
        <v>CLI-067</v>
      </c>
      <c r="C89" s="131">
        <f>IF(A89="","",COUNTIFS('Open Positions'!B:B,A89,'Open Positions'!K:K,"Open"))</f>
        <v>2</v>
      </c>
      <c r="D89" s="131">
        <f>IF(A89="","",SUMIFS('Open Positions'!J:J,'Open Positions'!B:B,A89,'Open Positions'!K:K,"Open"))</f>
        <v>9</v>
      </c>
      <c r="E89" s="131">
        <f>IF(A89="","",SUMIFS('Open Positions'!N:N,'Open Positions'!B:B,A89,'Open Positions'!K:K,"Open"))</f>
        <v>0</v>
      </c>
      <c r="F89" s="131">
        <f>IF(A89="","",SUMIFS('Open Positions'!O:O,'Open Positions'!B:B,A89,'Open Positions'!K:K,"Open"))</f>
        <v>0</v>
      </c>
      <c r="G89" s="131">
        <f>IF(A89="","",COUNTIFS('Candidate Pipeline'!D:D,A89,'Candidate Pipeline'!I:I,"&lt;&gt;Joined",'Candidate Pipeline'!I:I,"&lt;&gt;Candidate Dropped"))</f>
        <v>1</v>
      </c>
      <c r="H89" s="131">
        <f>IF(A89="","",COUNTIFS('Candidate Pipeline'!D:D,A89,'Candidate Pipeline'!I:I,"Joined"))</f>
        <v>0</v>
      </c>
    </row>
    <row r="90" ht="14.25" customHeight="1">
      <c r="A90" s="132" t="s">
        <v>259</v>
      </c>
      <c r="B90" s="132" t="str">
        <f t="array" ref="B90">IF(A90="","",IFERROR(INDEX(MasterData!$A$4:$A$500,MATCH(A90,MasterData!$B$4:$B$500,0)),""))</f>
        <v>CLI-068</v>
      </c>
      <c r="C90" s="132">
        <f>IF(A90="","",COUNTIFS('Open Positions'!B:B,A90,'Open Positions'!K:K,"Open"))</f>
        <v>0</v>
      </c>
      <c r="D90" s="132">
        <f>IF(A90="","",SUMIFS('Open Positions'!J:J,'Open Positions'!B:B,A90,'Open Positions'!K:K,"Open"))</f>
        <v>0</v>
      </c>
      <c r="E90" s="132">
        <f>IF(A90="","",SUMIFS('Open Positions'!N:N,'Open Positions'!B:B,A90,'Open Positions'!K:K,"Open"))</f>
        <v>0</v>
      </c>
      <c r="F90" s="132">
        <f>IF(A90="","",SUMIFS('Open Positions'!O:O,'Open Positions'!B:B,A90,'Open Positions'!K:K,"Open"))</f>
        <v>0</v>
      </c>
      <c r="G90" s="131">
        <f>IF(A90="","",COUNTIFS('Candidate Pipeline'!D:D,A90,'Candidate Pipeline'!I:I,"&lt;&gt;Joined",'Candidate Pipeline'!I:I,"&lt;&gt;Candidate Dropped"))</f>
        <v>0</v>
      </c>
      <c r="H90" s="132">
        <f>IF(A90="","",COUNTIFS('Candidate Pipeline'!D:D,A90,'Candidate Pipeline'!I:I,"Joined"))</f>
        <v>0</v>
      </c>
    </row>
    <row r="91" ht="14.25" customHeight="1">
      <c r="A91" s="131" t="s">
        <v>262</v>
      </c>
      <c r="B91" s="131" t="str">
        <f t="array" ref="B91">IF(A91="","",IFERROR(INDEX(MasterData!$A$4:$A$500,MATCH(A91,MasterData!$B$4:$B$500,0)),""))</f>
        <v>CLI-069</v>
      </c>
      <c r="C91" s="131">
        <f>IF(A91="","",COUNTIFS('Open Positions'!B:B,A91,'Open Positions'!K:K,"Open"))</f>
        <v>0</v>
      </c>
      <c r="D91" s="131">
        <f>IF(A91="","",SUMIFS('Open Positions'!J:J,'Open Positions'!B:B,A91,'Open Positions'!K:K,"Open"))</f>
        <v>0</v>
      </c>
      <c r="E91" s="131">
        <f>IF(A91="","",SUMIFS('Open Positions'!N:N,'Open Positions'!B:B,A91,'Open Positions'!K:K,"Open"))</f>
        <v>0</v>
      </c>
      <c r="F91" s="131">
        <f>IF(A91="","",SUMIFS('Open Positions'!O:O,'Open Positions'!B:B,A91,'Open Positions'!K:K,"Open"))</f>
        <v>0</v>
      </c>
      <c r="G91" s="131">
        <f>IF(A91="","",COUNTIFS('Candidate Pipeline'!D:D,A91,'Candidate Pipeline'!I:I,"&lt;&gt;Joined",'Candidate Pipeline'!I:I,"&lt;&gt;Candidate Dropped"))</f>
        <v>0</v>
      </c>
      <c r="H91" s="131">
        <f>IF(A91="","",COUNTIFS('Candidate Pipeline'!D:D,A91,'Candidate Pipeline'!I:I,"Joined"))</f>
        <v>0</v>
      </c>
    </row>
    <row r="92" ht="14.25" customHeight="1">
      <c r="A92" s="132" t="s">
        <v>265</v>
      </c>
      <c r="B92" s="132" t="str">
        <f t="array" ref="B92">IF(A92="","",IFERROR(INDEX(MasterData!$A$4:$A$500,MATCH(A92,MasterData!$B$4:$B$500,0)),""))</f>
        <v>CLI-070</v>
      </c>
      <c r="C92" s="132">
        <f>IF(A92="","",COUNTIFS('Open Positions'!B:B,A92,'Open Positions'!K:K,"Open"))</f>
        <v>0</v>
      </c>
      <c r="D92" s="132">
        <f>IF(A92="","",SUMIFS('Open Positions'!J:J,'Open Positions'!B:B,A92,'Open Positions'!K:K,"Open"))</f>
        <v>0</v>
      </c>
      <c r="E92" s="132">
        <f>IF(A92="","",SUMIFS('Open Positions'!N:N,'Open Positions'!B:B,A92,'Open Positions'!K:K,"Open"))</f>
        <v>0</v>
      </c>
      <c r="F92" s="132">
        <f>IF(A92="","",SUMIFS('Open Positions'!O:O,'Open Positions'!B:B,A92,'Open Positions'!K:K,"Open"))</f>
        <v>0</v>
      </c>
      <c r="G92" s="131">
        <f>IF(A92="","",COUNTIFS('Candidate Pipeline'!D:D,A92,'Candidate Pipeline'!I:I,"&lt;&gt;Joined",'Candidate Pipeline'!I:I,"&lt;&gt;Candidate Dropped"))</f>
        <v>3</v>
      </c>
      <c r="H92" s="132">
        <f>IF(A92="","",COUNTIFS('Candidate Pipeline'!D:D,A92,'Candidate Pipeline'!I:I,"Joined"))</f>
        <v>0</v>
      </c>
    </row>
    <row r="93" ht="14.25" customHeight="1">
      <c r="A93" s="131" t="s">
        <v>268</v>
      </c>
      <c r="B93" s="131" t="str">
        <f t="array" ref="B93">IF(A93="","",IFERROR(INDEX(MasterData!$A$4:$A$500,MATCH(A93,MasterData!$B$4:$B$500,0)),""))</f>
        <v>CLI-071</v>
      </c>
      <c r="C93" s="131">
        <f>IF(A93="","",COUNTIFS('Open Positions'!B:B,A93,'Open Positions'!K:K,"Open"))</f>
        <v>3</v>
      </c>
      <c r="D93" s="131">
        <f>IF(A93="","",SUMIFS('Open Positions'!J:J,'Open Positions'!B:B,A93,'Open Positions'!K:K,"Open"))</f>
        <v>12</v>
      </c>
      <c r="E93" s="131">
        <f>IF(A93="","",SUMIFS('Open Positions'!N:N,'Open Positions'!B:B,A93,'Open Positions'!K:K,"Open"))</f>
        <v>0</v>
      </c>
      <c r="F93" s="131">
        <f>IF(A93="","",SUMIFS('Open Positions'!O:O,'Open Positions'!B:B,A93,'Open Positions'!K:K,"Open"))</f>
        <v>12</v>
      </c>
      <c r="G93" s="131">
        <f>IF(A93="","",COUNTIFS('Candidate Pipeline'!D:D,A93,'Candidate Pipeline'!I:I,"&lt;&gt;Joined",'Candidate Pipeline'!I:I,"&lt;&gt;Candidate Dropped"))</f>
        <v>1</v>
      </c>
      <c r="H93" s="131">
        <f>IF(A93="","",COUNTIFS('Candidate Pipeline'!D:D,A93,'Candidate Pipeline'!I:I,"Joined"))</f>
        <v>0</v>
      </c>
    </row>
    <row r="94" ht="14.25" customHeight="1">
      <c r="A94" s="132" t="s">
        <v>271</v>
      </c>
      <c r="B94" s="132" t="str">
        <f t="array" ref="B94">IF(A94="","",IFERROR(INDEX(MasterData!$A$4:$A$500,MATCH(A94,MasterData!$B$4:$B$500,0)),""))</f>
        <v>CLI-072</v>
      </c>
      <c r="C94" s="132">
        <f>IF(A94="","",COUNTIFS('Open Positions'!B:B,A94,'Open Positions'!K:K,"Open"))</f>
        <v>0</v>
      </c>
      <c r="D94" s="132">
        <f>IF(A94="","",SUMIFS('Open Positions'!J:J,'Open Positions'!B:B,A94,'Open Positions'!K:K,"Open"))</f>
        <v>0</v>
      </c>
      <c r="E94" s="132">
        <f>IF(A94="","",SUMIFS('Open Positions'!N:N,'Open Positions'!B:B,A94,'Open Positions'!K:K,"Open"))</f>
        <v>0</v>
      </c>
      <c r="F94" s="132">
        <f>IF(A94="","",SUMIFS('Open Positions'!O:O,'Open Positions'!B:B,A94,'Open Positions'!K:K,"Open"))</f>
        <v>0</v>
      </c>
      <c r="G94" s="131">
        <f>IF(A94="","",COUNTIFS('Candidate Pipeline'!D:D,A94,'Candidate Pipeline'!I:I,"&lt;&gt;Joined",'Candidate Pipeline'!I:I,"&lt;&gt;Candidate Dropped"))</f>
        <v>0</v>
      </c>
      <c r="H94" s="132">
        <f>IF(A94="","",COUNTIFS('Candidate Pipeline'!D:D,A94,'Candidate Pipeline'!I:I,"Joined"))</f>
        <v>0</v>
      </c>
    </row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6">
    <mergeCell ref="A1:H1"/>
    <mergeCell ref="A3:H3"/>
    <mergeCell ref="A7:C7"/>
    <mergeCell ref="E7:H7"/>
    <mergeCell ref="A20:H20"/>
    <mergeCell ref="A21:H21"/>
  </mergeCells>
  <printOptions/>
  <pageMargins bottom="1.0" footer="0.0" header="0.0" left="0.75" right="0.75" top="1.0"/>
  <pageSetup orientation="landscape"/>
  <drawing r:id="rId1"/>
</worksheet>
</file>