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 Database" sheetId="1" r:id="rId5"/>
    <sheet state="visible" name="Client Tracker" sheetId="2" r:id="rId6"/>
    <sheet state="visible" name="Sheet1" sheetId="3" r:id="rId7"/>
    <sheet state="visible" name="Sheet2" sheetId="4" r:id="rId8"/>
  </sheets>
  <definedNames>
    <definedName hidden="1" localSheetId="0" name="_xlnm._FilterDatabase">'Candidate Database'!$A$1:$X$184</definedName>
  </definedNames>
  <calcPr/>
</workbook>
</file>

<file path=xl/sharedStrings.xml><?xml version="1.0" encoding="utf-8"?>
<sst xmlns="http://schemas.openxmlformats.org/spreadsheetml/2006/main" count="6678" uniqueCount="1566">
  <si>
    <t>A</t>
  </si>
  <si>
    <t>💡  This is your universal talent record. Log every person you speak to. Tag to a client in col U to auto-populate the Client Tracker.</t>
  </si>
  <si>
    <t>Cand ID</t>
  </si>
  <si>
    <t>Name</t>
  </si>
  <si>
    <t>Entered By</t>
  </si>
  <si>
    <t>Phone Number</t>
  </si>
  <si>
    <t>Role</t>
  </si>
  <si>
    <t>Sub Role</t>
  </si>
  <si>
    <t>Current Salary</t>
  </si>
  <si>
    <t>Expected Salary</t>
  </si>
  <si>
    <t>City</t>
  </si>
  <si>
    <t>Area (Mumbai)</t>
  </si>
  <si>
    <t>Gender</t>
  </si>
  <si>
    <t>Education Level</t>
  </si>
  <si>
    <t>Work Experience</t>
  </si>
  <si>
    <t>Source</t>
  </si>
  <si>
    <t>Candidate Tags</t>
  </si>
  <si>
    <t>Binge Screening Remarks</t>
  </si>
  <si>
    <t>Notes</t>
  </si>
  <si>
    <t>CV Link</t>
  </si>
  <si>
    <t>Date of Entry</t>
  </si>
  <si>
    <t>Interview Date</t>
  </si>
  <si>
    <t>Assigned To Client</t>
  </si>
  <si>
    <t>Ajay Dahiya</t>
  </si>
  <si>
    <t>Hardik</t>
  </si>
  <si>
    <t>95557 21081</t>
  </si>
  <si>
    <t>General Manager</t>
  </si>
  <si>
    <t>Cluster</t>
  </si>
  <si>
    <t>95k</t>
  </si>
  <si>
    <t>120k</t>
  </si>
  <si>
    <t>Delhi</t>
  </si>
  <si>
    <t>Other</t>
  </si>
  <si>
    <t>Male</t>
  </si>
  <si>
    <t>Hotel Management</t>
  </si>
  <si>
    <t>More than 2 years</t>
  </si>
  <si>
    <t>LinkedIn</t>
  </si>
  <si>
    <t>Resume Ajay Dahiya (1) (2).pdf</t>
  </si>
  <si>
    <t>Speciality</t>
  </si>
  <si>
    <t>ARM</t>
  </si>
  <si>
    <t>Mumbai</t>
  </si>
  <si>
    <t>Pushkaraj Gurav</t>
  </si>
  <si>
    <t>Mohit</t>
  </si>
  <si>
    <t>Captain</t>
  </si>
  <si>
    <t>20k</t>
  </si>
  <si>
    <t>25k</t>
  </si>
  <si>
    <t>Reference from Candidate</t>
  </si>
  <si>
    <t>Pushkaraj Gurav_Resume.pdf</t>
  </si>
  <si>
    <t>Assistant Bartender</t>
  </si>
  <si>
    <t>Indeed</t>
  </si>
  <si>
    <t>Chandan Das</t>
  </si>
  <si>
    <t>Steward</t>
  </si>
  <si>
    <t>15k</t>
  </si>
  <si>
    <t>Kurla</t>
  </si>
  <si>
    <t>SSC</t>
  </si>
  <si>
    <t>1-2 years</t>
  </si>
  <si>
    <t>chandan das new cv (2).pdf</t>
  </si>
  <si>
    <t>Assistant Front Office Manager</t>
  </si>
  <si>
    <t>Naukri</t>
  </si>
  <si>
    <t>Bangalore</t>
  </si>
  <si>
    <t>Nishant Kadam</t>
  </si>
  <si>
    <t>Bandra</t>
  </si>
  <si>
    <t>Graduate</t>
  </si>
  <si>
    <t>8AC102DE-4769-4A96-B1B5-479780006D2C.pdf</t>
  </si>
  <si>
    <t>Assistant Manager</t>
  </si>
  <si>
    <t>Hyderabad</t>
  </si>
  <si>
    <t>Prakash Pradhan</t>
  </si>
  <si>
    <t xml:space="preserve"> 93150 95662</t>
  </si>
  <si>
    <t>Head Chef</t>
  </si>
  <si>
    <t>Chinese</t>
  </si>
  <si>
    <t>85k</t>
  </si>
  <si>
    <t>100k</t>
  </si>
  <si>
    <t>VK</t>
  </si>
  <si>
    <t>More than 2 Years</t>
  </si>
  <si>
    <t>Prakash Chef cv new.pdf</t>
  </si>
  <si>
    <t>Assistant Outlet Manager</t>
  </si>
  <si>
    <t>Inbound</t>
  </si>
  <si>
    <t>Pune</t>
  </si>
  <si>
    <t>Veeraj Kamath</t>
  </si>
  <si>
    <t>91364 04715</t>
  </si>
  <si>
    <t>RM</t>
  </si>
  <si>
    <t>Ops</t>
  </si>
  <si>
    <t>60k++</t>
  </si>
  <si>
    <t>75k++</t>
  </si>
  <si>
    <t>Goa</t>
  </si>
  <si>
    <t>Veeraaj Kamath_Resume.pdf</t>
  </si>
  <si>
    <t>Milagro (SLH)</t>
  </si>
  <si>
    <t>Assistant Stores Manager</t>
  </si>
  <si>
    <t>WhatsApp</t>
  </si>
  <si>
    <t>Lakshita Shaw</t>
  </si>
  <si>
    <t>Edwin</t>
  </si>
  <si>
    <t>FOH</t>
  </si>
  <si>
    <t>Juhu</t>
  </si>
  <si>
    <t>Female</t>
  </si>
  <si>
    <t>HSC</t>
  </si>
  <si>
    <t>6 months-1 year</t>
  </si>
  <si>
    <t>Kinshuks Sister</t>
  </si>
  <si>
    <t>Lakshita Shaw.pdf</t>
  </si>
  <si>
    <t>Hunger Inc</t>
  </si>
  <si>
    <t>Asst Cafe Manager</t>
  </si>
  <si>
    <t>Chennai</t>
  </si>
  <si>
    <t>Akhil Chavan</t>
  </si>
  <si>
    <t>Bartender</t>
  </si>
  <si>
    <t>30k</t>
  </si>
  <si>
    <t>Akhil Chavan.pdf</t>
  </si>
  <si>
    <t>Izumi</t>
  </si>
  <si>
    <t>Bar Lead</t>
  </si>
  <si>
    <t>Kolkata</t>
  </si>
  <si>
    <t>Saurabh Vegurlekar</t>
  </si>
  <si>
    <t>BOH</t>
  </si>
  <si>
    <t>94k</t>
  </si>
  <si>
    <t>1LPM</t>
  </si>
  <si>
    <t>Saurabh V Resume.pdf</t>
  </si>
  <si>
    <t>Bar Manager</t>
  </si>
  <si>
    <t>Ahmedabad</t>
  </si>
  <si>
    <t>Mousumi Behera</t>
  </si>
  <si>
    <t>GRE</t>
  </si>
  <si>
    <t>27k</t>
  </si>
  <si>
    <t>Bar Supervisor</t>
  </si>
  <si>
    <t>Jaipur</t>
  </si>
  <si>
    <t>Moin Pawar</t>
  </si>
  <si>
    <t>Barista</t>
  </si>
  <si>
    <t>18k</t>
  </si>
  <si>
    <t>22k</t>
  </si>
  <si>
    <t>Wasala</t>
  </si>
  <si>
    <t>Moidin Resume-1.pdf</t>
  </si>
  <si>
    <t>Blondie</t>
  </si>
  <si>
    <t>Barback</t>
  </si>
  <si>
    <t>Rohan Vagale</t>
  </si>
  <si>
    <t>Sales</t>
  </si>
  <si>
    <t>80k</t>
  </si>
  <si>
    <t>Rohan Vajale Updated CV.pdf</t>
  </si>
  <si>
    <t>Aakash Pandey</t>
  </si>
  <si>
    <t>35k</t>
  </si>
  <si>
    <t>45k</t>
  </si>
  <si>
    <t>Hospitality Graduate</t>
  </si>
  <si>
    <t>Barista Head</t>
  </si>
  <si>
    <t>Farhan</t>
  </si>
  <si>
    <t>Senior CDP</t>
  </si>
  <si>
    <t>Slink and Bardot</t>
  </si>
  <si>
    <t>Barista Trainer</t>
  </si>
  <si>
    <t>Sandarbh Vishwakarma</t>
  </si>
  <si>
    <t>7491 973 455</t>
  </si>
  <si>
    <t>HeadChef</t>
  </si>
  <si>
    <t>110k</t>
  </si>
  <si>
    <t>Sandarbh vishwa europass cv (1).pdf</t>
  </si>
  <si>
    <t>Circa 11</t>
  </si>
  <si>
    <t>Vinay Nair</t>
  </si>
  <si>
    <t>Aakash</t>
  </si>
  <si>
    <t>Commi</t>
  </si>
  <si>
    <t>Commi 1/2</t>
  </si>
  <si>
    <t>TIlak Nagar</t>
  </si>
  <si>
    <t>Culinary Graduate</t>
  </si>
  <si>
    <t>Vinay Nair CV_SSW.pdf</t>
  </si>
  <si>
    <t>Donmai</t>
  </si>
  <si>
    <t>CocoCart</t>
  </si>
  <si>
    <t>CDP</t>
  </si>
  <si>
    <t>Aaghaz Khan</t>
  </si>
  <si>
    <t>70458 96269</t>
  </si>
  <si>
    <t>150k</t>
  </si>
  <si>
    <t>western line</t>
  </si>
  <si>
    <t>Aaghaz Khan.pdf</t>
  </si>
  <si>
    <t>EDD</t>
  </si>
  <si>
    <t>DU Hospitality</t>
  </si>
  <si>
    <t>CRM</t>
  </si>
  <si>
    <t>Laxman Singh</t>
  </si>
  <si>
    <t>91376 88461</t>
  </si>
  <si>
    <t>Senior Bartender</t>
  </si>
  <si>
    <t>Bar Sup</t>
  </si>
  <si>
    <t>26k</t>
  </si>
  <si>
    <t>28k</t>
  </si>
  <si>
    <t>DOC-20260306-WA0007..docx</t>
  </si>
  <si>
    <t>La Loca Maria</t>
  </si>
  <si>
    <t>Diva</t>
  </si>
  <si>
    <t>Cafe Manager</t>
  </si>
  <si>
    <t>Ajay Kumar Siotra</t>
  </si>
  <si>
    <t>130k</t>
  </si>
  <si>
    <t>ajay kumar cv brand chef.pdf</t>
  </si>
  <si>
    <t>Cafe Supervisor</t>
  </si>
  <si>
    <t>Gaurav Renuse</t>
  </si>
  <si>
    <t>F&amp;B Associate</t>
  </si>
  <si>
    <t>Need to speak to him</t>
  </si>
  <si>
    <t>resume 4.docx.pdf</t>
  </si>
  <si>
    <t>Doppler</t>
  </si>
  <si>
    <t>Hitiksha Jadhav</t>
  </si>
  <si>
    <t>Manu</t>
  </si>
  <si>
    <t>Malad</t>
  </si>
  <si>
    <t>Simple Professional CV Resume_20241125_205305_0000 (2).pdf</t>
  </si>
  <si>
    <t>Dough and Joe</t>
  </si>
  <si>
    <t>Cashier</t>
  </si>
  <si>
    <t>Atish Bhalera</t>
  </si>
  <si>
    <t>90826 66795</t>
  </si>
  <si>
    <t>Kitchen Helper</t>
  </si>
  <si>
    <t>Team member</t>
  </si>
  <si>
    <t>Panvel</t>
  </si>
  <si>
    <t>12th Pass</t>
  </si>
  <si>
    <t>0-6 Months</t>
  </si>
  <si>
    <t>Went for training, salary offered was too low</t>
  </si>
  <si>
    <t>CVAtishBhalerao.pdf</t>
  </si>
  <si>
    <t>HNH Salad</t>
  </si>
  <si>
    <t>Chef</t>
  </si>
  <si>
    <t>Raushan Kumar</t>
  </si>
  <si>
    <t>24k</t>
  </si>
  <si>
    <t>Sent to client.</t>
  </si>
  <si>
    <t>FHPL</t>
  </si>
  <si>
    <t>Omkar Shinde</t>
  </si>
  <si>
    <t>Senior Barista</t>
  </si>
  <si>
    <t>Chunabhatti</t>
  </si>
  <si>
    <t>Diploma</t>
  </si>
  <si>
    <t>CV_Omkar Shinde.pdf</t>
  </si>
  <si>
    <t>Flavour Pots</t>
  </si>
  <si>
    <t>Commi 1</t>
  </si>
  <si>
    <t>Aditi Zaware</t>
  </si>
  <si>
    <t>Cuffe Parade</t>
  </si>
  <si>
    <t>Aditi Zaware_Resume_Apna.pdf</t>
  </si>
  <si>
    <t>Food Square</t>
  </si>
  <si>
    <t>Commi 2</t>
  </si>
  <si>
    <t>SHREYA DARWATKAR</t>
  </si>
  <si>
    <t>Conti/ Garde manger</t>
  </si>
  <si>
    <t>21k</t>
  </si>
  <si>
    <t>Lower Parel</t>
  </si>
  <si>
    <t>Hotel management</t>
  </si>
  <si>
    <t>Shreya Darwatkar Resume.pdf</t>
  </si>
  <si>
    <t>Foodmatters</t>
  </si>
  <si>
    <t>Commi 3</t>
  </si>
  <si>
    <t>NENGBOI HAOKIP</t>
  </si>
  <si>
    <t>Hostess</t>
  </si>
  <si>
    <t>25k++</t>
  </si>
  <si>
    <t>Nengboi Haokip.pdf</t>
  </si>
  <si>
    <t>Ghostkitchens</t>
  </si>
  <si>
    <t>Community Manager</t>
  </si>
  <si>
    <t>Vikash Kumar</t>
  </si>
  <si>
    <t>Currently working in Ajmer</t>
  </si>
  <si>
    <t>DOC-20250502-WA0004..docx</t>
  </si>
  <si>
    <t>Gupta Brands</t>
  </si>
  <si>
    <t>Content Strategist</t>
  </si>
  <si>
    <t>Aquib Fayaz</t>
  </si>
  <si>
    <t>barista</t>
  </si>
  <si>
    <t>CVAAQIBFAYAZ.pdf</t>
  </si>
  <si>
    <t>Huddle and Score</t>
  </si>
  <si>
    <t>Counter Sales</t>
  </si>
  <si>
    <t>Rushikesh Chavan</t>
  </si>
  <si>
    <t>Junior Sous Chef</t>
  </si>
  <si>
    <t>Sous chef</t>
  </si>
  <si>
    <t>50k++</t>
  </si>
  <si>
    <t>Worked in Naar, Masque, HOM</t>
  </si>
  <si>
    <t>CV_2026032320525728.pdf</t>
  </si>
  <si>
    <t>Bare</t>
  </si>
  <si>
    <t>Hummingtree</t>
  </si>
  <si>
    <t>DCDP</t>
  </si>
  <si>
    <t>Mahinoor Sayyed</t>
  </si>
  <si>
    <t>Byculla</t>
  </si>
  <si>
    <t>CV_Mahinoor.pdf</t>
  </si>
  <si>
    <t>Greengains</t>
  </si>
  <si>
    <t>Data Analyst</t>
  </si>
  <si>
    <t>Firoj Khan</t>
  </si>
  <si>
    <t>77268 50299</t>
  </si>
  <si>
    <t>firoz_F&amp;B_Resume_(2).pdf</t>
  </si>
  <si>
    <t>Idoru</t>
  </si>
  <si>
    <t>Director of Operations</t>
  </si>
  <si>
    <t>Aarti Jaiswar</t>
  </si>
  <si>
    <t>Senior GRE</t>
  </si>
  <si>
    <t>38k</t>
  </si>
  <si>
    <t>Santacruz</t>
  </si>
  <si>
    <t>Aarti Jaiswar.pdf</t>
  </si>
  <si>
    <t>Ikai</t>
  </si>
  <si>
    <t>Duty Manager</t>
  </si>
  <si>
    <t>Utkarsh</t>
  </si>
  <si>
    <t>14k</t>
  </si>
  <si>
    <t>Naigoan</t>
  </si>
  <si>
    <t>EA</t>
  </si>
  <si>
    <t>Surendra Singh</t>
  </si>
  <si>
    <t>7455 999 377</t>
  </si>
  <si>
    <t>captain</t>
  </si>
  <si>
    <t>ResumeSurendarSingh.pdf</t>
  </si>
  <si>
    <t>Izumi - GOA</t>
  </si>
  <si>
    <t>Executive Chef</t>
  </si>
  <si>
    <t>Indra Sunari</t>
  </si>
  <si>
    <t>70578 87947</t>
  </si>
  <si>
    <t>82k</t>
  </si>
  <si>
    <t>90k</t>
  </si>
  <si>
    <t>NIKO</t>
  </si>
  <si>
    <t>Kaia</t>
  </si>
  <si>
    <t>Imli Longchari</t>
  </si>
  <si>
    <t>Imliakum Longchari.pdf</t>
  </si>
  <si>
    <t>Kohinoor Group</t>
  </si>
  <si>
    <t>F&amp;B Controller</t>
  </si>
  <si>
    <t>Yash Dalvi</t>
  </si>
  <si>
    <t>99604 23857</t>
  </si>
  <si>
    <t>Dombiavli</t>
  </si>
  <si>
    <t>ResumeYashDalvi (1).pdf</t>
  </si>
  <si>
    <t>F&amp;B Executive</t>
  </si>
  <si>
    <t>Priyanka Rajbhar</t>
  </si>
  <si>
    <t>98338 01971</t>
  </si>
  <si>
    <t>Thane</t>
  </si>
  <si>
    <t>ResumePRIYANKARAJBHAR.pdf</t>
  </si>
  <si>
    <t>Le 15</t>
  </si>
  <si>
    <t>F&amp;B Supervisor</t>
  </si>
  <si>
    <t>Vikas Kumar Jadhav</t>
  </si>
  <si>
    <t>971 58 930 6823</t>
  </si>
  <si>
    <t>Head Baker</t>
  </si>
  <si>
    <t>Malsons</t>
  </si>
  <si>
    <t>FOE</t>
  </si>
  <si>
    <t>Mihir Shirke</t>
  </si>
  <si>
    <t xml:space="preserve"> 93728 41592</t>
  </si>
  <si>
    <t>Dombivali</t>
  </si>
  <si>
    <t>Cv Mihir (1) (1).PDF</t>
  </si>
  <si>
    <t>Mia Cucina</t>
  </si>
  <si>
    <t>Floor Supervisor</t>
  </si>
  <si>
    <t>Ishwar Tiwari</t>
  </si>
  <si>
    <t>86920 36359</t>
  </si>
  <si>
    <t>Junior Bartender</t>
  </si>
  <si>
    <t>Dahisar</t>
  </si>
  <si>
    <t>CV_2026032014160659.pdf</t>
  </si>
  <si>
    <t>Front Desk</t>
  </si>
  <si>
    <t>Arpan</t>
  </si>
  <si>
    <t>86920 68514</t>
  </si>
  <si>
    <t>ResumeArpanChandanshiv (1) (2).pdf</t>
  </si>
  <si>
    <t>Monarch</t>
  </si>
  <si>
    <t>Sahim Raza</t>
  </si>
  <si>
    <t>CVSAHIMRAZA.pdf</t>
  </si>
  <si>
    <t>NOTO</t>
  </si>
  <si>
    <t>GRM</t>
  </si>
  <si>
    <t>Venkatesh Rathod</t>
  </si>
  <si>
    <t>34k</t>
  </si>
  <si>
    <t>40k</t>
  </si>
  <si>
    <t>Virar</t>
  </si>
  <si>
    <t>WhatsApp Image 2026-03-25 at 5.31.21 PM.jpeg</t>
  </si>
  <si>
    <t>Neighbourhood</t>
  </si>
  <si>
    <t>Nayan Bhagit</t>
  </si>
  <si>
    <t>Nayan_Bhagit_Final_Resume.pdf</t>
  </si>
  <si>
    <t>Nidhi and Mihir PR</t>
  </si>
  <si>
    <t>HK Supervisor</t>
  </si>
  <si>
    <t>Aditya Purohit</t>
  </si>
  <si>
    <t>Nova</t>
  </si>
  <si>
    <t>HR</t>
  </si>
  <si>
    <t>Saikumar Yatham</t>
  </si>
  <si>
    <t>Dubai Sal</t>
  </si>
  <si>
    <t>Madhapur</t>
  </si>
  <si>
    <t>Saikumar Yatham.pdf</t>
  </si>
  <si>
    <t>Ohris hospitality</t>
  </si>
  <si>
    <t>HR Head</t>
  </si>
  <si>
    <t>Harish Eppapli</t>
  </si>
  <si>
    <t>40k++</t>
  </si>
  <si>
    <t>65k</t>
  </si>
  <si>
    <t>Vikhroli</t>
  </si>
  <si>
    <t>Harish Eppapali.pdf</t>
  </si>
  <si>
    <t>Olive</t>
  </si>
  <si>
    <t>HR Manager</t>
  </si>
  <si>
    <t>Dennis Hmangaizhzuala</t>
  </si>
  <si>
    <t>DENNIS.pdf</t>
  </si>
  <si>
    <t>PSL</t>
  </si>
  <si>
    <t>Heena Kadavadkar</t>
  </si>
  <si>
    <t>Heena Khadvilkar.pdf</t>
  </si>
  <si>
    <t>Pebble-Street</t>
  </si>
  <si>
    <t>Mohan Kundu</t>
  </si>
  <si>
    <t>95641 49564</t>
  </si>
  <si>
    <t>Mohan Kundu.pdf</t>
  </si>
  <si>
    <t>Quetz</t>
  </si>
  <si>
    <t>Head GRE</t>
  </si>
  <si>
    <t>Devesh Katkar</t>
  </si>
  <si>
    <t>42k</t>
  </si>
  <si>
    <t>50k</t>
  </si>
  <si>
    <t>Devesh Katkar -1.pdf</t>
  </si>
  <si>
    <t>Red turtle</t>
  </si>
  <si>
    <t>Manoj Kumar</t>
  </si>
  <si>
    <t>Senior Captain</t>
  </si>
  <si>
    <t>other</t>
  </si>
  <si>
    <t>Manoj Kumar Cv .pdf</t>
  </si>
  <si>
    <t>Ritika &amp; Co.</t>
  </si>
  <si>
    <t>Vishvesh Koli</t>
  </si>
  <si>
    <t>Mixologist</t>
  </si>
  <si>
    <t>Navi Mumbai</t>
  </si>
  <si>
    <t>Vishvesh_resume.pdf</t>
  </si>
  <si>
    <t>Scarlett House</t>
  </si>
  <si>
    <t>Nitin Chavan</t>
  </si>
  <si>
    <t>98338 25602</t>
  </si>
  <si>
    <t>Shalimar</t>
  </si>
  <si>
    <t>Kiran More</t>
  </si>
  <si>
    <t>MR KIRAN MORE RESUME PDF 2025.pdf</t>
  </si>
  <si>
    <t>Shalimar Hotel</t>
  </si>
  <si>
    <t>Kitchen Supervisor</t>
  </si>
  <si>
    <t>Sameer Khan</t>
  </si>
  <si>
    <t>Sr. GSA</t>
  </si>
  <si>
    <t>Sameer Khan.pdf</t>
  </si>
  <si>
    <t>Silver Train</t>
  </si>
  <si>
    <t>L&amp;D</t>
  </si>
  <si>
    <t>Akash Rathod</t>
  </si>
  <si>
    <t>28k++</t>
  </si>
  <si>
    <t>Vasai</t>
  </si>
  <si>
    <t>Document-WPS Office.pdf</t>
  </si>
  <si>
    <t>Sivako</t>
  </si>
  <si>
    <t>Marketing Manager</t>
  </si>
  <si>
    <t>Onkar Shivgan</t>
  </si>
  <si>
    <t>Dadar</t>
  </si>
  <si>
    <t>Onkar Shivgan.pdf</t>
  </si>
  <si>
    <t>Prathamesh Keluskar</t>
  </si>
  <si>
    <t>Restaurant</t>
  </si>
  <si>
    <t>Lalits Reference</t>
  </si>
  <si>
    <t>Prathamesh Keluskar - GM.pdf</t>
  </si>
  <si>
    <t>True Palate</t>
  </si>
  <si>
    <t>OTA</t>
  </si>
  <si>
    <t>Ashlesha Vinde</t>
  </si>
  <si>
    <t>23k</t>
  </si>
  <si>
    <t>Mahim</t>
  </si>
  <si>
    <t>Ashlesha Vinde.pdf</t>
  </si>
  <si>
    <t>Splendour</t>
  </si>
  <si>
    <t>Operations Head</t>
  </si>
  <si>
    <t>Prathamesh Mane</t>
  </si>
  <si>
    <t>Conti</t>
  </si>
  <si>
    <t>Looking for DCDP</t>
  </si>
  <si>
    <t>Prathmesh-CV.pdf</t>
  </si>
  <si>
    <t>TAB</t>
  </si>
  <si>
    <t>Operations Manager</t>
  </si>
  <si>
    <t>Royce Dsouza</t>
  </si>
  <si>
    <t>91722 79719</t>
  </si>
  <si>
    <t>10k</t>
  </si>
  <si>
    <t>CVROYCEDSOUZA.pdf</t>
  </si>
  <si>
    <t>All In</t>
  </si>
  <si>
    <t>TAT</t>
  </si>
  <si>
    <t>Yogesh Kharat</t>
  </si>
  <si>
    <t>Hearing Impairment</t>
  </si>
  <si>
    <t>CVYogeshKharat.pdf</t>
  </si>
  <si>
    <t>The Hummingtree</t>
  </si>
  <si>
    <t>Outlet Manager</t>
  </si>
  <si>
    <t>Eesha Jhaveri</t>
  </si>
  <si>
    <t>Pastry</t>
  </si>
  <si>
    <t>Kandivali</t>
  </si>
  <si>
    <t>Eesha Resume.pdf</t>
  </si>
  <si>
    <t>The Kin Hotel</t>
  </si>
  <si>
    <t>Outlet Supervisor</t>
  </si>
  <si>
    <t>Priyanshu Tripathi</t>
  </si>
  <si>
    <t>Section lead</t>
  </si>
  <si>
    <t>nagpur</t>
  </si>
  <si>
    <t>CVPRIYANSHUTripathi (1).pdf</t>
  </si>
  <si>
    <t>The Nest</t>
  </si>
  <si>
    <t>PR</t>
  </si>
  <si>
    <t>Versonna Cordaz</t>
  </si>
  <si>
    <t>85917 34230</t>
  </si>
  <si>
    <t>Pastry Fresher</t>
  </si>
  <si>
    <t>VANESSA RONNIE CARDOZ (2).pdf</t>
  </si>
  <si>
    <t>The Ranch</t>
  </si>
  <si>
    <t>PR Executive</t>
  </si>
  <si>
    <t>Nitin Gawade</t>
  </si>
  <si>
    <t>81080 97743</t>
  </si>
  <si>
    <t>Chembur</t>
  </si>
  <si>
    <t xml:space="preserve">Graduate </t>
  </si>
  <si>
    <t>Candidate selected at BTC</t>
  </si>
  <si>
    <t>ResumeNitinGawade.docx</t>
  </si>
  <si>
    <t>Tropicool</t>
  </si>
  <si>
    <t>Packaging Assistant</t>
  </si>
  <si>
    <t>Nihal</t>
  </si>
  <si>
    <t>70452 38018</t>
  </si>
  <si>
    <t>20K</t>
  </si>
  <si>
    <t>25K</t>
  </si>
  <si>
    <t>Selected</t>
  </si>
  <si>
    <t>NIHAL-VERMA-Resume-1 (1).pdf</t>
  </si>
  <si>
    <t>True palate</t>
  </si>
  <si>
    <t>Payroll</t>
  </si>
  <si>
    <t>Donald Doti</t>
  </si>
  <si>
    <t>86000 58561</t>
  </si>
  <si>
    <t>70K</t>
  </si>
  <si>
    <t>90K</t>
  </si>
  <si>
    <t>Borivali</t>
  </si>
  <si>
    <t>Donald Dodti-2-2 (3).pdf</t>
  </si>
  <si>
    <t>UGIPL</t>
  </si>
  <si>
    <t>Purchase</t>
  </si>
  <si>
    <t>Pravin Magar</t>
  </si>
  <si>
    <t>79 7774 0425</t>
  </si>
  <si>
    <t>70k</t>
  </si>
  <si>
    <t>Andheri</t>
  </si>
  <si>
    <t>resume_20250703_133228_0000 (9).pdf</t>
  </si>
  <si>
    <t>Zima</t>
  </si>
  <si>
    <t>QC</t>
  </si>
  <si>
    <t>Alina Rai</t>
  </si>
  <si>
    <t>91675 80220</t>
  </si>
  <si>
    <t>Alina CV.docx</t>
  </si>
  <si>
    <t>Niko</t>
  </si>
  <si>
    <t>Suman Barge</t>
  </si>
  <si>
    <t>95652 22061</t>
  </si>
  <si>
    <t>SUMAN BARGE Resume 2026 (1).pdf</t>
  </si>
  <si>
    <t>All in</t>
  </si>
  <si>
    <t>Receptionist</t>
  </si>
  <si>
    <t>Aman Feroz</t>
  </si>
  <si>
    <t>98203 60051</t>
  </si>
  <si>
    <t>28K</t>
  </si>
  <si>
    <t>Room Sales</t>
  </si>
  <si>
    <t>Hayder Sayed</t>
  </si>
  <si>
    <t>82914 35445</t>
  </si>
  <si>
    <t>Vashi</t>
  </si>
  <si>
    <t>HayderSayyedResume (1).pdf</t>
  </si>
  <si>
    <t>Evren</t>
  </si>
  <si>
    <t>SCM Head</t>
  </si>
  <si>
    <t>Poonam</t>
  </si>
  <si>
    <t>30K</t>
  </si>
  <si>
    <t>40K</t>
  </si>
  <si>
    <t>ResumePoonamMathurekar (2) (1).pdf</t>
  </si>
  <si>
    <t>SLH</t>
  </si>
  <si>
    <t>Senpong Chuba</t>
  </si>
  <si>
    <t>Indira Nagar</t>
  </si>
  <si>
    <t>Senpong Chuba - Bartender.pdf</t>
  </si>
  <si>
    <t>Ruthvik</t>
  </si>
  <si>
    <t>32k</t>
  </si>
  <si>
    <t>Ruthvik.pdf</t>
  </si>
  <si>
    <t>Ridhik Khati</t>
  </si>
  <si>
    <t>Ridhik Khati.pdf</t>
  </si>
  <si>
    <t>Om Salgaonkar</t>
  </si>
  <si>
    <t>Kitchen</t>
  </si>
  <si>
    <t>Goregaon</t>
  </si>
  <si>
    <t>Om Salgaonkar.pdf</t>
  </si>
  <si>
    <t>Baldeep Saluja</t>
  </si>
  <si>
    <t>Baldeep Singh Resume.pdf</t>
  </si>
  <si>
    <t>ABNAH</t>
  </si>
  <si>
    <t>Ronak Shetty</t>
  </si>
  <si>
    <t>42k++</t>
  </si>
  <si>
    <t>48k++</t>
  </si>
  <si>
    <t>Senior Sous Chef</t>
  </si>
  <si>
    <t>Shijin</t>
  </si>
  <si>
    <t>20k++</t>
  </si>
  <si>
    <t>22K++</t>
  </si>
  <si>
    <t>Senior Steward</t>
  </si>
  <si>
    <t>Kaushal Pandit</t>
  </si>
  <si>
    <t>20K++</t>
  </si>
  <si>
    <t>23k++</t>
  </si>
  <si>
    <t>Social Media Manager</t>
  </si>
  <si>
    <t>Rakesh Kumar</t>
  </si>
  <si>
    <t>Sous Chef</t>
  </si>
  <si>
    <t>45k++</t>
  </si>
  <si>
    <t>Vk</t>
  </si>
  <si>
    <t>Sommelier</t>
  </si>
  <si>
    <t>Sumit Salve</t>
  </si>
  <si>
    <t>32k++</t>
  </si>
  <si>
    <t>Vinay Pasi</t>
  </si>
  <si>
    <t>Worli</t>
  </si>
  <si>
    <t>CVVinayPasi.pdf</t>
  </si>
  <si>
    <t>Sr. Duty Manager</t>
  </si>
  <si>
    <t>Ninoshka Satam</t>
  </si>
  <si>
    <t>81085 95223</t>
  </si>
  <si>
    <t>3.2k (pounds)</t>
  </si>
  <si>
    <t>50-55k</t>
  </si>
  <si>
    <t>Masters</t>
  </si>
  <si>
    <t>CVNinoshkaSatam.pdf</t>
  </si>
  <si>
    <t>Bastian</t>
  </si>
  <si>
    <t>Abhishek Rawat</t>
  </si>
  <si>
    <t>WOK</t>
  </si>
  <si>
    <t>30k++</t>
  </si>
  <si>
    <t>KP</t>
  </si>
  <si>
    <t>Store Manager</t>
  </si>
  <si>
    <t>Sahil Shaikh</t>
  </si>
  <si>
    <t>30-35k</t>
  </si>
  <si>
    <t>CVSahilShaikh.pdf</t>
  </si>
  <si>
    <t>Stores Manager</t>
  </si>
  <si>
    <t>Madhura Thanekar</t>
  </si>
  <si>
    <t>MADHURA THANEKAR - CV RESUME.pdf</t>
  </si>
  <si>
    <t>Supervisor</t>
  </si>
  <si>
    <t>Vaishali Maurya</t>
  </si>
  <si>
    <t>Vaishali Ajay Maurya_CV-1.pdf</t>
  </si>
  <si>
    <t>Supply Chain</t>
  </si>
  <si>
    <t>Trushank Hodar</t>
  </si>
  <si>
    <t>Marine Lines</t>
  </si>
  <si>
    <t>NEW CV.docx TRUSHANK (2).docx</t>
  </si>
  <si>
    <t>Abnah</t>
  </si>
  <si>
    <t>Team Leader</t>
  </si>
  <si>
    <t>Karan Chauhan</t>
  </si>
  <si>
    <t>Badlapur</t>
  </si>
  <si>
    <t>karan resume .pdf</t>
  </si>
  <si>
    <t>Trainee Captain</t>
  </si>
  <si>
    <t>Manish Singh</t>
  </si>
  <si>
    <t>50K</t>
  </si>
  <si>
    <t>Manish_Singh_CV_Sous_Chef_Bakery_Pastry (1).pdf</t>
  </si>
  <si>
    <t>Training Manager</t>
  </si>
  <si>
    <t>Gautam Karmakar</t>
  </si>
  <si>
    <t>16k</t>
  </si>
  <si>
    <t>Cv maker_1774162513085.pdf</t>
  </si>
  <si>
    <t>Waiter</t>
  </si>
  <si>
    <t>Komal Ghadge</t>
  </si>
  <si>
    <t>Asst manager</t>
  </si>
  <si>
    <t>Komal Ghadge HR (2).pdf</t>
  </si>
  <si>
    <t>Praveen Kumar</t>
  </si>
  <si>
    <t>CVPraveenKumar.pdf</t>
  </si>
  <si>
    <t>Rohan Hajare</t>
  </si>
  <si>
    <t>Vile Parle</t>
  </si>
  <si>
    <t>No response</t>
  </si>
  <si>
    <t>CVROHANHAJARE.pdf</t>
  </si>
  <si>
    <t>Sayyed Mosin Sagir</t>
  </si>
  <si>
    <t>WhatsApp Image 2026-03-31 at 2.04.50 PM.jpeg</t>
  </si>
  <si>
    <t>Harsh Kadam</t>
  </si>
  <si>
    <t>Fresher</t>
  </si>
  <si>
    <t>Jogeshwari</t>
  </si>
  <si>
    <t>CV_2025092922483081.pdf</t>
  </si>
  <si>
    <t>Rajeev Kashyap</t>
  </si>
  <si>
    <t>Bhandup</t>
  </si>
  <si>
    <t>RAJEEV KASHYAP.docx</t>
  </si>
  <si>
    <t>Lanmi Zingkhai</t>
  </si>
  <si>
    <t>13k</t>
  </si>
  <si>
    <t>Kalina, Santa Cruz</t>
  </si>
  <si>
    <t>White Minimalist Resume (1)_030639.pdf</t>
  </si>
  <si>
    <t>Khanimphi Khudai</t>
  </si>
  <si>
    <t>19k</t>
  </si>
  <si>
    <t>Khanimphi_Khudai_Resume.pdf</t>
  </si>
  <si>
    <t>Sochui Ahaonao</t>
  </si>
  <si>
    <t>DOC-20260224-WA0024..pdf</t>
  </si>
  <si>
    <t>Sneha Salgaonkar</t>
  </si>
  <si>
    <t>22k++</t>
  </si>
  <si>
    <t>Sneha_Salgaonkar_CV-6 (1).pdf</t>
  </si>
  <si>
    <t>Abnah &amp; Blondie</t>
  </si>
  <si>
    <t>Sunil Makwana</t>
  </si>
  <si>
    <t>Nalasopara</t>
  </si>
  <si>
    <t>WhatsApp Image 2026-04-01 at 9.51.41 PM.jpeg</t>
  </si>
  <si>
    <t>Speciality &amp; Hylo</t>
  </si>
  <si>
    <t>Heeten Mar</t>
  </si>
  <si>
    <t>Mira Road</t>
  </si>
  <si>
    <t>Heeten Kumar Mar.pdf</t>
  </si>
  <si>
    <t>Faizan Mohd</t>
  </si>
  <si>
    <t>21++</t>
  </si>
  <si>
    <t>Tardeo</t>
  </si>
  <si>
    <t>FAIZAN.pdf</t>
  </si>
  <si>
    <t>Nitin Panwar</t>
  </si>
  <si>
    <t>NITIN SINGH PANWAR CV _20260227_171052_0000.pdf</t>
  </si>
  <si>
    <t>Sanket Adawade</t>
  </si>
  <si>
    <t>ProfessionalCVofSanketAdawade.pdf</t>
  </si>
  <si>
    <t>Sagar Warekar</t>
  </si>
  <si>
    <t>23.5k</t>
  </si>
  <si>
    <t>SAGAR_MILIND_WAREKAR_FlowCV_Resume_2026-03-02.pdf</t>
  </si>
  <si>
    <t>Faiz Khan</t>
  </si>
  <si>
    <t>CVFaizKhan.pdf</t>
  </si>
  <si>
    <t>Jatin More</t>
  </si>
  <si>
    <t>WhatsApp Image 2026-04-02 at 7.17.20 PM.jpeg</t>
  </si>
  <si>
    <t>Aasif Kalnad</t>
  </si>
  <si>
    <t>1.12 lacs</t>
  </si>
  <si>
    <t>1.25 lacs</t>
  </si>
  <si>
    <t>Aasif Kalnad CV.pdf</t>
  </si>
  <si>
    <t>Leon Fonseca</t>
  </si>
  <si>
    <t>1.5 lacs</t>
  </si>
  <si>
    <t>Leon Fonseca.pdf</t>
  </si>
  <si>
    <t>Ketan Mohite</t>
  </si>
  <si>
    <t>55k</t>
  </si>
  <si>
    <t>CV_2026010421362261.pdf</t>
  </si>
  <si>
    <t>Mansi Thakur</t>
  </si>
  <si>
    <t>Mansi Thakur CV .pdf</t>
  </si>
  <si>
    <t>Aaas Mohammad</t>
  </si>
  <si>
    <t>88507 03981</t>
  </si>
  <si>
    <t>CV_2026031220073960.pdf</t>
  </si>
  <si>
    <t>Nikhil Dongrikar</t>
  </si>
  <si>
    <t>80808 19774</t>
  </si>
  <si>
    <t>Nikhil Dongrikar - Aditya Birla (1).pdf</t>
  </si>
  <si>
    <t>Akash Lamha</t>
  </si>
  <si>
    <t>6295 381 358</t>
  </si>
  <si>
    <t>Silliguri</t>
  </si>
  <si>
    <t>ResumeAKASHLAMA (2).pdf</t>
  </si>
  <si>
    <t>Sunil Hahich</t>
  </si>
  <si>
    <t>99282 17949</t>
  </si>
  <si>
    <t>accontant</t>
  </si>
  <si>
    <t>Resume_SD.pdf</t>
  </si>
  <si>
    <t>Shailesh Sawant</t>
  </si>
  <si>
    <t>98907 35057</t>
  </si>
  <si>
    <t>72k</t>
  </si>
  <si>
    <t>Naukri_ShaileshSawant[12y_0m] (2).pdf</t>
  </si>
  <si>
    <t>Nitesh Gupta</t>
  </si>
  <si>
    <t>95948 18233</t>
  </si>
  <si>
    <t>Sunil singh</t>
  </si>
  <si>
    <t>73518 60424</t>
  </si>
  <si>
    <t>Sunil Singh Bisht (4) (2).pdf</t>
  </si>
  <si>
    <t>Upendra</t>
  </si>
  <si>
    <t>721 727 3996</t>
  </si>
  <si>
    <t>Sion</t>
  </si>
  <si>
    <t>Dilip</t>
  </si>
  <si>
    <t>78783 39507</t>
  </si>
  <si>
    <t>dilipresume (1).pdf</t>
  </si>
  <si>
    <t>Ashish Pandey</t>
  </si>
  <si>
    <t xml:space="preserve"> 84548 94352</t>
  </si>
  <si>
    <t>banquet sales</t>
  </si>
  <si>
    <t>ashish pandey new(1) (1) (1).pdf</t>
  </si>
  <si>
    <t>William Sungte</t>
  </si>
  <si>
    <t>93832 81672</t>
  </si>
  <si>
    <t>bandra</t>
  </si>
  <si>
    <t>William Sungte resume (1).pdf</t>
  </si>
  <si>
    <t>Ayyan</t>
  </si>
  <si>
    <t>878 883 1629</t>
  </si>
  <si>
    <t>29k</t>
  </si>
  <si>
    <t>Ayyan_Resume (4).pdf</t>
  </si>
  <si>
    <t>Khan Hayat</t>
  </si>
  <si>
    <t xml:space="preserve"> 97026 59651</t>
  </si>
  <si>
    <t>KHAN HAYAT 2 (1).docx</t>
  </si>
  <si>
    <t>Adnan Shaikh</t>
  </si>
  <si>
    <t>91671 75425</t>
  </si>
  <si>
    <t>ADNAN SHAIKH RESUME (1).png</t>
  </si>
  <si>
    <t>Anish</t>
  </si>
  <si>
    <t>95458 50829</t>
  </si>
  <si>
    <t>Anish Morajkar Resume .pdf</t>
  </si>
  <si>
    <t>Shivani</t>
  </si>
  <si>
    <t>82918 82882</t>
  </si>
  <si>
    <t>Dilploma</t>
  </si>
  <si>
    <t>Shivani Bhanushali CV 2026.pdf</t>
  </si>
  <si>
    <t>Faisal Kotab</t>
  </si>
  <si>
    <t>99603 84971</t>
  </si>
  <si>
    <t>75k</t>
  </si>
  <si>
    <t>Faisal_Kotab_Professional_Profile (1).pdf</t>
  </si>
  <si>
    <t>Hitesh Rane</t>
  </si>
  <si>
    <t>93241 00711</t>
  </si>
  <si>
    <t>Blue Simple Professional CV Resume.pdf 2.pdf</t>
  </si>
  <si>
    <t>Tanuj BHoir</t>
  </si>
  <si>
    <t>83559 47065</t>
  </si>
  <si>
    <t>Colaba</t>
  </si>
  <si>
    <t>more than 2 years</t>
  </si>
  <si>
    <t>Naukri_TanujJaywantBhoir[1y_6m] (1).pdf</t>
  </si>
  <si>
    <t>Nilesh Nalwande</t>
  </si>
  <si>
    <t xml:space="preserve"> 96534 45994</t>
  </si>
  <si>
    <t>bakery CDP</t>
  </si>
  <si>
    <t>Nilesh Nalawade - Resume (1) (1) (2).pdf</t>
  </si>
  <si>
    <t>Karan Solanki</t>
  </si>
  <si>
    <t>37k</t>
  </si>
  <si>
    <t>Karan.CV 1_20260319_172711_0000.pdf</t>
  </si>
  <si>
    <t>Ravi Sonkar</t>
  </si>
  <si>
    <t>resummee.pdf</t>
  </si>
  <si>
    <t>Rahul Rodayal</t>
  </si>
  <si>
    <t>Rahul_Rodayal_Resume_Updated-2.pdf</t>
  </si>
  <si>
    <t>Saniya Pawase</t>
  </si>
  <si>
    <t>Saniya Pawase.pdf</t>
  </si>
  <si>
    <t>Fazal Parkar</t>
  </si>
  <si>
    <t>Fazal_Parkar_CV_Final.pdf</t>
  </si>
  <si>
    <t>Raghubeer Singh</t>
  </si>
  <si>
    <t>Pawan Pandey</t>
  </si>
  <si>
    <t>Pawan.pdf.pdf</t>
  </si>
  <si>
    <t>Bhavesh Kedare</t>
  </si>
  <si>
    <t>Pastry/Baery</t>
  </si>
  <si>
    <t>22.5k</t>
  </si>
  <si>
    <t>25-27k</t>
  </si>
  <si>
    <t>Bhavesh_Ashok_Kedare_Resume 1.pdf</t>
  </si>
  <si>
    <t>Smruti Khote</t>
  </si>
  <si>
    <t>Mira rd</t>
  </si>
  <si>
    <t>Smrutikhotresume.pdf</t>
  </si>
  <si>
    <t>Aishwarya Khandekar</t>
  </si>
  <si>
    <t>Guest Relations</t>
  </si>
  <si>
    <t>CV (6).pdf</t>
  </si>
  <si>
    <t>Prachita Kamble</t>
  </si>
  <si>
    <t>Prachita Resume (Hotel Mangement)-2.pdf</t>
  </si>
  <si>
    <t>Pawan Galve</t>
  </si>
  <si>
    <t>17k</t>
  </si>
  <si>
    <t>Pawan_Galve_Resume 2026.pdf</t>
  </si>
  <si>
    <t>Pratik Bhosale</t>
  </si>
  <si>
    <t>Ambernath</t>
  </si>
  <si>
    <t>Resume_Pratik.pdf</t>
  </si>
  <si>
    <t>Sonal Sherkar</t>
  </si>
  <si>
    <t>Accounts Manager</t>
  </si>
  <si>
    <t>Ghatkopar</t>
  </si>
  <si>
    <t>SONAL SHERKAR-Finance Manager&amp; Procurement.pdf</t>
  </si>
  <si>
    <t>Bhavesh Upadhyay</t>
  </si>
  <si>
    <t>33k</t>
  </si>
  <si>
    <t>Santa cruz</t>
  </si>
  <si>
    <t>01EF0B19-B2C6-496F-A2AD-F3941588323D.pdf</t>
  </si>
  <si>
    <t>Khushbu Jaiswal</t>
  </si>
  <si>
    <t>khushubu rusume.pdf</t>
  </si>
  <si>
    <t>Akshay Belani</t>
  </si>
  <si>
    <t>Saki Naka</t>
  </si>
  <si>
    <t>AkshayBelani2026.pdf</t>
  </si>
  <si>
    <t>Clinton Mall</t>
  </si>
  <si>
    <t>72k++</t>
  </si>
  <si>
    <t>Clinton Mall.pdf</t>
  </si>
  <si>
    <t>Corleone's</t>
  </si>
  <si>
    <t>Sahil Ayyar</t>
  </si>
  <si>
    <t>8600255579/8530023479.</t>
  </si>
  <si>
    <t>Palghar</t>
  </si>
  <si>
    <t>CVSAHILAYYAR.pdf</t>
  </si>
  <si>
    <t>Kapil Jaiwal</t>
  </si>
  <si>
    <t>55k ++</t>
  </si>
  <si>
    <t>70k++</t>
  </si>
  <si>
    <t>South Mumbai</t>
  </si>
  <si>
    <t>Kapil Jaiswal.pdf</t>
  </si>
  <si>
    <t>Sushant Chaube</t>
  </si>
  <si>
    <t>84529 22864</t>
  </si>
  <si>
    <t>Mira road</t>
  </si>
  <si>
    <t>Sushant_Chaube_Resume.docx</t>
  </si>
  <si>
    <t>Manas Joglekar</t>
  </si>
  <si>
    <t>89752 49689</t>
  </si>
  <si>
    <t>27K</t>
  </si>
  <si>
    <t>Manas Joglekar Cv_20250828_224239_0000.pdf</t>
  </si>
  <si>
    <t>Adarsh Shingh</t>
  </si>
  <si>
    <t>73877 65707</t>
  </si>
  <si>
    <t>29K</t>
  </si>
  <si>
    <t>DocScanner Nov 19, 2025 19-46.pdf</t>
  </si>
  <si>
    <t>Vishal Singh Bisht</t>
  </si>
  <si>
    <t>Black White Minimalist CV Resume.pdf.pdf</t>
  </si>
  <si>
    <t>Abhishek Gupta</t>
  </si>
  <si>
    <t>99876 22906</t>
  </si>
  <si>
    <t>Abhishek Gupta Resume.pdf</t>
  </si>
  <si>
    <t>Syed Azhar</t>
  </si>
  <si>
    <t>832 830 8840</t>
  </si>
  <si>
    <t>Syed Azhar Uddin_CV-2.pdf (1).pdf</t>
  </si>
  <si>
    <t>Faloh</t>
  </si>
  <si>
    <t>90892 97821</t>
  </si>
  <si>
    <t>Falo's CV-1.pdf</t>
  </si>
  <si>
    <t>Atharav Padavar</t>
  </si>
  <si>
    <t>83559 67329</t>
  </si>
  <si>
    <t>Atharav CV Resume.pdf.pdf_20260404_120251_0000.pdf</t>
  </si>
  <si>
    <t>Siddesh Gurav</t>
  </si>
  <si>
    <t xml:space="preserve"> 95940 31669</t>
  </si>
  <si>
    <t>Siddesh Gurav CV.pdf</t>
  </si>
  <si>
    <t>Ritika Kadam</t>
  </si>
  <si>
    <t>48k</t>
  </si>
  <si>
    <t>Ritika Gaikwad .pdf.pdf</t>
  </si>
  <si>
    <t>Ojas Rajure</t>
  </si>
  <si>
    <t>97683 27326</t>
  </si>
  <si>
    <t>200k</t>
  </si>
  <si>
    <t>Senior Manager - OG.pdf</t>
  </si>
  <si>
    <t>Keith Britto</t>
  </si>
  <si>
    <t xml:space="preserve"> 70452 70858</t>
  </si>
  <si>
    <t>KeithBritto_Portfolio2026.pdf</t>
  </si>
  <si>
    <t>Jay prajapat</t>
  </si>
  <si>
    <t>91567 99604</t>
  </si>
  <si>
    <t>Kalwa</t>
  </si>
  <si>
    <t>My CV resume - 1.pdf</t>
  </si>
  <si>
    <t>Dhan bhim</t>
  </si>
  <si>
    <t>97663 41372</t>
  </si>
  <si>
    <t>18k++</t>
  </si>
  <si>
    <t>resume (3) (1) (1).pdf</t>
  </si>
  <si>
    <t>Shadil Ali</t>
  </si>
  <si>
    <t>Mumbra</t>
  </si>
  <si>
    <t>SHADIL'S RESUME .pdf</t>
  </si>
  <si>
    <t>Vanessa Cardoz</t>
  </si>
  <si>
    <t>Ishdeep Singh</t>
  </si>
  <si>
    <t>ashu.....pdf</t>
  </si>
  <si>
    <t>Gaurav Chauhan</t>
  </si>
  <si>
    <t>78949 90282</t>
  </si>
  <si>
    <t>gourav.pdf</t>
  </si>
  <si>
    <t>Mohsin Khatib</t>
  </si>
  <si>
    <t xml:space="preserve"> 9004861484 /  8779131706</t>
  </si>
  <si>
    <t>bhayandar</t>
  </si>
  <si>
    <t>CV-Mohsin Khatib.pdf (1).pdf</t>
  </si>
  <si>
    <t>Purshuttam Shedge</t>
  </si>
  <si>
    <t>Purushottam shedge RESUME  (1).pdf</t>
  </si>
  <si>
    <t>Yash Shinde</t>
  </si>
  <si>
    <t>Yash  ty resume .pdf</t>
  </si>
  <si>
    <t>Sneha Rajguru</t>
  </si>
  <si>
    <t>Sneha Rajguru.pdf</t>
  </si>
  <si>
    <t>Arjun Balmiki</t>
  </si>
  <si>
    <t>Arjun_Balmiki_CV_with_Photo (1).pdf</t>
  </si>
  <si>
    <t>Hridaya Bobadi</t>
  </si>
  <si>
    <t>Khar</t>
  </si>
  <si>
    <t>Hridaya Resume.pdf</t>
  </si>
  <si>
    <t>Samir Raut</t>
  </si>
  <si>
    <t>RESUME SAMIR RAUT-1.pdf</t>
  </si>
  <si>
    <t>Vivek Khatri</t>
  </si>
  <si>
    <t>Vivek Khatri CV.pdf</t>
  </si>
  <si>
    <t>Komal Kashyap</t>
  </si>
  <si>
    <t>Punjab</t>
  </si>
  <si>
    <t>Resume Komal Kashyap-1 (1) (1).pdf</t>
  </si>
  <si>
    <t>Carin John</t>
  </si>
  <si>
    <t>Dwarka</t>
  </si>
  <si>
    <t>Muskaan shared</t>
  </si>
  <si>
    <t>DIVA - Has worked for 5 Brands</t>
  </si>
  <si>
    <t>Carin John.pdf</t>
  </si>
  <si>
    <t>Sanaya Dutt</t>
  </si>
  <si>
    <t>Gurgaon</t>
  </si>
  <si>
    <t>KK shared</t>
  </si>
  <si>
    <t>Sanaya Dutt  CV .pdf</t>
  </si>
  <si>
    <t>Nitin Rao</t>
  </si>
  <si>
    <t>Vidyavihar</t>
  </si>
  <si>
    <t>Harsh Mehta</t>
  </si>
  <si>
    <t>Harsh Mehta.pdf</t>
  </si>
  <si>
    <t>MD Dulare</t>
  </si>
  <si>
    <t>Md Dulare CV D up (1).pdf</t>
  </si>
  <si>
    <t>Madhukar Goud</t>
  </si>
  <si>
    <t>Wadala</t>
  </si>
  <si>
    <t>Madhukar Goud-New.pdf</t>
  </si>
  <si>
    <t>Sahil Pote</t>
  </si>
  <si>
    <t>22K</t>
  </si>
  <si>
    <t>Sahil Pote ..............pdf</t>
  </si>
  <si>
    <t>Jauhar Ali Khan</t>
  </si>
  <si>
    <t>Jauhar.pdf</t>
  </si>
  <si>
    <t>Raj Poshnan</t>
  </si>
  <si>
    <t>RAJ POSHANA 2026.pdf</t>
  </si>
  <si>
    <t>Mehul Kulkarni</t>
  </si>
  <si>
    <t>Charni Road</t>
  </si>
  <si>
    <t>CHEF MEHUL KULKARNI-1.pdf.pdf</t>
  </si>
  <si>
    <t>Bandu Ugalmugale</t>
  </si>
  <si>
    <t>1.3 lacs</t>
  </si>
  <si>
    <t>Chef Bandu Resume 2026.pdf</t>
  </si>
  <si>
    <t>Durvas Natekar</t>
  </si>
  <si>
    <t>70399 14128</t>
  </si>
  <si>
    <t>65k++</t>
  </si>
  <si>
    <t>70K++</t>
  </si>
  <si>
    <t>Durvas Natekar 2025.pdf</t>
  </si>
  <si>
    <t>Vineet Gola</t>
  </si>
  <si>
    <t>92176 45815</t>
  </si>
  <si>
    <t>55k++</t>
  </si>
  <si>
    <t>Vineet Gola Cv India.pdf</t>
  </si>
  <si>
    <t>Jatin Verma</t>
  </si>
  <si>
    <t>Adnaan Shaikh</t>
  </si>
  <si>
    <t>1.83 lacs</t>
  </si>
  <si>
    <t>Adnaan Shaikh_Resume 2026 (1).pdf</t>
  </si>
  <si>
    <t>Moh Shaikh</t>
  </si>
  <si>
    <t>977227D7-3ADF-4937-9FE5-E24C0B65B452.pdf</t>
  </si>
  <si>
    <t>Ameya Deshpande</t>
  </si>
  <si>
    <t>Ameya updated resume2024.pdf</t>
  </si>
  <si>
    <t>Sushil Nirmal</t>
  </si>
  <si>
    <t>84549 35134</t>
  </si>
  <si>
    <t>Sushil Nirmal CV.pdf</t>
  </si>
  <si>
    <t>Kartik Mondkar</t>
  </si>
  <si>
    <t>KARTIK RESUME NEW-1.pdf</t>
  </si>
  <si>
    <t>Ganesh Gonel</t>
  </si>
  <si>
    <t>Blacklisted</t>
  </si>
  <si>
    <t>Ganesh Gonel CV.pdf</t>
  </si>
  <si>
    <t xml:space="preserve"> Sameer Shaikh</t>
  </si>
  <si>
    <t>19k(ctc)</t>
  </si>
  <si>
    <t>sammer resume.pdf</t>
  </si>
  <si>
    <t>Prakash Venkatesh</t>
  </si>
  <si>
    <t>60k</t>
  </si>
  <si>
    <t>Prakash_Venkatesh_FlowCV_Resume (1).pdf</t>
  </si>
  <si>
    <t>Devanand Vitthal</t>
  </si>
  <si>
    <t>DEVANAND VITTHAL PATIL.pdf</t>
  </si>
  <si>
    <t>Nilam Mestry</t>
  </si>
  <si>
    <t>NILAM MESTRY.pdf</t>
  </si>
  <si>
    <t>Ameek Kaur</t>
  </si>
  <si>
    <t>1 lacs</t>
  </si>
  <si>
    <t>Chef Ameek Kaur CV updated.pdf</t>
  </si>
  <si>
    <t>Chirag Poddar</t>
  </si>
  <si>
    <t>Kamlesh Solanki</t>
  </si>
  <si>
    <t>Blue Simple Professional CV Resume (1).pdf</t>
  </si>
  <si>
    <t>Vishwas Vishwakarma</t>
  </si>
  <si>
    <t>My Resume (2).pdf</t>
  </si>
  <si>
    <t>Rohan Singh</t>
  </si>
  <si>
    <t>35K</t>
  </si>
  <si>
    <t>ROHAN SINGH CV UPDATED-1-1-1.pdf</t>
  </si>
  <si>
    <t>Akash Chaurasiya</t>
  </si>
  <si>
    <t>akash.pdf</t>
  </si>
  <si>
    <t>Nikhil Gupta</t>
  </si>
  <si>
    <t>can forward for ahmedabad Bastian</t>
  </si>
  <si>
    <t>NIKHIL Gupta 2027 new.pdf</t>
  </si>
  <si>
    <t>Anand Singh</t>
  </si>
  <si>
    <t>Indian/ Tandoor</t>
  </si>
  <si>
    <t>anand singh bisht_1773767194429.pdf</t>
  </si>
  <si>
    <t>Nitin Sharma</t>
  </si>
  <si>
    <t>My_Resume__20260408_004502_0000.pdf</t>
  </si>
  <si>
    <t>Vishal Choudhary</t>
  </si>
  <si>
    <t>Jabalpur</t>
  </si>
  <si>
    <t>Vishal Resume (1)-1.pdf</t>
  </si>
  <si>
    <t>Mark Dmello</t>
  </si>
  <si>
    <t>Mark Mathew Dmello_1776074152493.pdf</t>
  </si>
  <si>
    <t>Aniruddha Malkar</t>
  </si>
  <si>
    <t>UPDATED CV - ANI (1).pdf</t>
  </si>
  <si>
    <t>Ankit Maity</t>
  </si>
  <si>
    <t>ANKIT Resume.pdf</t>
  </si>
  <si>
    <t>Arushi Joshi</t>
  </si>
  <si>
    <t>Arushi Joshi Curriculum vitae.pdf</t>
  </si>
  <si>
    <t>Amarjeet Gupta</t>
  </si>
  <si>
    <t>Azad</t>
  </si>
  <si>
    <t>Payal Dhangar</t>
  </si>
  <si>
    <t>28-30k</t>
  </si>
  <si>
    <t>Payal Dhangar_Color Format – 02.pdf</t>
  </si>
  <si>
    <t>Vibha Gautam</t>
  </si>
  <si>
    <t>Nariman Point</t>
  </si>
  <si>
    <t>Vibha Gautam resume.pdf</t>
  </si>
  <si>
    <t>Garvit</t>
  </si>
  <si>
    <t>Garvit.pdf</t>
  </si>
  <si>
    <t>Pooja Haldankar</t>
  </si>
  <si>
    <t>39k</t>
  </si>
  <si>
    <t>Pooja T Haldankar - CV.pdf</t>
  </si>
  <si>
    <t>Nikhil Shukla</t>
  </si>
  <si>
    <t>Nikhil Shukla .pdf</t>
  </si>
  <si>
    <t>Jignesh Jethwa</t>
  </si>
  <si>
    <t>Jethwa Jignesh Jagdish _1775719001222_125145 (1).pdf</t>
  </si>
  <si>
    <t>Amey Kolekar</t>
  </si>
  <si>
    <t>Sagarika Rawat</t>
  </si>
  <si>
    <t>Sagarika Lancy Rawat Resumepdf-2_260323_092929.pdf</t>
  </si>
  <si>
    <t>Nikhil Dhumal</t>
  </si>
  <si>
    <t>Thane, Diva</t>
  </si>
  <si>
    <t>Nikhil Dhumal Resume.pdf</t>
  </si>
  <si>
    <t>Sakshi Bhargava</t>
  </si>
  <si>
    <t>25.7k</t>
  </si>
  <si>
    <t>Andheri east</t>
  </si>
  <si>
    <t>Sakshi Bhargava.pdf</t>
  </si>
  <si>
    <t>Mohd Zaid Khan</t>
  </si>
  <si>
    <t>mohd zaid khan .pdf</t>
  </si>
  <si>
    <t>Amin Shaikh</t>
  </si>
  <si>
    <t>12k</t>
  </si>
  <si>
    <t>scan20260311165431 (2).pdf</t>
  </si>
  <si>
    <t>Vikrant Mali</t>
  </si>
  <si>
    <t>english- basic</t>
  </si>
  <si>
    <t>looking for accommodation</t>
  </si>
  <si>
    <t>CVVikrantMali.pdf</t>
  </si>
  <si>
    <t>Asif Shemle</t>
  </si>
  <si>
    <t>1.05 lacs</t>
  </si>
  <si>
    <t>Asif. A. L. Shemle Resume.pdf</t>
  </si>
  <si>
    <t>Abhishek Avere</t>
  </si>
  <si>
    <t>60K</t>
  </si>
  <si>
    <t>Abhishek_Avere_Professional_Resume (3).pdf</t>
  </si>
  <si>
    <t>Randall John</t>
  </si>
  <si>
    <t>CVRandallJohn.pdf</t>
  </si>
  <si>
    <t>Shailendra Singh</t>
  </si>
  <si>
    <t>70451 52769</t>
  </si>
  <si>
    <t>Blue and Gray Simple Professional CV Resume (1).pdf</t>
  </si>
  <si>
    <t>Jackson Nadar</t>
  </si>
  <si>
    <t>24.8k</t>
  </si>
  <si>
    <t>WhatsApp Image 2026-04-17 at 18.39.57.jpeg</t>
  </si>
  <si>
    <t>Sabir Shaikh</t>
  </si>
  <si>
    <t>Nallasopara</t>
  </si>
  <si>
    <t>Sabir.pdf</t>
  </si>
  <si>
    <t>Sonam Prasad</t>
  </si>
  <si>
    <t>cv sonam prasad ✨.pdf</t>
  </si>
  <si>
    <t>Sneha Pansare Resume.pdf</t>
  </si>
  <si>
    <t>Ashutosh Mule</t>
  </si>
  <si>
    <t>Update on friday 24/4/26</t>
  </si>
  <si>
    <t>ASHUTOSH CV 2.pdf</t>
  </si>
  <si>
    <t>Tejas Patade</t>
  </si>
  <si>
    <t>TEJAS PATADE RESUME.pdf</t>
  </si>
  <si>
    <t>Nitin Solanki</t>
  </si>
  <si>
    <t>Lalbaug</t>
  </si>
  <si>
    <t>looking for something near parel due to foot injury</t>
  </si>
  <si>
    <t>NITIN SOLANKI CV-1.pdf</t>
  </si>
  <si>
    <t>Courtside</t>
  </si>
  <si>
    <t>Sheetal Bist</t>
  </si>
  <si>
    <t>Sheetal Bist Resume (2).pdf</t>
  </si>
  <si>
    <t>Venjal Pereira</t>
  </si>
  <si>
    <t>Naigaon</t>
  </si>
  <si>
    <t>25022026CURRICULUM VITAE.pdf</t>
  </si>
  <si>
    <t>Hussain Shaikh</t>
  </si>
  <si>
    <t>looking for 5 star</t>
  </si>
  <si>
    <t>2026 CV.pdf</t>
  </si>
  <si>
    <t>Ronak Jha</t>
  </si>
  <si>
    <t>ResumeJhaVimal.pdf</t>
  </si>
  <si>
    <t>Darshan Sonar</t>
  </si>
  <si>
    <t>DARSHAN CV Bartender.pdf</t>
  </si>
  <si>
    <t>Sahil Kurup</t>
  </si>
  <si>
    <t>Sahil_Kurup Resume  2.pdf</t>
  </si>
  <si>
    <t>Mallesh Kanaveni</t>
  </si>
  <si>
    <t>andheri</t>
  </si>
  <si>
    <t>Mallesh Narsaiah Kanaveni.Resume pdf.pdf</t>
  </si>
  <si>
    <t>Rushikesh More</t>
  </si>
  <si>
    <t>Rushikesh Resume .pdf.pdf</t>
  </si>
  <si>
    <t>Rushabh Pawar</t>
  </si>
  <si>
    <t>Rushabh Pawar.pdf</t>
  </si>
  <si>
    <t>Shreenee Keskar</t>
  </si>
  <si>
    <t>41.6k</t>
  </si>
  <si>
    <t>Charni rd</t>
  </si>
  <si>
    <t>CVShreeneekeskar.pdf</t>
  </si>
  <si>
    <t>Aria Communications</t>
  </si>
  <si>
    <t>Manav Viras</t>
  </si>
  <si>
    <t>MANAV VIRAS .pdf</t>
  </si>
  <si>
    <t>Dennis</t>
  </si>
  <si>
    <t>DENNIS CURRICULAM VITAE.pdf</t>
  </si>
  <si>
    <t>Aryan Machhi</t>
  </si>
  <si>
    <t>Bahayandar</t>
  </si>
  <si>
    <t>432906FE-E75C-4F75-B89F-553F6F9B56AA.pdf</t>
  </si>
  <si>
    <t>Prince Fernandes</t>
  </si>
  <si>
    <t>Prince Fernandes ( RESUME).......... - 1765113469.pdf</t>
  </si>
  <si>
    <t>Nikesh Mohite</t>
  </si>
  <si>
    <t>CV_2026010212425226.pdf</t>
  </si>
  <si>
    <t>Ritesh Satpute</t>
  </si>
  <si>
    <t>CVRiteshSatpute.pdf</t>
  </si>
  <si>
    <t>Zaringla Kashung</t>
  </si>
  <si>
    <t>IMG_3425.pdf</t>
  </si>
  <si>
    <t>Prerna Kamble</t>
  </si>
  <si>
    <t>CV_2026032323475397.pdf</t>
  </si>
  <si>
    <t>Satyajit Ghorai</t>
  </si>
  <si>
    <t>satyAJit ghorai cv (1) (1).pdf</t>
  </si>
  <si>
    <t>Lien Patel</t>
  </si>
  <si>
    <t>31k</t>
  </si>
  <si>
    <t>Lien cv 5 (2).pdf</t>
  </si>
  <si>
    <t>Sahil Thapania</t>
  </si>
  <si>
    <t>Head Bartender- Sahil Thapania .pdf</t>
  </si>
  <si>
    <t>Shreya Anand</t>
  </si>
  <si>
    <t>Shreya_Anand_Mixologist_Resume_Updated.docx</t>
  </si>
  <si>
    <t>Soumya Ranjan Mahapatra</t>
  </si>
  <si>
    <t>Vadodara</t>
  </si>
  <si>
    <t>Untitled.pdf</t>
  </si>
  <si>
    <t>Imelda Lacerda</t>
  </si>
  <si>
    <t>WhatsApp Image 2026-04-23 at 5.59.44 PM.jpeg</t>
  </si>
  <si>
    <t>Praveen Pandit</t>
  </si>
  <si>
    <t>Praveen-Kumar-Pandit-FlowCV-Resume-20250708.pdf</t>
  </si>
  <si>
    <t>Pratik Shinde</t>
  </si>
  <si>
    <t>Pratik shinde_CV-2.pdf</t>
  </si>
  <si>
    <t>Derrick Crasto</t>
  </si>
  <si>
    <t>Derrick Crasto_Resume 2025.pdf</t>
  </si>
  <si>
    <t>Sunny Shetty</t>
  </si>
  <si>
    <t>DOC-20251006-WA0002..pdf</t>
  </si>
  <si>
    <t>Ria Thakkar</t>
  </si>
  <si>
    <t>Ria Thakkar (Resume).pdf</t>
  </si>
  <si>
    <t>Shazmin Budhani</t>
  </si>
  <si>
    <t>Masjid Bander</t>
  </si>
  <si>
    <t>Shazmin Budhani CV (2).docx</t>
  </si>
  <si>
    <t>Pragya Debnath</t>
  </si>
  <si>
    <t>Udaipur</t>
  </si>
  <si>
    <t>Pragya Debnath  - Resume.pdf</t>
  </si>
  <si>
    <t>Sumit Jha</t>
  </si>
  <si>
    <t>Kalyan</t>
  </si>
  <si>
    <t>Sumit Jha CV (1).pdf</t>
  </si>
  <si>
    <t>Lakhan Kumar</t>
  </si>
  <si>
    <t>9th Pass</t>
  </si>
  <si>
    <t>WhatsApp Image 2026-04-27 at 11.03.57 AM.jpeg</t>
  </si>
  <si>
    <t>Bharat Yadav</t>
  </si>
  <si>
    <t>Bharat_Ramakbal_Yadav_CV_FINAL.pdf</t>
  </si>
  <si>
    <t>Vishal Holkar</t>
  </si>
  <si>
    <t>Vishal Holkar - Senior Barista.pdf</t>
  </si>
  <si>
    <t>Suraj Adhikary</t>
  </si>
  <si>
    <t>Suraj Adhikary.pdf</t>
  </si>
  <si>
    <t>Santosham</t>
  </si>
  <si>
    <t>Dalpat Singh</t>
  </si>
  <si>
    <t>Ashok Nagar</t>
  </si>
  <si>
    <t>DALPAT SINGH.pdf</t>
  </si>
  <si>
    <t>Krish Pandit</t>
  </si>
  <si>
    <t>32K</t>
  </si>
  <si>
    <t>Krish Pandit CV1.pdf</t>
  </si>
  <si>
    <t>Siya Singh</t>
  </si>
  <si>
    <t>Professional_1777279463989.pdf</t>
  </si>
  <si>
    <t>Vidhi Chauhan</t>
  </si>
  <si>
    <t>Malabar hills</t>
  </si>
  <si>
    <t>Vidhi Chauhan.pdf</t>
  </si>
  <si>
    <t>Raj Masih</t>
  </si>
  <si>
    <t>16K</t>
  </si>
  <si>
    <t>Resume (9).pdf</t>
  </si>
  <si>
    <t>Vijay Thapa</t>
  </si>
  <si>
    <t>1.2 Lacs</t>
  </si>
  <si>
    <t>Santacaruz</t>
  </si>
  <si>
    <t>Vijay_Thapa_CV (1).pdf</t>
  </si>
  <si>
    <t>Blondie &amp; All in</t>
  </si>
  <si>
    <t>Sabhajeet Yadav</t>
  </si>
  <si>
    <t>SABHAJEET CV 1.pdf</t>
  </si>
  <si>
    <t>Arfat Shaikh</t>
  </si>
  <si>
    <t>Arfat resume.pdf</t>
  </si>
  <si>
    <t>Derrick Gracias</t>
  </si>
  <si>
    <t>Resume_Derrick Gracias-25.pdf</t>
  </si>
  <si>
    <t>Sejal Kardak</t>
  </si>
  <si>
    <t>cv_1_1776782941823.pdf</t>
  </si>
  <si>
    <t>Siddhesh Akte</t>
  </si>
  <si>
    <t>33K</t>
  </si>
  <si>
    <t>Siddhesh Akte Resume.pdf</t>
  </si>
  <si>
    <t>Saif Dakhve</t>
  </si>
  <si>
    <t>Saif_dakhve_resume.pdf</t>
  </si>
  <si>
    <t>Aditya Kundan</t>
  </si>
  <si>
    <t>Resume_Aditya Kundan.pdf</t>
  </si>
  <si>
    <t>Nikhil Tambe</t>
  </si>
  <si>
    <t>Mantralaya</t>
  </si>
  <si>
    <t>Nikhil Tambe Resume.pdf</t>
  </si>
  <si>
    <t>Gouranga Mondal</t>
  </si>
  <si>
    <t>Guwahati</t>
  </si>
  <si>
    <t>new cv for hyaat._ - 1773985220.pdf</t>
  </si>
  <si>
    <t>Nikhil Purundare</t>
  </si>
  <si>
    <t>Nikhil Purandare_DCDP.pdf</t>
  </si>
  <si>
    <t>Krunal Bandodkar</t>
  </si>
  <si>
    <t>Krunal CV (1).pdf</t>
  </si>
  <si>
    <t>Akash Jaiswal</t>
  </si>
  <si>
    <t>AKASH JAISWAL CV R3 U1.pdf</t>
  </si>
  <si>
    <t>Abnsh</t>
  </si>
  <si>
    <t>Vansh Paswani</t>
  </si>
  <si>
    <t>vansh_pasvani_cv_polished.docx</t>
  </si>
  <si>
    <t>Sandhya Kamble</t>
  </si>
  <si>
    <t>Sandhya kamble 1818.pdf</t>
  </si>
  <si>
    <t>Jaswant Singh Chawda</t>
  </si>
  <si>
    <t>Rajasthan</t>
  </si>
  <si>
    <t>Jaswant Singh Chawda-1.pdf</t>
  </si>
  <si>
    <t>Sayli Shinde</t>
  </si>
  <si>
    <t>saau's cv.pdf</t>
  </si>
  <si>
    <t>Deepak Valmiki</t>
  </si>
  <si>
    <t>RESUME , DEEPAK.pdf</t>
  </si>
  <si>
    <t>Astha Dabhi</t>
  </si>
  <si>
    <t>Rajkot</t>
  </si>
  <si>
    <t>Resume-1.pdf</t>
  </si>
  <si>
    <t>Hetansh Mestry</t>
  </si>
  <si>
    <t>Hetansh Mestry (2).pdf</t>
  </si>
  <si>
    <t>Ketan Saini</t>
  </si>
  <si>
    <t>24K</t>
  </si>
  <si>
    <t>Ketan Saini CV.pdf</t>
  </si>
  <si>
    <t>Suroth Mondal</t>
  </si>
  <si>
    <t>suraj new-2-1.pdf</t>
  </si>
  <si>
    <t>Isaac Gomes</t>
  </si>
  <si>
    <t>Vsai</t>
  </si>
  <si>
    <t>Issac CV New 2 (2).pdf</t>
  </si>
  <si>
    <t>Mezcalita</t>
  </si>
  <si>
    <t>Yogesh Agarwal</t>
  </si>
  <si>
    <t>YOGESH AGARWAL CV.pdf</t>
  </si>
  <si>
    <t>Vijay Salian</t>
  </si>
  <si>
    <t>Goregaon east</t>
  </si>
  <si>
    <t>Vijesh_Salian_FlowCV_Resume_2026-05-01 (1).pdf</t>
  </si>
  <si>
    <t>TGC</t>
  </si>
  <si>
    <t>Najmul Hasan</t>
  </si>
  <si>
    <t>najmul hassan cv.pdf</t>
  </si>
  <si>
    <t>Binoy Maji</t>
  </si>
  <si>
    <t>ResumeBinoyMaji.pdf</t>
  </si>
  <si>
    <t>Jasmin Chawla</t>
  </si>
  <si>
    <t>fresher</t>
  </si>
  <si>
    <t>Resume .pdf</t>
  </si>
  <si>
    <t>Anil Verma</t>
  </si>
  <si>
    <t>Galahaor</t>
  </si>
  <si>
    <t>29.3k</t>
  </si>
  <si>
    <t>Puneet Rathod</t>
  </si>
  <si>
    <t>90760 08000</t>
  </si>
  <si>
    <t>Vijesh Salian</t>
  </si>
  <si>
    <t>97685 60070</t>
  </si>
  <si>
    <t>54k</t>
  </si>
  <si>
    <t>58k</t>
  </si>
  <si>
    <t xml:space="preserve">Abhishek chadda </t>
  </si>
  <si>
    <t>Ramesh Joshi</t>
  </si>
  <si>
    <t xml:space="preserve"> 87507 92953 </t>
  </si>
  <si>
    <t>Rahul Joshi</t>
  </si>
  <si>
    <t>97732 58911</t>
  </si>
  <si>
    <t>140k</t>
  </si>
  <si>
    <t>Anmol Singh</t>
  </si>
  <si>
    <t>971 55 658 0867</t>
  </si>
  <si>
    <t>Varun Butola</t>
  </si>
  <si>
    <t>971 54 447 0690</t>
  </si>
  <si>
    <t>YAssine Idriisi</t>
  </si>
  <si>
    <t>212 679-455325</t>
  </si>
  <si>
    <t>Aaghaz Amir</t>
  </si>
  <si>
    <t xml:space="preserve"> 70458 96269</t>
  </si>
  <si>
    <t>250k</t>
  </si>
  <si>
    <t>Pramod Pawar</t>
  </si>
  <si>
    <t>96199 61443</t>
  </si>
  <si>
    <t>virar</t>
  </si>
  <si>
    <t>Khush Shah</t>
  </si>
  <si>
    <t>97681 56818</t>
  </si>
  <si>
    <t>41k</t>
  </si>
  <si>
    <t>santacruz</t>
  </si>
  <si>
    <t>Siddesh Bhaidkar</t>
  </si>
  <si>
    <t>9768524 797</t>
  </si>
  <si>
    <t>Anuj Yelve</t>
  </si>
  <si>
    <t>93262 02823</t>
  </si>
  <si>
    <t>Siddhi Sawant</t>
  </si>
  <si>
    <t>98692 48029</t>
  </si>
  <si>
    <t>Jitin Dharra</t>
  </si>
  <si>
    <t>816 994 1052</t>
  </si>
  <si>
    <t>Priya</t>
  </si>
  <si>
    <t>98928 90841</t>
  </si>
  <si>
    <t>Ashish Kumar</t>
  </si>
  <si>
    <t>Preetam Singh</t>
  </si>
  <si>
    <t>Kishor Jana</t>
  </si>
  <si>
    <t>Powai</t>
  </si>
  <si>
    <t>Lloyd Dcosta</t>
  </si>
  <si>
    <t>Abhishek Yadav</t>
  </si>
  <si>
    <t>Vishnu Singhj</t>
  </si>
  <si>
    <t>Nishigandha</t>
  </si>
  <si>
    <t>Bhayandar</t>
  </si>
  <si>
    <t>Ajay Kumar</t>
  </si>
  <si>
    <t>Ramkhuwon</t>
  </si>
  <si>
    <t>Deepak Tamang</t>
  </si>
  <si>
    <t>77k</t>
  </si>
  <si>
    <t>Navnidhi Singh</t>
  </si>
  <si>
    <t>Prathamesh Sabale</t>
  </si>
  <si>
    <t>68k</t>
  </si>
  <si>
    <t>Moh Majhar</t>
  </si>
  <si>
    <t>MOHD MAJHAR.pdf</t>
  </si>
  <si>
    <t>Amit Kumar Chavan</t>
  </si>
  <si>
    <t>amit current cv.docx</t>
  </si>
  <si>
    <t>Ravi Sharma</t>
  </si>
  <si>
    <t>Aditi Joshi</t>
  </si>
  <si>
    <t>Aditi Joshi_ Resume...pdf</t>
  </si>
  <si>
    <t>Aria</t>
  </si>
  <si>
    <t>Aditya Sandimani</t>
  </si>
  <si>
    <t>27k (all inc)</t>
  </si>
  <si>
    <t>resume_22000442637_20260419135718_133 (1).pdf</t>
  </si>
  <si>
    <t>Ashwin Kamble</t>
  </si>
  <si>
    <t>ASHWIN ORIGINAL RESUME (2).pdf</t>
  </si>
  <si>
    <t>Amir Ansari</t>
  </si>
  <si>
    <t>AMIR_ANSARI_-_Commis_Chef (1)33.pdf</t>
  </si>
  <si>
    <t>Nishan shaw</t>
  </si>
  <si>
    <t>Nishan Shaw CV.pdf</t>
  </si>
  <si>
    <t>Raveena Poojari</t>
  </si>
  <si>
    <t>Bhayander</t>
  </si>
  <si>
    <t>1000042577 (1) (1).pdf</t>
  </si>
  <si>
    <t>Cv (7).pdf</t>
  </si>
  <si>
    <t>Tanmay Ayre</t>
  </si>
  <si>
    <t>Tanmay_Ayre.pdf</t>
  </si>
  <si>
    <t>Mukesh Tendulkar</t>
  </si>
  <si>
    <t>Belapur</t>
  </si>
  <si>
    <t>Mukesh D. Tendulkar Resume.pdf</t>
  </si>
  <si>
    <t>Saurabh Mohite</t>
  </si>
  <si>
    <t>Saurabh Mohite.pdf</t>
  </si>
  <si>
    <t>Rohan Gurav</t>
  </si>
  <si>
    <t>23ed41ba-2162-4ff7-8c2b-7f0999685086.pdf</t>
  </si>
  <si>
    <t>Penang</t>
  </si>
  <si>
    <t>Chris Rodrigues</t>
  </si>
  <si>
    <t>Chris resume updated.pdf</t>
  </si>
  <si>
    <t>Gayatri Iyer</t>
  </si>
  <si>
    <t>Gayatri .pdf</t>
  </si>
  <si>
    <t>Dipak Sarage</t>
  </si>
  <si>
    <t>male</t>
  </si>
  <si>
    <t>Pranjal Bhagyawant</t>
  </si>
  <si>
    <t>Diksha Pednekar</t>
  </si>
  <si>
    <t>Dombivli</t>
  </si>
  <si>
    <t>Diksha CV.pdf</t>
  </si>
  <si>
    <t>Snehal Kekan</t>
  </si>
  <si>
    <t>ResumeSnehalKekan.pdf</t>
  </si>
  <si>
    <t>Anurag Kathaley</t>
  </si>
  <si>
    <t>85914 63899</t>
  </si>
  <si>
    <t>ResumeAnuragKathaley.pdf</t>
  </si>
  <si>
    <t>James Fernandes</t>
  </si>
  <si>
    <t>86989 23901</t>
  </si>
  <si>
    <t>18K</t>
  </si>
  <si>
    <t>ResumeSabenoFernandes (1).pdf</t>
  </si>
  <si>
    <t>Mudaasar Khan</t>
  </si>
  <si>
    <t>90040 79837</t>
  </si>
  <si>
    <t>45K</t>
  </si>
  <si>
    <t>mudassarkhan (2).pdf</t>
  </si>
  <si>
    <t>Grub cartel</t>
  </si>
  <si>
    <t xml:space="preserve">Darryl </t>
  </si>
  <si>
    <t>79906 48761</t>
  </si>
  <si>
    <t>Darrylresume banng updated.docx</t>
  </si>
  <si>
    <t>Siddhesh Boddu</t>
  </si>
  <si>
    <t>70308 43991</t>
  </si>
  <si>
    <t>Danish Khan</t>
  </si>
  <si>
    <t>CV OF CHEF DANISH .docx</t>
  </si>
  <si>
    <t>Dipankar Biswas</t>
  </si>
  <si>
    <t>34k++</t>
  </si>
  <si>
    <t>New .pdf</t>
  </si>
  <si>
    <t>Ramsagar Majhi</t>
  </si>
  <si>
    <t>Ramsagar Majhi cv.pdf -2025.pdf</t>
  </si>
  <si>
    <t>Umesh Thorat</t>
  </si>
  <si>
    <t>Seawoods</t>
  </si>
  <si>
    <t>CV - Umesh Thorat (1).pdf</t>
  </si>
  <si>
    <t>Suyash Wagh</t>
  </si>
  <si>
    <t>Suyash wagh cv.pdf</t>
  </si>
  <si>
    <t>Sagar Vaidya</t>
  </si>
  <si>
    <t>Sagar B Vaidya CV (1).pdf</t>
  </si>
  <si>
    <t>Rushikesh Kadam</t>
  </si>
  <si>
    <t>Rushi Resume.pdf_20260512_223124_0000.pdf</t>
  </si>
  <si>
    <t>Penang Table</t>
  </si>
  <si>
    <t>Shraddha Pathak</t>
  </si>
  <si>
    <t>Vitthal Wadi</t>
  </si>
  <si>
    <t>ShraddhaPathak.pdf</t>
  </si>
  <si>
    <t>Rakesh Bhagwania</t>
  </si>
  <si>
    <t>Mnkhurd</t>
  </si>
  <si>
    <t>RAKESH BHAGWANIA CV.pdf</t>
  </si>
  <si>
    <t>Devkinandan Lohia</t>
  </si>
  <si>
    <t>85K</t>
  </si>
  <si>
    <t>Devkinandan_Lohia_CV.pdf</t>
  </si>
  <si>
    <t>Impressario</t>
  </si>
  <si>
    <t>Avishkar Dhoble</t>
  </si>
  <si>
    <t>Resume.Avishkar Dhoble.pdf</t>
  </si>
  <si>
    <t>Moinuddin Imran Shaikh</t>
  </si>
  <si>
    <t>Document 4 (1).pdf</t>
  </si>
  <si>
    <t>Aditi Dubey</t>
  </si>
  <si>
    <t>CVAditiDubey.pdf</t>
  </si>
  <si>
    <t>Kanika Tripathi</t>
  </si>
  <si>
    <t>CVKANIKATRIPATHI.pdf</t>
  </si>
  <si>
    <t>Aria Communicaions</t>
  </si>
  <si>
    <t>Aariz Shaikh</t>
  </si>
  <si>
    <t>Aariz_Shaikh_Resume.pdf</t>
  </si>
  <si>
    <t>Yashika Gulati</t>
  </si>
  <si>
    <t>96999 58595</t>
  </si>
  <si>
    <t>4.5lpa</t>
  </si>
  <si>
    <t>Yashika_Gulati_One_Page_CV-1.pdf</t>
  </si>
  <si>
    <t>Bhavesh Gupta</t>
  </si>
  <si>
    <t>Bhavesh Gupta Resume.pdf</t>
  </si>
  <si>
    <t>Pradnya Abhang</t>
  </si>
  <si>
    <t>Pradnya Abhang Resume .pdf</t>
  </si>
  <si>
    <t>Hasibul Shaikh</t>
  </si>
  <si>
    <t>Haseeb's Resume.pdf</t>
  </si>
  <si>
    <t>Arpan Chandanshiv</t>
  </si>
  <si>
    <t>Re-sume ARPAN SATISH CHANDANSHIV.pdf</t>
  </si>
  <si>
    <t>Abodh Mandal</t>
  </si>
  <si>
    <t>my cv..... 1.pdf</t>
  </si>
  <si>
    <t>Mangesh Shete</t>
  </si>
  <si>
    <t>RESUME feb 26.pdf</t>
  </si>
  <si>
    <t>Vishwas Bhandare</t>
  </si>
  <si>
    <t>Prabhadevi</t>
  </si>
  <si>
    <t>WhatsApp Image 2026-05-18 at 11.41.17 AM.jpeg</t>
  </si>
  <si>
    <t>Nidhi Pardeshi</t>
  </si>
  <si>
    <t>Nidhi Resume.pdf</t>
  </si>
  <si>
    <t>Shubham Kadu</t>
  </si>
  <si>
    <t>Shubham kadu_CV.pdf</t>
  </si>
  <si>
    <t>Penang table</t>
  </si>
  <si>
    <t>Kushal Bandodkar</t>
  </si>
  <si>
    <t>Cv Kushal1.pdf</t>
  </si>
  <si>
    <t>Nandini Mishra</t>
  </si>
  <si>
    <t>DOC-20250730-WA0009..pdf</t>
  </si>
  <si>
    <t>Rushikesh Vichare</t>
  </si>
  <si>
    <t>CVRUSHIKESHVICHARE.pdf</t>
  </si>
  <si>
    <t>Guru Panda</t>
  </si>
  <si>
    <t>CV_202509180003137.pdf</t>
  </si>
  <si>
    <t>Vishal Maurya</t>
  </si>
  <si>
    <t>Vishal Suresh Maurya  - CV (1).pdf</t>
  </si>
  <si>
    <t>Rushikesh Pimpale</t>
  </si>
  <si>
    <t>Resume_2.pdf</t>
  </si>
  <si>
    <t>Akash Gaikwad</t>
  </si>
  <si>
    <t>47k</t>
  </si>
  <si>
    <t>52k</t>
  </si>
  <si>
    <t>ResumeAkashGaikwad.pdf</t>
  </si>
  <si>
    <t>Vikram Chauhan</t>
  </si>
  <si>
    <t>CVVIKRAMCHAUHAN.pdf</t>
  </si>
  <si>
    <t>Mahesh Gawli</t>
  </si>
  <si>
    <t>79777 59072</t>
  </si>
  <si>
    <t>CVMAHESHGAWLI.pdf</t>
  </si>
  <si>
    <t>Veneet Amin</t>
  </si>
  <si>
    <t>CVVeneetAmin.pdf</t>
  </si>
  <si>
    <t>Afrin Shaikh</t>
  </si>
  <si>
    <t>AFRIN SHAIKH 2026.pdf</t>
  </si>
  <si>
    <t>Ashish Singh</t>
  </si>
  <si>
    <t>ASHISH INDERJIT SINGH  CV-2.pdf_20260508_220458_0000.pdf</t>
  </si>
  <si>
    <t>Varun Pardeshi</t>
  </si>
  <si>
    <t>bhayander</t>
  </si>
  <si>
    <t>Varun Rajesh Pardeshi .pdf</t>
  </si>
  <si>
    <t>Mayuresh Kadam</t>
  </si>
  <si>
    <t>Mayuresh Kadam CV-2026.pdf</t>
  </si>
  <si>
    <t>Anuradha Gambhir</t>
  </si>
  <si>
    <t>ResumeANURADHAGAMBHIR.pdf</t>
  </si>
  <si>
    <t>Vinay Nagar</t>
  </si>
  <si>
    <t>ResumeVINAYMAMTANAGAR.pdf</t>
  </si>
  <si>
    <t>Sumedha Bandekar</t>
  </si>
  <si>
    <t>ResumeSUMEDHABandekar.pdf</t>
  </si>
  <si>
    <t>Gloria Hrangchal</t>
  </si>
  <si>
    <t>DOC-20260504-WA0020..pdf</t>
  </si>
  <si>
    <t>Rajesh Kumar</t>
  </si>
  <si>
    <t>RAJESH KUMAR CV.pdf</t>
  </si>
  <si>
    <t>Rahul Kumar</t>
  </si>
  <si>
    <t>Rahul kumar Resume.pdf</t>
  </si>
  <si>
    <t>Dominic Fernandes</t>
  </si>
  <si>
    <t>Dominic_Fernandes_Resume_.pdf</t>
  </si>
  <si>
    <t>Indrajit Das</t>
  </si>
  <si>
    <t>CV_2025122002284749.pdf</t>
  </si>
  <si>
    <t>Boisar</t>
  </si>
  <si>
    <t>Raja Saha</t>
  </si>
  <si>
    <t>Raja Saha CV .pdf</t>
  </si>
  <si>
    <t>Anushree Kumar</t>
  </si>
  <si>
    <t>Resume Anushree Manoj kumar THN IATA Mar27.pdf (2) (1).pdf</t>
  </si>
  <si>
    <t>Sagar Purvi</t>
  </si>
  <si>
    <t>SAGAR PURVI-HR.OPS.pdf</t>
  </si>
  <si>
    <t>Virendra Singh Chauhan</t>
  </si>
  <si>
    <t>Virendra.pdf</t>
  </si>
  <si>
    <t>Akshay Khare</t>
  </si>
  <si>
    <t>CV_2026050900073384.pdf</t>
  </si>
  <si>
    <t>Suman Saha</t>
  </si>
  <si>
    <t>34K</t>
  </si>
  <si>
    <t>SUMAN SAHA.pdf</t>
  </si>
  <si>
    <t>Aman Singh Parmar</t>
  </si>
  <si>
    <t>5ok</t>
  </si>
  <si>
    <t>Aman CV.pdf</t>
  </si>
  <si>
    <t>Jena</t>
  </si>
  <si>
    <t>Somnath Varpe</t>
  </si>
  <si>
    <t>1.35 lacs</t>
  </si>
  <si>
    <t>1.80 lacs</t>
  </si>
  <si>
    <t>somnath varpe cv.pdf</t>
  </si>
  <si>
    <t>Shrikant Barik</t>
  </si>
  <si>
    <t>Shrikant Barik CV.pdf</t>
  </si>
  <si>
    <t>Manohar Thakur</t>
  </si>
  <si>
    <t>Ulhasnagar</t>
  </si>
  <si>
    <t>CV#Manohar Thakur.pdf</t>
  </si>
  <si>
    <t>Santana Bharali</t>
  </si>
  <si>
    <t>SANTANA BHARALI ...pdf</t>
  </si>
  <si>
    <t>Enosh Mayers</t>
  </si>
  <si>
    <t>ENOSH_MAYERS_FlowCV_Resume_2026-05-13 (1).pdf</t>
  </si>
  <si>
    <t>Steffi Chettiar</t>
  </si>
  <si>
    <t>Steffi chettiar-cabin crew .pdf</t>
  </si>
  <si>
    <t>Kiran Singh</t>
  </si>
  <si>
    <t>My resume.pdf</t>
  </si>
  <si>
    <t>Avantika Devkar</t>
  </si>
  <si>
    <t>Resume 1.pdf</t>
  </si>
  <si>
    <t>Pradip Karan</t>
  </si>
  <si>
    <t>S</t>
  </si>
  <si>
    <t>Pradip_Karan_Resume (4).pdf final resume  done.pdf</t>
  </si>
  <si>
    <t>Gong</t>
  </si>
  <si>
    <t>Sahil Gurav</t>
  </si>
  <si>
    <t>Image to PDF 20260522 18.47.31.pdf</t>
  </si>
  <si>
    <t>Amey Chavan</t>
  </si>
  <si>
    <t>Amey CHAVAN CV ..pdf</t>
  </si>
  <si>
    <t>Vedant Worlikar</t>
  </si>
  <si>
    <t>77096 45068</t>
  </si>
  <si>
    <t>CVVedantWorlikar.pdf</t>
  </si>
  <si>
    <t>Hariom Jha</t>
  </si>
  <si>
    <t>WhatsApp Image 2026-05-25 at 15.53.25.jpeg</t>
  </si>
  <si>
    <t>Rohit Rai</t>
  </si>
  <si>
    <t>rohit rai cv  (1).pdf.pdf</t>
  </si>
  <si>
    <t>Vinchui Mahong</t>
  </si>
  <si>
    <t>16.5k</t>
  </si>
  <si>
    <t>VINCHUI MAHONG.pdf</t>
  </si>
  <si>
    <t>Gladwin Gomes</t>
  </si>
  <si>
    <t>Gladvin Gomes resume-1.pdf</t>
  </si>
  <si>
    <t>Chandrashekar C.</t>
  </si>
  <si>
    <t>Chandashekar CDP CV.pdf</t>
  </si>
  <si>
    <t>Nenapu</t>
  </si>
  <si>
    <t>Tabbasum Shaikh</t>
  </si>
  <si>
    <t>24.05.27 - Resume TABASSUM ABDUL LATIF SHAIKH.pdf</t>
  </si>
  <si>
    <t>abnah</t>
  </si>
  <si>
    <t>Siddhant Powar</t>
  </si>
  <si>
    <t>DOC-20251002-WA0002._20260526_175530_0000.pdf</t>
  </si>
  <si>
    <t>Anuj yelve cv.pdf</t>
  </si>
  <si>
    <t>Arjun Dange</t>
  </si>
  <si>
    <t>23K</t>
  </si>
  <si>
    <t>Arjun D 306.pdf</t>
  </si>
  <si>
    <t>Shreyas Mahadik</t>
  </si>
  <si>
    <t>Shreyas Mahadik CV .pdf</t>
  </si>
  <si>
    <t>Dhruvi Parab</t>
  </si>
  <si>
    <t>Resume receptionist.pdf</t>
  </si>
  <si>
    <t>Sanskruti Behera</t>
  </si>
  <si>
    <t>Sanskruti.pdf</t>
  </si>
  <si>
    <t>Brijwasi</t>
  </si>
  <si>
    <t>Bhuvanesh Prakash</t>
  </si>
  <si>
    <t>0k</t>
  </si>
  <si>
    <t>BHUVANESH-PRAKASH-KHOT-FlowCV-Resume-20251009.pdf</t>
  </si>
  <si>
    <t>Anuradha_Gambhir_Resume.pdf</t>
  </si>
  <si>
    <t>Siddhant Bastav</t>
  </si>
  <si>
    <t>SIDDHANT VIVEK BASTAV.pdf</t>
  </si>
  <si>
    <t>Naveen Kalligudi</t>
  </si>
  <si>
    <t>24.5k</t>
  </si>
  <si>
    <t>HSR Layout</t>
  </si>
  <si>
    <t>ashok hotel cv.pdf</t>
  </si>
  <si>
    <t>Shubham Powar</t>
  </si>
  <si>
    <t>Aurangabad</t>
  </si>
  <si>
    <t>Black and White Clean Professional A4 Resume for Account Manager.pdf</t>
  </si>
  <si>
    <t>Ramesh Damai</t>
  </si>
  <si>
    <t>0577EA50-BC54-48B8-84CB-CC1FA3BE2DE6.pdf</t>
  </si>
  <si>
    <t>Soleha Baig</t>
  </si>
  <si>
    <t>WhatsApp Image 2026-06-01 at 14.03.33.pdf</t>
  </si>
  <si>
    <t>Asawari Rane</t>
  </si>
  <si>
    <t>Asawari Rane CV_Final.pdf</t>
  </si>
  <si>
    <t>Shraddha Kokane</t>
  </si>
  <si>
    <t>updated shraddhu-1.pdf</t>
  </si>
  <si>
    <t>Ashyln Fernandes</t>
  </si>
  <si>
    <t>Ashlyn Fernandes.pdf</t>
  </si>
  <si>
    <t>Aysuhman Majhi</t>
  </si>
  <si>
    <t>dombivali</t>
  </si>
  <si>
    <t>CV_2026050211305638.pdf</t>
  </si>
  <si>
    <t>Bishwanath Das</t>
  </si>
  <si>
    <t>Biswanath_Das_CDP_CV.pdf</t>
  </si>
  <si>
    <t>Dolly Valmiki</t>
  </si>
  <si>
    <t>15K</t>
  </si>
  <si>
    <t>Dolly_Somveer_Valmiki_CV.pdf</t>
  </si>
  <si>
    <t>Parth Haldar</t>
  </si>
  <si>
    <t>Partha Haldar Resume.pdf</t>
  </si>
  <si>
    <t>Dhruv Kanojia</t>
  </si>
  <si>
    <t>_Dhruv_Kanojia_Resume.pdf</t>
  </si>
  <si>
    <t>Ashley Crasto</t>
  </si>
  <si>
    <t>PDF document-4CF0-8097-C0-0.pdf</t>
  </si>
  <si>
    <t>Vijay Jhanjhote</t>
  </si>
  <si>
    <t>Vijay Jhanjhoted.pdf</t>
  </si>
  <si>
    <t>Rohit Sahu</t>
  </si>
  <si>
    <t>WhatsApp Image 2026-04-20 at 23.33.51.pdf</t>
  </si>
  <si>
    <t>Tanishq Hasolkar</t>
  </si>
  <si>
    <t>Tanishq_11-11-2025.pdf</t>
  </si>
  <si>
    <t>Santanu Bala</t>
  </si>
  <si>
    <t>khar</t>
  </si>
  <si>
    <t>IMG20260604184032.jpg.pdf</t>
  </si>
  <si>
    <t>Habibay</t>
  </si>
  <si>
    <t>Pranali Mane</t>
  </si>
  <si>
    <t>Pranali_Mane_Professional_Resume (1).pdf</t>
  </si>
  <si>
    <t>Simran Bhanga</t>
  </si>
  <si>
    <t>Simran Amit Bhanga.pdf</t>
  </si>
  <si>
    <t>Hetal Melekar</t>
  </si>
  <si>
    <t>Hetal CV .pdf.pdf</t>
  </si>
  <si>
    <t>Hranggaone Yangna</t>
  </si>
  <si>
    <t>WhatsApp Image 2026-06-05 at 8.41.11 AM (1).jpeg</t>
  </si>
  <si>
    <t>📋  CLIENT TRACKER</t>
  </si>
  <si>
    <t>SELECT CLIENT →</t>
  </si>
  <si>
    <t>👆  Select a client → table auto-fills. Share this Google Sheet link (view only) with your client.</t>
  </si>
  <si>
    <t>Interview Pending</t>
  </si>
  <si>
    <t>#</t>
  </si>
  <si>
    <t>Candidate Name</t>
  </si>
  <si>
    <t>Status</t>
  </si>
  <si>
    <t>Result Pending</t>
  </si>
  <si>
    <t>Abhinav Immigration</t>
  </si>
  <si>
    <t>Offer Pending</t>
  </si>
  <si>
    <t>Adarsh Sweets</t>
  </si>
  <si>
    <t>Candidate Rejected</t>
  </si>
  <si>
    <t>Agarwal Biryani</t>
  </si>
  <si>
    <t>Candidate Dropped</t>
  </si>
  <si>
    <t>Aria Communication</t>
  </si>
  <si>
    <t>Atmosphere</t>
  </si>
  <si>
    <t>August Café</t>
  </si>
  <si>
    <t>Aures hospitality</t>
  </si>
  <si>
    <t>BB</t>
  </si>
  <si>
    <t>BTC</t>
  </si>
  <si>
    <t>Baesic Fit</t>
  </si>
  <si>
    <t>Shreetej Kapdekar</t>
  </si>
  <si>
    <t>Shreetej-Kapdekar-Resume-2025 (1).pdf</t>
  </si>
  <si>
    <t>Vrushank Vernekar</t>
  </si>
  <si>
    <t>Vrushank CV digital .pdf</t>
  </si>
  <si>
    <t>Kaif Shaikh</t>
  </si>
  <si>
    <t>KAIF SHAIKH CV (1).pdf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</si>
</sst>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D-MMM-YY"/>
  </numFmts>
  <fonts count="2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8.0"/>
      <color rgb="FF1A7A82"/>
      <name val="Arial"/>
    </font>
    <font>
      <b/>
      <sz val="9.0"/>
      <color rgb="FFFFFFFF"/>
      <name val="Arial"/>
    </font>
    <font>
      <i/>
      <sz val="9.0"/>
      <color rgb="FF1A7A82"/>
      <name val="Arial"/>
    </font>
    <font>
      <sz val="9.0"/>
      <color rgb="FF1A1A1A"/>
      <name val="Arial"/>
    </font>
    <font>
      <u/>
      <sz val="9.0"/>
      <color rgb="FF1A1A1A"/>
      <name val="Arial"/>
    </font>
    <font>
      <sz val="7.0"/>
      <color rgb="FFFFFFFF"/>
      <name val="Arial"/>
    </font>
    <font>
      <u/>
      <sz val="9.0"/>
      <color rgb="FF1A1A1A"/>
      <name val="Arial"/>
    </font>
    <font>
      <sz val="9.0"/>
      <color rgb="FF000000"/>
      <name val="Arial"/>
    </font>
    <font>
      <color theme="1"/>
      <name val="Calibri"/>
      <scheme val="minor"/>
    </font>
    <font>
      <u/>
      <sz val="9.0"/>
      <color rgb="FF1A1A1A"/>
      <name val="Arial"/>
    </font>
    <font>
      <sz val="11.0"/>
      <color rgb="FF000000"/>
      <name val="Calibri"/>
    </font>
    <font>
      <u/>
      <sz val="9.0"/>
      <color rgb="FF1A1A1A"/>
      <name val="Arial"/>
    </font>
    <font>
      <sz val="9.0"/>
      <color rgb="FF555500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11.0"/>
      <color rgb="FF1F3864"/>
      <name val="Arial"/>
    </font>
    <font>
      <i/>
      <sz val="8.0"/>
      <color rgb="FF555555"/>
      <name val="Arial"/>
    </font>
    <font>
      <b/>
      <i/>
      <sz val="9.0"/>
      <color rgb="FF1A7A82"/>
      <name val="Arial"/>
    </font>
    <font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AF4F5"/>
        <bgColor rgb="FFEAF4F5"/>
      </patternFill>
    </fill>
    <fill>
      <patternFill patternType="solid">
        <fgColor rgb="FF1A7A82"/>
        <bgColor rgb="FF1A7A82"/>
      </patternFill>
    </fill>
    <fill>
      <patternFill patternType="solid">
        <fgColor rgb="FF2E75B6"/>
        <bgColor rgb="FF2E75B6"/>
      </patternFill>
    </fill>
    <fill>
      <patternFill patternType="solid">
        <fgColor rgb="FFD9EEF1"/>
        <bgColor rgb="FFD9EEF1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  <fill>
      <patternFill patternType="solid">
        <fgColor rgb="FFFFF8E7"/>
        <bgColor rgb="FFFFF8E7"/>
      </patternFill>
    </fill>
    <fill>
      <patternFill patternType="solid">
        <fgColor rgb="FFF9F9F9"/>
        <bgColor rgb="FFF9F9F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BF6A00"/>
      </left>
      <right style="medium">
        <color rgb="FFBF6A00"/>
      </right>
      <top style="medium">
        <color rgb="FFBF6A00"/>
      </top>
      <bottom style="medium">
        <color rgb="FFBF6A00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left"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left" readingOrder="0" shrinkToFit="0" vertical="center" wrapText="1"/>
    </xf>
    <xf borderId="4" fillId="7" fontId="6" numFmtId="164" xfId="0" applyAlignment="1" applyBorder="1" applyFont="1" applyNumberFormat="1">
      <alignment horizontal="center" readingOrder="0" shrinkToFit="0" vertical="center" wrapText="1"/>
    </xf>
    <xf borderId="5" fillId="8" fontId="8" numFmtId="0" xfId="0" applyBorder="1" applyFill="1" applyFont="1"/>
    <xf borderId="4" fillId="3" fontId="5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left" readingOrder="0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8" fontId="6" numFmtId="165" xfId="0" applyAlignment="1" applyBorder="1" applyFont="1" applyNumberFormat="1">
      <alignment horizontal="center" readingOrder="0" shrinkToFit="0" vertical="center" wrapText="1"/>
    </xf>
    <xf borderId="4" fillId="8" fontId="6" numFmtId="165" xfId="0" applyAlignment="1" applyBorder="1" applyFont="1" applyNumberFormat="1">
      <alignment horizontal="center" shrinkToFit="0" vertical="center" wrapText="1"/>
    </xf>
    <xf borderId="4" fillId="7" fontId="6" numFmtId="165" xfId="0" applyAlignment="1" applyBorder="1" applyFont="1" applyNumberFormat="1">
      <alignment horizontal="center" readingOrder="0" shrinkToFit="0" vertical="center" wrapText="1"/>
    </xf>
    <xf borderId="4" fillId="7" fontId="6" numFmtId="165" xfId="0" applyAlignment="1" applyBorder="1" applyFont="1" applyNumberFormat="1">
      <alignment horizontal="center" shrinkToFit="0" vertical="center" wrapText="1"/>
    </xf>
    <xf borderId="4" fillId="8" fontId="9" numFmtId="0" xfId="0" applyAlignment="1" applyBorder="1" applyFont="1">
      <alignment horizontal="left" readingOrder="0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6" fontId="6" numFmtId="165" xfId="0" applyAlignment="1" applyBorder="1" applyFont="1" applyNumberFormat="1">
      <alignment horizontal="center" readingOrder="0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4" fillId="0" fontId="6" numFmtId="0" xfId="0" applyAlignment="1" applyBorder="1" applyFont="1">
      <alignment horizontal="left" readingOrder="0" shrinkToFit="0" vertical="center" wrapText="1"/>
    </xf>
    <xf borderId="5" fillId="8" fontId="8" numFmtId="0" xfId="0" applyAlignment="1" applyBorder="1" applyFont="1">
      <alignment readingOrder="0"/>
    </xf>
    <xf borderId="0" fillId="8" fontId="10" numFmtId="0" xfId="0" applyAlignment="1" applyFont="1">
      <alignment horizontal="center" readingOrder="0" vertical="center"/>
    </xf>
    <xf borderId="4" fillId="8" fontId="12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4" fillId="7" fontId="14" numFmtId="0" xfId="0" applyAlignment="1" applyBorder="1" applyFon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8" fontId="11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8" fontId="10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Font="1"/>
    <xf borderId="1" fillId="2" fontId="16" numFmtId="0" xfId="0" applyAlignment="1" applyBorder="1" applyFont="1">
      <alignment horizontal="center" vertical="center"/>
    </xf>
    <xf borderId="6" fillId="9" fontId="17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10" fontId="18" numFmtId="0" xfId="0" applyAlignment="1" applyBorder="1" applyFill="1" applyFont="1">
      <alignment horizontal="left" readingOrder="0" vertical="center"/>
    </xf>
    <xf borderId="1" fillId="11" fontId="19" numFmtId="0" xfId="0" applyAlignment="1" applyBorder="1" applyFill="1" applyFont="1">
      <alignment horizontal="left" vertical="center"/>
    </xf>
    <xf borderId="6" fillId="3" fontId="20" numFmtId="0" xfId="0" applyAlignment="1" applyBorder="1" applyFont="1">
      <alignment horizontal="left" vertical="center"/>
    </xf>
    <xf borderId="9" fillId="0" fontId="2" numFmtId="0" xfId="0" applyBorder="1" applyFont="1"/>
    <xf borderId="4" fillId="7" fontId="21" numFmtId="0" xfId="0" applyAlignment="1" applyBorder="1" applyFont="1">
      <alignment horizontal="center" vertical="center"/>
    </xf>
    <xf borderId="4" fillId="7" fontId="21" numFmtId="0" xfId="0" applyAlignment="1" applyBorder="1" applyFont="1">
      <alignment horizontal="left" shrinkToFit="0" vertical="center" wrapText="1"/>
    </xf>
    <xf borderId="4" fillId="7" fontId="21" numFmtId="0" xfId="0" applyAlignment="1" applyBorder="1" applyFont="1">
      <alignment horizontal="center" shrinkToFit="0" vertical="center" wrapText="1"/>
    </xf>
    <xf borderId="4" fillId="7" fontId="22" numFmtId="0" xfId="0" applyAlignment="1" applyBorder="1" applyFont="1">
      <alignment horizontal="left" shrinkToFit="0" vertical="center" wrapText="1"/>
    </xf>
    <xf borderId="4" fillId="7" fontId="21" numFmtId="0" xfId="0" applyAlignment="1" applyBorder="1" applyFont="1">
      <alignment horizontal="center" readingOrder="0" shrinkToFit="0" vertical="center" wrapText="1"/>
    </xf>
    <xf borderId="4" fillId="8" fontId="21" numFmtId="0" xfId="0" applyAlignment="1" applyBorder="1" applyFont="1">
      <alignment horizontal="center" vertical="center"/>
    </xf>
    <xf borderId="4" fillId="8" fontId="21" numFmtId="0" xfId="0" applyAlignment="1" applyBorder="1" applyFont="1">
      <alignment horizontal="left" shrinkToFit="0" vertical="center" wrapText="1"/>
    </xf>
    <xf borderId="4" fillId="8" fontId="21" numFmtId="0" xfId="0" applyAlignment="1" applyBorder="1" applyFont="1">
      <alignment horizontal="center" shrinkToFit="0" vertical="center" wrapText="1"/>
    </xf>
    <xf borderId="4" fillId="8" fontId="23" numFmtId="0" xfId="0" applyAlignment="1" applyBorder="1" applyFont="1">
      <alignment horizontal="left" shrinkToFit="0" vertical="center" wrapText="1"/>
    </xf>
    <xf borderId="4" fillId="8" fontId="21" numFmtId="0" xfId="0" applyAlignment="1" applyBorder="1" applyFont="1">
      <alignment horizontal="center" readingOrder="0" shrinkToFit="0" vertical="center" wrapText="1"/>
    </xf>
    <xf borderId="4" fillId="7" fontId="21" numFmtId="0" xfId="0" applyAlignment="1" applyBorder="1" applyFont="1">
      <alignment horizontal="center"/>
    </xf>
    <xf borderId="4" fillId="7" fontId="21" numFmtId="0" xfId="0" applyAlignment="1" applyBorder="1" applyFont="1">
      <alignment shrinkToFit="0" wrapText="1"/>
    </xf>
    <xf borderId="4" fillId="7" fontId="21" numFmtId="0" xfId="0" applyAlignment="1" applyBorder="1" applyFont="1">
      <alignment horizontal="center" shrinkToFit="0" wrapText="1"/>
    </xf>
    <xf borderId="4" fillId="7" fontId="24" numFmtId="0" xfId="0" applyBorder="1" applyFont="1"/>
    <xf borderId="4" fillId="7" fontId="21" numFmtId="0" xfId="0" applyAlignment="1" applyBorder="1" applyFont="1">
      <alignment horizontal="center" shrinkToFit="0" wrapText="1"/>
    </xf>
    <xf borderId="4" fillId="8" fontId="21" numFmtId="0" xfId="0" applyAlignment="1" applyBorder="1" applyFont="1">
      <alignment horizontal="center"/>
    </xf>
    <xf borderId="4" fillId="8" fontId="21" numFmtId="0" xfId="0" applyAlignment="1" applyBorder="1" applyFont="1">
      <alignment shrinkToFit="0" wrapText="1"/>
    </xf>
    <xf borderId="4" fillId="8" fontId="21" numFmtId="0" xfId="0" applyAlignment="1" applyBorder="1" applyFont="1">
      <alignment horizontal="center" shrinkToFit="0" wrapText="1"/>
    </xf>
    <xf borderId="4" fillId="8" fontId="2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E4Jnr6gYqEvoIyLVxSrpeUXW40tGkYXD/view?usp=sharing" TargetMode="External"/><Relationship Id="rId194" Type="http://schemas.openxmlformats.org/officeDocument/2006/relationships/hyperlink" Target="https://drive.google.com/file/d/1VO-WIBXunuiJWMHWOTi-BcTf2Z1N1gcJ/view?usp=sharing" TargetMode="External"/><Relationship Id="rId193" Type="http://schemas.openxmlformats.org/officeDocument/2006/relationships/hyperlink" Target="https://drive.google.com/file/d/1UnLmwzP4rtN0RsPX6jbjhjx4gPtQoJqu/view?usp=sharing" TargetMode="External"/><Relationship Id="rId192" Type="http://schemas.openxmlformats.org/officeDocument/2006/relationships/hyperlink" Target="https://drive.google.com/file/d/1PbojtOo0uuE4Xqnm6EmFoA_HfUWNuzvf/view?usp=sharing" TargetMode="External"/><Relationship Id="rId191" Type="http://schemas.openxmlformats.org/officeDocument/2006/relationships/hyperlink" Target="https://drive.google.com/file/d/1SMPrAr8n3GI2MHozBzDJ2eSt89oOdz7v/view?usp=sharing" TargetMode="External"/><Relationship Id="rId187" Type="http://schemas.openxmlformats.org/officeDocument/2006/relationships/hyperlink" Target="https://drive.google.com/file/d/18YyXFaeqM0ldRCQE6-ta1xQn-bZZrjop/view?usp=sharing" TargetMode="External"/><Relationship Id="rId186" Type="http://schemas.openxmlformats.org/officeDocument/2006/relationships/hyperlink" Target="https://drive.google.com/file/d/1RTdRRacCxQcB-cbj1XcX5GyMk_qj4olK/view?usp=sharing" TargetMode="External"/><Relationship Id="rId185" Type="http://schemas.openxmlformats.org/officeDocument/2006/relationships/hyperlink" Target="https://drive.google.com/file/d/1LPoCUX-BAjEvSU7GoNWRR0nCc7i5HF1E/view?usp=sharing" TargetMode="External"/><Relationship Id="rId184" Type="http://schemas.openxmlformats.org/officeDocument/2006/relationships/hyperlink" Target="https://drive.google.com/file/d/18hpYfkURZzWVOmwKfyq24ozYskrzhUWT/view?usp=sharing" TargetMode="External"/><Relationship Id="rId189" Type="http://schemas.openxmlformats.org/officeDocument/2006/relationships/hyperlink" Target="https://drive.google.com/file/d/1E4Jnr6gYqEvoIyLVxSrpeUXW40tGkYXD/view?usp=sharing" TargetMode="External"/><Relationship Id="rId188" Type="http://schemas.openxmlformats.org/officeDocument/2006/relationships/hyperlink" Target="https://drive.google.com/file/d/1vbm9YrnJptTHxpEPVlyRNGzzoD-Z4Y0R/view?usp=sharing" TargetMode="External"/><Relationship Id="rId183" Type="http://schemas.openxmlformats.org/officeDocument/2006/relationships/hyperlink" Target="https://drive.google.com/file/d/16Wb3XjMNrHGbq9adMCjzCZLh0LM4Inw7/view?usp=sharing" TargetMode="External"/><Relationship Id="rId182" Type="http://schemas.openxmlformats.org/officeDocument/2006/relationships/hyperlink" Target="https://drive.google.com/file/d/1cErNT0R2s3dOEEtSejv2bKfLltXHr-7t/view?usp=sharing" TargetMode="External"/><Relationship Id="rId181" Type="http://schemas.openxmlformats.org/officeDocument/2006/relationships/hyperlink" Target="https://drive.google.com/file/d/1kUF5g8Xrb8tu11ENko5pQcpd6t1cOk98/view?usp=sharing" TargetMode="External"/><Relationship Id="rId180" Type="http://schemas.openxmlformats.org/officeDocument/2006/relationships/hyperlink" Target="https://drive.google.com/file/d/1XxeUC8g1FiJ8xkLB-P6yW-fqI7eFIaHY/view?usp=sharing" TargetMode="External"/><Relationship Id="rId176" Type="http://schemas.openxmlformats.org/officeDocument/2006/relationships/hyperlink" Target="https://drive.google.com/file/d/1FTUbAhCfnXypSuCnWyo2y9ztO_niCXcM/view?usp=sharing" TargetMode="External"/><Relationship Id="rId297" Type="http://schemas.openxmlformats.org/officeDocument/2006/relationships/hyperlink" Target="https://drive.google.com/file/d/1WpWbw2w1j7GOZujuRDFZOSi9rdxnHwhd/view?usp=sharing" TargetMode="External"/><Relationship Id="rId175" Type="http://schemas.openxmlformats.org/officeDocument/2006/relationships/hyperlink" Target="https://drive.google.com/file/d/1c2jW0RCajOXys0w5VEAeJiJp9mR107OT/view?usp=sharing" TargetMode="External"/><Relationship Id="rId296" Type="http://schemas.openxmlformats.org/officeDocument/2006/relationships/hyperlink" Target="https://drive.google.com/file/d/1pv3qHw5wVkJogvm_8QXTW5q5hZcqGeB_/view?usp=sharing" TargetMode="External"/><Relationship Id="rId174" Type="http://schemas.openxmlformats.org/officeDocument/2006/relationships/hyperlink" Target="https://drive.google.com/file/d/1_4anFArlXdT5ssPjz-Dy9YAAyWdaSEFs/view?usp=sharing" TargetMode="External"/><Relationship Id="rId295" Type="http://schemas.openxmlformats.org/officeDocument/2006/relationships/hyperlink" Target="https://drive.google.com/file/d/13VaC0Vz-SC5m_CUJhzyCUr3dLGe1u150/view?usp=sharing" TargetMode="External"/><Relationship Id="rId173" Type="http://schemas.openxmlformats.org/officeDocument/2006/relationships/hyperlink" Target="https://drive.google.com/file/d/1aBQU_DODRI9_5ktATqNPIOJ72n2qv1La/view?usp=sharing" TargetMode="External"/><Relationship Id="rId294" Type="http://schemas.openxmlformats.org/officeDocument/2006/relationships/hyperlink" Target="https://drive.google.com/file/d/17nw3W1FttR0zK_9kqK-GDsefSDj8qqq7/view?usp=sharing" TargetMode="External"/><Relationship Id="rId179" Type="http://schemas.openxmlformats.org/officeDocument/2006/relationships/hyperlink" Target="https://drive.google.com/file/d/14aBn238dc3wtcq5zSb-RcOov4qeJxqE2/view?usp=sharing" TargetMode="External"/><Relationship Id="rId178" Type="http://schemas.openxmlformats.org/officeDocument/2006/relationships/hyperlink" Target="https://drive.google.com/file/d/1eU4ih1UA3Y9N1jW6TTpmmWwyRhFOeAEN/view?usp=sharing" TargetMode="External"/><Relationship Id="rId299" Type="http://schemas.openxmlformats.org/officeDocument/2006/relationships/hyperlink" Target="https://docs.google.com/document/d/1eRqUZDPMCaz3v6Y6_oZp9lGY9pEfqHke/edit?usp=sharing&amp;ouid=108572082624547872029&amp;rtpof=true&amp;sd=true" TargetMode="External"/><Relationship Id="rId177" Type="http://schemas.openxmlformats.org/officeDocument/2006/relationships/hyperlink" Target="https://drive.google.com/file/d/1LWO0iSa5U5L3u0elqJE0MTTqWzhvcLAZ/view?usp=sharing" TargetMode="External"/><Relationship Id="rId298" Type="http://schemas.openxmlformats.org/officeDocument/2006/relationships/hyperlink" Target="https://docs.google.com/document/d/1eRqUZDPMCaz3v6Y6_oZp9lGY9pEfqHke/edit?usp=sharing&amp;ouid=108572082624547872029&amp;rtpof=true&amp;sd=true" TargetMode="External"/><Relationship Id="rId198" Type="http://schemas.openxmlformats.org/officeDocument/2006/relationships/hyperlink" Target="https://drive.google.com/file/d/1SCeXss4a_KsmOA17texTv071Tm46_Bhy/view?usp=sharing" TargetMode="External"/><Relationship Id="rId197" Type="http://schemas.openxmlformats.org/officeDocument/2006/relationships/hyperlink" Target="https://drive.google.com/file/d/15vjVWsXTZYjihGPVckIMdJH2Zmt_hu2q/view?usp=sharing" TargetMode="External"/><Relationship Id="rId196" Type="http://schemas.openxmlformats.org/officeDocument/2006/relationships/hyperlink" Target="https://drive.google.com/file/d/1YMISG9lBidJVgfUBc-0h9ffTFXU1kKqJ/view?usp=sharing" TargetMode="External"/><Relationship Id="rId195" Type="http://schemas.openxmlformats.org/officeDocument/2006/relationships/hyperlink" Target="https://drive.google.com/file/d/1tSCrZCYR3-LLdRr-OSTZg_giMFsBr-px/view?usp=sharing" TargetMode="External"/><Relationship Id="rId199" Type="http://schemas.openxmlformats.org/officeDocument/2006/relationships/hyperlink" Target="https://drive.google.com/file/d/1DYyGV90l2tn_y0unj0Ut4CV0ygou9Wv2/view?usp=sharing" TargetMode="External"/><Relationship Id="rId150" Type="http://schemas.openxmlformats.org/officeDocument/2006/relationships/hyperlink" Target="https://drive.google.com/file/d/1BaLD0P9v9cSGmbxVlak4HVUN98k7VhTP/view?usp=sharing" TargetMode="External"/><Relationship Id="rId271" Type="http://schemas.openxmlformats.org/officeDocument/2006/relationships/hyperlink" Target="https://drive.google.com/file/d/1d7Ls91oCzhoshJ5aRbXuYgG9b0yNsFoN/view?usp=sharing" TargetMode="External"/><Relationship Id="rId392" Type="http://schemas.openxmlformats.org/officeDocument/2006/relationships/hyperlink" Target="https://drive.google.com/file/d/1fJYWX_lWl8lxosP264212YeLr_fw8SQI/view?usp=sharing" TargetMode="External"/><Relationship Id="rId270" Type="http://schemas.openxmlformats.org/officeDocument/2006/relationships/hyperlink" Target="https://drive.google.com/file/d/1xug_UxOSWR8qQpdXtuf-NtpMUJNhHIQS/view?usp=sharing" TargetMode="External"/><Relationship Id="rId391" Type="http://schemas.openxmlformats.org/officeDocument/2006/relationships/hyperlink" Target="https://drive.google.com/file/d/1DgQ8_ANv6K-z84j09mce4tYU9Tjx5xq8/view?usp=sharing" TargetMode="External"/><Relationship Id="rId390" Type="http://schemas.openxmlformats.org/officeDocument/2006/relationships/hyperlink" Target="https://drive.google.com/file/d/1kq0HA8GYyNLVna0pLrmkz9h3vDS7x5vI/view?usp=sharing" TargetMode="External"/><Relationship Id="rId1" Type="http://schemas.openxmlformats.org/officeDocument/2006/relationships/hyperlink" Target="https://drive.google.com/file/d/1lUZ-2oj1biKN3JgbuL3T_-x_jKwoG-JD/view?usp=drive_link" TargetMode="External"/><Relationship Id="rId2" Type="http://schemas.openxmlformats.org/officeDocument/2006/relationships/hyperlink" Target="https://drive.google.com/file/d/16aUf6YO9z-6FhavEIqHeWznPXNwsk21x/view?usp=drive_link" TargetMode="External"/><Relationship Id="rId3" Type="http://schemas.openxmlformats.org/officeDocument/2006/relationships/hyperlink" Target="https://drive.google.com/file/d/10aK-h8f2ieuazsUvG8vhUqTdVEPlrFxZ/view?usp=sharing" TargetMode="External"/><Relationship Id="rId149" Type="http://schemas.openxmlformats.org/officeDocument/2006/relationships/hyperlink" Target="https://drive.google.com/file/d/1nYD4yDHRziClhsYa0oAhYZMnwmqRD9S5/view?usp=sharing" TargetMode="External"/><Relationship Id="rId4" Type="http://schemas.openxmlformats.org/officeDocument/2006/relationships/hyperlink" Target="https://drive.google.com/file/d/14tN3GDYZkqb7B3EwpJATku2FUcB-oGaa/view?usp=drive_link" TargetMode="External"/><Relationship Id="rId148" Type="http://schemas.openxmlformats.org/officeDocument/2006/relationships/hyperlink" Target="https://drive.google.com/file/d/1YlHyCVPBsoLr7s3xq9T7NXhNbGe0_XBP/view?usp=sharing" TargetMode="External"/><Relationship Id="rId269" Type="http://schemas.openxmlformats.org/officeDocument/2006/relationships/hyperlink" Target="https://drive.google.com/file/d/10mu05LbOIiqJtLeTvzaf_0Uh6VOnoG5n/view?usp=sharing" TargetMode="External"/><Relationship Id="rId9" Type="http://schemas.openxmlformats.org/officeDocument/2006/relationships/hyperlink" Target="https://drive.google.com/file/d/1kzmdkwRkRxWCFNTpYaab8PQRM7_G-QSs/view?usp=sharing" TargetMode="External"/><Relationship Id="rId143" Type="http://schemas.openxmlformats.org/officeDocument/2006/relationships/hyperlink" Target="https://drive.google.com/file/d/10Av2xuJHE4f-ureaDTk_vPhCglCvbl0w/view?usp=sharing" TargetMode="External"/><Relationship Id="rId264" Type="http://schemas.openxmlformats.org/officeDocument/2006/relationships/hyperlink" Target="https://drive.google.com/file/d/1amAtD2rA_iiua3Dsq-5VcnrZq2R1NoLc/view?usp=drive_link" TargetMode="External"/><Relationship Id="rId385" Type="http://schemas.openxmlformats.org/officeDocument/2006/relationships/hyperlink" Target="https://drive.google.com/file/d/1ccJKq3ORYpgAlPhwN4Kesp8Wq0u5K0-T/view?usp=sharing" TargetMode="External"/><Relationship Id="rId142" Type="http://schemas.openxmlformats.org/officeDocument/2006/relationships/hyperlink" Target="https://drive.google.com/file/d/1erw79Wg-pY6TzAd0CCqfSeGH18GrlejF/view?usp=sharing" TargetMode="External"/><Relationship Id="rId263" Type="http://schemas.openxmlformats.org/officeDocument/2006/relationships/hyperlink" Target="https://drive.google.com/file/d/1BKLRqNF21YkgMMPbf2erQOWL-IRZ1zEh/view?usp=drive_link" TargetMode="External"/><Relationship Id="rId384" Type="http://schemas.openxmlformats.org/officeDocument/2006/relationships/hyperlink" Target="https://drive.google.com/file/d/1NMuKw9uwsY-fehaoufN7qUcvXKR2daeu/view?usp=sharing" TargetMode="External"/><Relationship Id="rId141" Type="http://schemas.openxmlformats.org/officeDocument/2006/relationships/hyperlink" Target="https://drive.google.com/file/d/1fMqPWuEQMOFF5KvNSIDPv8HN9-xTcga7/view?usp=sharing" TargetMode="External"/><Relationship Id="rId262" Type="http://schemas.openxmlformats.org/officeDocument/2006/relationships/hyperlink" Target="https://drive.google.com/file/d/1YfVgeWSzwUwyk4iJ59f5Dscrkmr01m_d/view?usp=drive_link" TargetMode="External"/><Relationship Id="rId383" Type="http://schemas.openxmlformats.org/officeDocument/2006/relationships/hyperlink" Target="https://drive.google.com/file/d/1xh6A-OphaaZibZdYe8FMhPDA0kQwOQgT/view?usp=sharing" TargetMode="External"/><Relationship Id="rId140" Type="http://schemas.openxmlformats.org/officeDocument/2006/relationships/hyperlink" Target="https://docs.google.com/document/d/1JG4Cc8d1XgGbXgqa2pixYNm7vVQ0adLB/edit?usp=sharing&amp;ouid=115998447446713613484&amp;rtpof=true&amp;sd=true" TargetMode="External"/><Relationship Id="rId261" Type="http://schemas.openxmlformats.org/officeDocument/2006/relationships/hyperlink" Target="https://drive.google.com/file/d/1oiTVtKYxneLiiH7UTT8LlmJE17TEh_K5/view?usp=sharing" TargetMode="External"/><Relationship Id="rId382" Type="http://schemas.openxmlformats.org/officeDocument/2006/relationships/hyperlink" Target="https://drive.google.com/file/d/1X9w1JkXue8S5FjOMwBfJoR6S5kyTdAiv/view?usp=sharing" TargetMode="External"/><Relationship Id="rId5" Type="http://schemas.openxmlformats.org/officeDocument/2006/relationships/hyperlink" Target="https://drive.google.com/file/d/1yaVoqAVhgHKJqABq1dFS8jhhV7FVF--K/view?usp=drive_link" TargetMode="External"/><Relationship Id="rId147" Type="http://schemas.openxmlformats.org/officeDocument/2006/relationships/hyperlink" Target="https://drive.google.com/file/d/1nyIOq0Pu0PAM_bFsGeEztHro08snBLWH/view?usp=sharing" TargetMode="External"/><Relationship Id="rId268" Type="http://schemas.openxmlformats.org/officeDocument/2006/relationships/hyperlink" Target="https://drive.google.com/file/d/1PXNENXrw2OSY--Jb-T4Pv6iwkDRRSAWC/view?usp=sharing" TargetMode="External"/><Relationship Id="rId389" Type="http://schemas.openxmlformats.org/officeDocument/2006/relationships/hyperlink" Target="https://drive.google.com/file/d/1o6kAS0NMoDMfyqg7o8rbYjyVQxw8TbkJ/view?usp=sharing" TargetMode="External"/><Relationship Id="rId6" Type="http://schemas.openxmlformats.org/officeDocument/2006/relationships/hyperlink" Target="https://drive.google.com/file/d/1e9sqe_JSQxArFKX1lXp1N3-Nrg7FQ2So/view?usp=drive_link" TargetMode="External"/><Relationship Id="rId146" Type="http://schemas.openxmlformats.org/officeDocument/2006/relationships/hyperlink" Target="https://drive.google.com/file/d/1k9GR81eQ6oZMYS4pFkyglNQyONvTcjGp/view?usp=sharing" TargetMode="External"/><Relationship Id="rId267" Type="http://schemas.openxmlformats.org/officeDocument/2006/relationships/hyperlink" Target="https://drive.google.com/file/d/1e4VDVzEG4vrH1NAxVEmh4ELgUp89QLli/view?usp=sharing" TargetMode="External"/><Relationship Id="rId388" Type="http://schemas.openxmlformats.org/officeDocument/2006/relationships/hyperlink" Target="https://drive.google.com/file/d/1dmRGX56jskIcI09m5tXM1P0XmABNs_tS/view?usp=sharing" TargetMode="External"/><Relationship Id="rId7" Type="http://schemas.openxmlformats.org/officeDocument/2006/relationships/hyperlink" Target="https://drive.google.com/file/d/1tp5bOJxffwUKIHX4HJPHtBEhSv9XU6hW/view?usp=drive_link" TargetMode="External"/><Relationship Id="rId145" Type="http://schemas.openxmlformats.org/officeDocument/2006/relationships/hyperlink" Target="https://drive.google.com/file/d/140tICo4UKwnQJgKbdNw4Gvn0FFifJ0l-/view?usp=sharing" TargetMode="External"/><Relationship Id="rId266" Type="http://schemas.openxmlformats.org/officeDocument/2006/relationships/hyperlink" Target="https://drive.google.com/file/d/1FGMnsC3cqPIab9S1W-DK_pgv-G1i2L-n/view?usp=sharing" TargetMode="External"/><Relationship Id="rId387" Type="http://schemas.openxmlformats.org/officeDocument/2006/relationships/hyperlink" Target="https://drive.google.com/file/d/17OOipL66QpgbaVEuhWHvTuJbSMqeHreU/view?usp=sharing" TargetMode="External"/><Relationship Id="rId8" Type="http://schemas.openxmlformats.org/officeDocument/2006/relationships/hyperlink" Target="https://drive.google.com/file/d/1bjybjuVlebC_4oI4yfdNHrkXZyE5izw-/view?usp=drive_link" TargetMode="External"/><Relationship Id="rId144" Type="http://schemas.openxmlformats.org/officeDocument/2006/relationships/hyperlink" Target="https://drive.google.com/file/d/1jeBT9ZD70CTTSvJCjFqFR4H37HpQXi8H/view?usp=sharing" TargetMode="External"/><Relationship Id="rId265" Type="http://schemas.openxmlformats.org/officeDocument/2006/relationships/hyperlink" Target="https://drive.google.com/file/d/18_WpDZkfVqnCxi6NAKkKcuXHe9UK9I5s/view?usp=sharing" TargetMode="External"/><Relationship Id="rId386" Type="http://schemas.openxmlformats.org/officeDocument/2006/relationships/hyperlink" Target="https://drive.google.com/file/d/1eLlRR-irbtqP-UWzE0a49J0ofK3YGoDI/view?usp=sharing" TargetMode="External"/><Relationship Id="rId260" Type="http://schemas.openxmlformats.org/officeDocument/2006/relationships/hyperlink" Target="https://drive.google.com/file/d/1BJ5lAoPaV7ERhT5DhB4nQPeKqytKpYP4/view?usp=sharing" TargetMode="External"/><Relationship Id="rId381" Type="http://schemas.openxmlformats.org/officeDocument/2006/relationships/hyperlink" Target="https://drive.google.com/file/d/1pJEJdO1Pybg-5ZetXlr0_PU9OZV6OPUS/view?usp=sharing" TargetMode="External"/><Relationship Id="rId380" Type="http://schemas.openxmlformats.org/officeDocument/2006/relationships/hyperlink" Target="https://drive.google.com/file/d/1PXtiGgfggvPtNeB4TZhfj8NXoTVICwO7/view?usp=sharing" TargetMode="External"/><Relationship Id="rId139" Type="http://schemas.openxmlformats.org/officeDocument/2006/relationships/hyperlink" Target="https://drive.google.com/file/d/15dBhFkR6JKDBgbOrBSh9N2HX91RL_J-q/view?usp=sharing" TargetMode="External"/><Relationship Id="rId138" Type="http://schemas.openxmlformats.org/officeDocument/2006/relationships/hyperlink" Target="https://drive.google.com/file/d/1MTYr7sLeKgQ_QyqzXkRml7SO6R_4X5Kz/view?usp=sharing" TargetMode="External"/><Relationship Id="rId259" Type="http://schemas.openxmlformats.org/officeDocument/2006/relationships/hyperlink" Target="https://drive.google.com/file/d/1tTblX5k-FsI2enQ8DVxmS3e0fKBtEWMJ/view?usp=sharing" TargetMode="External"/><Relationship Id="rId137" Type="http://schemas.openxmlformats.org/officeDocument/2006/relationships/hyperlink" Target="https://drive.google.com/file/d/1ZPrYlRaEWz6TJN10RzqBAwt8EByuTft9/view?usp=sharing" TargetMode="External"/><Relationship Id="rId258" Type="http://schemas.openxmlformats.org/officeDocument/2006/relationships/hyperlink" Target="https://drive.google.com/file/d/1jfW3EO1UMcVbVz2T6ig6HIjaAmABWFtj/view?usp=sharing" TargetMode="External"/><Relationship Id="rId379" Type="http://schemas.openxmlformats.org/officeDocument/2006/relationships/hyperlink" Target="https://drive.google.com/file/d/1kI2NY9ctaX882bTtebsU6rS-uj0dJnQo/view?usp=sharing" TargetMode="External"/><Relationship Id="rId132" Type="http://schemas.openxmlformats.org/officeDocument/2006/relationships/hyperlink" Target="https://drive.google.com/file/d/1ziUp3GmTeoHk3GcMSbJzsXB5SkqBG-0W/view?usp=sharing" TargetMode="External"/><Relationship Id="rId253" Type="http://schemas.openxmlformats.org/officeDocument/2006/relationships/hyperlink" Target="https://drive.google.com/file/d/1J-FHdtxSEGe8VjrZdaC22VIxaCpdl9IN/view?usp=sharing" TargetMode="External"/><Relationship Id="rId374" Type="http://schemas.openxmlformats.org/officeDocument/2006/relationships/hyperlink" Target="https://drive.google.com/file/d/1N_1CQwdUc5AczK-wfEx0HhUHLCZIjT-K/view?usp=sharing" TargetMode="External"/><Relationship Id="rId131" Type="http://schemas.openxmlformats.org/officeDocument/2006/relationships/hyperlink" Target="https://drive.google.com/file/d/19tKT5J7teivBtuVteP5vy4UKe6uJj8ka/view?usp=sharing" TargetMode="External"/><Relationship Id="rId252" Type="http://schemas.openxmlformats.org/officeDocument/2006/relationships/hyperlink" Target="https://drive.google.com/file/d/1d0UFwx_5atNOqw4AhilwpQew7e2z6D9L/view?usp=sharing" TargetMode="External"/><Relationship Id="rId373" Type="http://schemas.openxmlformats.org/officeDocument/2006/relationships/hyperlink" Target="https://drive.google.com/file/d/134yDtEExbb1wFOQB3u3FRF-S7N3_1En1/view?usp=sharing" TargetMode="External"/><Relationship Id="rId130" Type="http://schemas.openxmlformats.org/officeDocument/2006/relationships/hyperlink" Target="https://drive.google.com/file/d/17nrfHV7WRZawdTSx_pyFdkbtuxDHv8MC/view?usp=sharing" TargetMode="External"/><Relationship Id="rId251" Type="http://schemas.openxmlformats.org/officeDocument/2006/relationships/hyperlink" Target="https://drive.google.com/file/d/1Ec44M0ZD55CzkcE_XLz5iSx-hLuzwQRg/view?usp=sharing" TargetMode="External"/><Relationship Id="rId372" Type="http://schemas.openxmlformats.org/officeDocument/2006/relationships/hyperlink" Target="https://drive.google.com/file/d/1lZvPBZG5uzRFHr0chrxqvic-wimzwrUj/view?usp=sharing" TargetMode="External"/><Relationship Id="rId250" Type="http://schemas.openxmlformats.org/officeDocument/2006/relationships/hyperlink" Target="https://drive.google.com/file/d/1yOw604QHFunIBkwGiK-ubIOVAqbm0dEw/view?usp=sharing" TargetMode="External"/><Relationship Id="rId371" Type="http://schemas.openxmlformats.org/officeDocument/2006/relationships/hyperlink" Target="https://drive.google.com/file/d/1qn5nPFb5zwI2YXRDkAOEtR5weOmy65ne/view?usp=sharing" TargetMode="External"/><Relationship Id="rId136" Type="http://schemas.openxmlformats.org/officeDocument/2006/relationships/hyperlink" Target="https://drive.google.com/file/d/1SeHQJmwJHj0HNbnIEYUAPkaed10tbIgY/view?usp=sharing" TargetMode="External"/><Relationship Id="rId257" Type="http://schemas.openxmlformats.org/officeDocument/2006/relationships/hyperlink" Target="https://docs.google.com/document/d/1RQLXP_4kXRO8oznWFHEN_Re4IJopXYwe/edit?usp=sharing&amp;ouid=108572082624547872029&amp;rtpof=true&amp;sd=true" TargetMode="External"/><Relationship Id="rId378" Type="http://schemas.openxmlformats.org/officeDocument/2006/relationships/hyperlink" Target="https://drive.google.com/file/d/1HeekO4nQlWLIbTf_oDRtl7nxao7Q92Kn/view?usp=sharing" TargetMode="External"/><Relationship Id="rId135" Type="http://schemas.openxmlformats.org/officeDocument/2006/relationships/hyperlink" Target="https://drive.google.com/file/d/13izjdkLWE-dPFZSPifhDd3qE7iYP8JvN/view?usp=sharing" TargetMode="External"/><Relationship Id="rId256" Type="http://schemas.openxmlformats.org/officeDocument/2006/relationships/hyperlink" Target="https://drive.google.com/file/d/1c99ahzn_RfyCdHx0xxzzz6lzjoNfPraI/view?usp=sharing" TargetMode="External"/><Relationship Id="rId377" Type="http://schemas.openxmlformats.org/officeDocument/2006/relationships/hyperlink" Target="https://drive.google.com/file/d/1n81yRFwhE6vzjIefbr5Rk7nSvYmVlUyW/view?usp=sharing" TargetMode="External"/><Relationship Id="rId134" Type="http://schemas.openxmlformats.org/officeDocument/2006/relationships/hyperlink" Target="https://drive.google.com/file/d/1rRBF0TOVGXmC15VD5RgNyxQ1TuDRJAuY/view?usp=sharing" TargetMode="External"/><Relationship Id="rId255" Type="http://schemas.openxmlformats.org/officeDocument/2006/relationships/hyperlink" Target="https://drive.google.com/file/d/1AYr3ddp-1O5ccaoCJGZDNgSw10rExnch/view?usp=sharing" TargetMode="External"/><Relationship Id="rId376" Type="http://schemas.openxmlformats.org/officeDocument/2006/relationships/hyperlink" Target="https://drive.google.com/file/d/1dAsCfhzn4Lpcaj3G3ZRc81H59lhIDXxc/view?usp=sharing" TargetMode="External"/><Relationship Id="rId133" Type="http://schemas.openxmlformats.org/officeDocument/2006/relationships/hyperlink" Target="https://drive.google.com/file/d/1NSRtrCAUcV4rB2k3vZ9471zlLN0jgOI_/view?usp=sharing" TargetMode="External"/><Relationship Id="rId254" Type="http://schemas.openxmlformats.org/officeDocument/2006/relationships/hyperlink" Target="https://drive.google.com/file/d/1YPhGpSnkTsjbgDQmSZunNftwIVM38Spr/view?usp=sharing" TargetMode="External"/><Relationship Id="rId375" Type="http://schemas.openxmlformats.org/officeDocument/2006/relationships/hyperlink" Target="https://drive.google.com/file/d/1PcvGtmZQmQMbUrGALirRFFyF_c78HL3S/view?usp=sharing" TargetMode="External"/><Relationship Id="rId172" Type="http://schemas.openxmlformats.org/officeDocument/2006/relationships/hyperlink" Target="https://drive.google.com/file/d/1W1AYD3ibc9Wx63oYcl3yDec_26DhBrJS/view?usp=sharing" TargetMode="External"/><Relationship Id="rId293" Type="http://schemas.openxmlformats.org/officeDocument/2006/relationships/hyperlink" Target="https://drive.google.com/file/d/1_6C05EteRAKcIIlisWQ72D3Kt5It1dbF/view?usp=sharing" TargetMode="External"/><Relationship Id="rId171" Type="http://schemas.openxmlformats.org/officeDocument/2006/relationships/hyperlink" Target="https://drive.google.com/file/d/11sUP335Q05fiLtVdwB8rQtW5db_MI53K/view?usp=sharing" TargetMode="External"/><Relationship Id="rId292" Type="http://schemas.openxmlformats.org/officeDocument/2006/relationships/hyperlink" Target="https://drive.google.com/file/d/1ZQNlPWjvVWaAOJTY9NxDsH618i_cB3fT/view?usp=sharing" TargetMode="External"/><Relationship Id="rId170" Type="http://schemas.openxmlformats.org/officeDocument/2006/relationships/hyperlink" Target="https://drive.google.com/file/d/19WhrsfCz0rDIUn_SNTcoiLuUcW5CZZ6S/view?usp=sharing" TargetMode="External"/><Relationship Id="rId291" Type="http://schemas.openxmlformats.org/officeDocument/2006/relationships/hyperlink" Target="https://drive.google.com/file/d/1aT9n7OpwEttgQ4x1rtVNwNXmjF0QNf9I/view?usp=sharing" TargetMode="External"/><Relationship Id="rId290" Type="http://schemas.openxmlformats.org/officeDocument/2006/relationships/hyperlink" Target="https://drive.google.com/file/d/1js2wROdp3VCI2R9P8VGZC9mI9Dyx-zA8/view?usp=sharing" TargetMode="External"/><Relationship Id="rId165" Type="http://schemas.openxmlformats.org/officeDocument/2006/relationships/hyperlink" Target="https://drive.google.com/file/d/1RWU1FBwoXC_doEdMZIxV42f6UygRquET/view?usp=sharing" TargetMode="External"/><Relationship Id="rId286" Type="http://schemas.openxmlformats.org/officeDocument/2006/relationships/hyperlink" Target="https://drive.google.com/file/d/1NYwd21PmK6hWo8vCB4JE7AoL1JJKlKP9/view?usp=sharing" TargetMode="External"/><Relationship Id="rId164" Type="http://schemas.openxmlformats.org/officeDocument/2006/relationships/hyperlink" Target="https://drive.google.com/file/d/1J0JNtseVAv63MRfh6YvfdBIJ9g0DE7cU/view?usp=sharing" TargetMode="External"/><Relationship Id="rId285" Type="http://schemas.openxmlformats.org/officeDocument/2006/relationships/hyperlink" Target="https://drive.google.com/file/d/1JXD75Hiu67CxDXHARxHvB6F-UDdC22lT/view?usp=sharing" TargetMode="External"/><Relationship Id="rId163" Type="http://schemas.openxmlformats.org/officeDocument/2006/relationships/hyperlink" Target="https://drive.google.com/file/d/1qpnR3SWuJM9HBOyIayTu0shzNMKqTYtb/view?usp=sharing" TargetMode="External"/><Relationship Id="rId284" Type="http://schemas.openxmlformats.org/officeDocument/2006/relationships/hyperlink" Target="https://drive.google.com/file/d/1i-nMK0XuWemQ1O3iViqfohygnoesUWGw/view?usp=sharing" TargetMode="External"/><Relationship Id="rId162" Type="http://schemas.openxmlformats.org/officeDocument/2006/relationships/hyperlink" Target="https://drive.google.com/file/d/1ohL8qdVzKxyGgsQI38Y-EmD05laIpvbf/view?usp=sharing" TargetMode="External"/><Relationship Id="rId283" Type="http://schemas.openxmlformats.org/officeDocument/2006/relationships/hyperlink" Target="https://drive.google.com/file/d/1P9sEjFAcmxJTnappsOhwl6XCrHQ-ykEt/view?usp=sharing" TargetMode="External"/><Relationship Id="rId169" Type="http://schemas.openxmlformats.org/officeDocument/2006/relationships/hyperlink" Target="https://drive.google.com/file/d/1bcoCw-aFwPTEXd7IcdSya7rF--6H6xnw/view?usp=sharing" TargetMode="External"/><Relationship Id="rId168" Type="http://schemas.openxmlformats.org/officeDocument/2006/relationships/hyperlink" Target="https://drive.google.com/file/d/1pScyClSbZ2LCSGn4bwM1LfJiJZpVRzWj/view?usp=drive_link" TargetMode="External"/><Relationship Id="rId289" Type="http://schemas.openxmlformats.org/officeDocument/2006/relationships/hyperlink" Target="https://drive.google.com/file/d/1YY0p_QeGqGcS8TFX7UrSA3ntmLn1vE1H/view?usp=sharing" TargetMode="External"/><Relationship Id="rId167" Type="http://schemas.openxmlformats.org/officeDocument/2006/relationships/hyperlink" Target="https://drive.google.com/file/d/14w4xuaiz-sY-BSvZelw_nCSBoh_hKSlA/view?usp=drive_link" TargetMode="External"/><Relationship Id="rId288" Type="http://schemas.openxmlformats.org/officeDocument/2006/relationships/hyperlink" Target="https://drive.google.com/file/d/1EnUTL3pFPkPs6oOHI3fxy6aDb-jE-hpT/view?usp=sharing" TargetMode="External"/><Relationship Id="rId166" Type="http://schemas.openxmlformats.org/officeDocument/2006/relationships/hyperlink" Target="https://drive.google.com/file/d/1oQeWVzxBocNdt3vYG4qtGHIFsptng8vB/view?usp=sharing" TargetMode="External"/><Relationship Id="rId287" Type="http://schemas.openxmlformats.org/officeDocument/2006/relationships/hyperlink" Target="https://drive.google.com/file/d/1-oGOlSXk5KYEDJCWXnAhcyVWbe2MNRsn/view?usp=sharing" TargetMode="External"/><Relationship Id="rId161" Type="http://schemas.openxmlformats.org/officeDocument/2006/relationships/hyperlink" Target="https://drive.google.com/file/d/1iuwc4Ic_KmgxWmYjuDxXyipX-if7VKCc/view?usp=sharing" TargetMode="External"/><Relationship Id="rId282" Type="http://schemas.openxmlformats.org/officeDocument/2006/relationships/hyperlink" Target="https://docs.google.com/document/d/14pjB24LxU_E1mO8Z9_KLNEYFn6_r8qaY/edit?usp=sharing&amp;ouid=108572082624547872029&amp;rtpof=true&amp;sd=true" TargetMode="External"/><Relationship Id="rId160" Type="http://schemas.openxmlformats.org/officeDocument/2006/relationships/hyperlink" Target="https://drive.google.com/file/d/1ApeYjMtY4mBqDE6_drPi1la5ha9o8x_s/view?usp=sharing" TargetMode="External"/><Relationship Id="rId281" Type="http://schemas.openxmlformats.org/officeDocument/2006/relationships/hyperlink" Target="https://drive.google.com/file/d/1GXe8ZTz3Igy-1souBHJCJdZHyTCIDQWo/view?usp=sharing" TargetMode="External"/><Relationship Id="rId280" Type="http://schemas.openxmlformats.org/officeDocument/2006/relationships/hyperlink" Target="https://drive.google.com/file/d/1eQzPQNnA_xyUanA5oq6Yr4vcL-QXPGEL/view?usp=sharing" TargetMode="External"/><Relationship Id="rId159" Type="http://schemas.openxmlformats.org/officeDocument/2006/relationships/hyperlink" Target="https://drive.google.com/file/d/1fyZehkmgTfNM3Y2G7FtCbfss0-_yHuJk/view?usp=sharing" TargetMode="External"/><Relationship Id="rId154" Type="http://schemas.openxmlformats.org/officeDocument/2006/relationships/hyperlink" Target="https://drive.google.com/file/d/1bwpby5niMf0dDHPQWWMZfOorghqjFsbs/view?usp=sharing" TargetMode="External"/><Relationship Id="rId275" Type="http://schemas.openxmlformats.org/officeDocument/2006/relationships/hyperlink" Target="https://drive.google.com/file/d/1vJn8Vw552qea-QQxD4fr2FCXdJWUYvT-/view?usp=sharing" TargetMode="External"/><Relationship Id="rId396" Type="http://schemas.openxmlformats.org/officeDocument/2006/relationships/hyperlink" Target="https://drive.google.com/file/d/1tHmx-ZodOYqNcK53IKBYsVIKMCrR0onG/view?usp=sharing" TargetMode="External"/><Relationship Id="rId153" Type="http://schemas.openxmlformats.org/officeDocument/2006/relationships/hyperlink" Target="https://drive.google.com/file/d/1qrAJNYAoQhjHvkorxLhTQnvxMmoZoKe8/view?usp=sharing" TargetMode="External"/><Relationship Id="rId274" Type="http://schemas.openxmlformats.org/officeDocument/2006/relationships/hyperlink" Target="https://drive.google.com/file/d/1VnLEXpneqL5soeknvBP4Y2e_IH7gAE2Z/view?usp=sharing" TargetMode="External"/><Relationship Id="rId395" Type="http://schemas.openxmlformats.org/officeDocument/2006/relationships/hyperlink" Target="https://drive.google.com/file/d/1DLxaaRh2nGJt-JRI5WrKLLN1vtYfZL4x/view?usp=sharing" TargetMode="External"/><Relationship Id="rId152" Type="http://schemas.openxmlformats.org/officeDocument/2006/relationships/hyperlink" Target="https://drive.google.com/file/d/1ozgtfNSkLYvkuUN-OEZhyuyq4GUix7ly/view?usp=sharing" TargetMode="External"/><Relationship Id="rId273" Type="http://schemas.openxmlformats.org/officeDocument/2006/relationships/hyperlink" Target="https://drive.google.com/file/d/1fD24iSFI27bSmw3BF2Q-A-ZFV8TnTaTy/view?usp=sharing" TargetMode="External"/><Relationship Id="rId394" Type="http://schemas.openxmlformats.org/officeDocument/2006/relationships/hyperlink" Target="https://drive.google.com/file/d/1oCTTN4At1lNuxVv1cIVBiLicWWJC-eU2/view?usp=sharing" TargetMode="External"/><Relationship Id="rId151" Type="http://schemas.openxmlformats.org/officeDocument/2006/relationships/hyperlink" Target="https://drive.google.com/file/d/1sBE3eBsUt7KvVVpPf0qkj9z5xUwksBtA/view?usp=sharing" TargetMode="External"/><Relationship Id="rId272" Type="http://schemas.openxmlformats.org/officeDocument/2006/relationships/hyperlink" Target="https://drive.google.com/file/d/12AVo03Jc_LPuZ0SXtycD7MKTNL_kOxKK/view?usp=sharing" TargetMode="External"/><Relationship Id="rId393" Type="http://schemas.openxmlformats.org/officeDocument/2006/relationships/hyperlink" Target="https://drive.google.com/file/d/1Q34TlMfxuwDoEElbENkTmAWyZlLx-qG5/view?usp=sharing" TargetMode="External"/><Relationship Id="rId158" Type="http://schemas.openxmlformats.org/officeDocument/2006/relationships/hyperlink" Target="https://drive.google.com/file/d/1IoX_Q5djJ0LSfOZgCEJq3t58ZGpwXOsF/view?usp=sharing" TargetMode="External"/><Relationship Id="rId279" Type="http://schemas.openxmlformats.org/officeDocument/2006/relationships/hyperlink" Target="https://drive.google.com/file/d/1LJBjhxYPUmnlE6bqvU81whM0qzfadk7o/view?usp=sharing" TargetMode="External"/><Relationship Id="rId157" Type="http://schemas.openxmlformats.org/officeDocument/2006/relationships/hyperlink" Target="https://drive.google.com/file/d/1-0qDCVEAcNHG9HRN2HPsRpxw42iLNYND/view?usp=sharing" TargetMode="External"/><Relationship Id="rId278" Type="http://schemas.openxmlformats.org/officeDocument/2006/relationships/hyperlink" Target="https://drive.google.com/file/d/11Atq2RtzkG_nK_yH3qxartZBiMFlyupI/view?usp=sharing" TargetMode="External"/><Relationship Id="rId399" Type="http://schemas.openxmlformats.org/officeDocument/2006/relationships/hyperlink" Target="https://drive.google.com/file/d/1fSpuU1ZtaV-m6vxDTCy2Tf7ctpiDSVZQ/view?usp=sharing" TargetMode="External"/><Relationship Id="rId156" Type="http://schemas.openxmlformats.org/officeDocument/2006/relationships/hyperlink" Target="https://drive.google.com/file/d/1rIdM4CXERnjs7kXm9smqNmEoFwjhA_-R/view?usp=sharing" TargetMode="External"/><Relationship Id="rId277" Type="http://schemas.openxmlformats.org/officeDocument/2006/relationships/hyperlink" Target="https://drive.google.com/file/d/1R4_Q0l36FgxPOEhdNUwvaokjboPVR0DM/view?usp=sharing" TargetMode="External"/><Relationship Id="rId398" Type="http://schemas.openxmlformats.org/officeDocument/2006/relationships/hyperlink" Target="https://drive.google.com/file/d/1lDLrfuzzEs3vNIBxowkDmAt6uXvZjsvh/view?usp=sharing" TargetMode="External"/><Relationship Id="rId155" Type="http://schemas.openxmlformats.org/officeDocument/2006/relationships/hyperlink" Target="https://drive.google.com/file/d/1jatXJdS21W3Lm5K9Vc0F-awhpTSkmRYE/view?usp=sharing" TargetMode="External"/><Relationship Id="rId276" Type="http://schemas.openxmlformats.org/officeDocument/2006/relationships/hyperlink" Target="https://drive.google.com/file/d/10eFCifayAQwfGZxeoIqM3F0wgOjFziB1/view?usp=sharing" TargetMode="External"/><Relationship Id="rId397" Type="http://schemas.openxmlformats.org/officeDocument/2006/relationships/hyperlink" Target="https://drive.google.com/file/d/104XMPFP5r6yeJFAjei8peNczWMGxDjIG/view?usp=sharing" TargetMode="External"/><Relationship Id="rId40" Type="http://schemas.openxmlformats.org/officeDocument/2006/relationships/hyperlink" Target="https://drive.google.com/file/d/1uhYZM56DxTgFDgpPU223bDYm-ngg-TBP/view?usp=drive_link" TargetMode="External"/><Relationship Id="rId42" Type="http://schemas.openxmlformats.org/officeDocument/2006/relationships/hyperlink" Target="https://drive.google.com/file/d/1SGCAO_zVXFEqOMP_JRhCPOxORao6ibsY/view?usp=drive_link" TargetMode="External"/><Relationship Id="rId41" Type="http://schemas.openxmlformats.org/officeDocument/2006/relationships/hyperlink" Target="https://drive.google.com/file/d/1q5syVfwmeZEXD-KVrIUMbL2pc5pAaudg/view?usp=drive_link" TargetMode="External"/><Relationship Id="rId44" Type="http://schemas.openxmlformats.org/officeDocument/2006/relationships/hyperlink" Target="https://drive.google.com/file/d/1TzixJuCvYwnrcRuU4NrgVSvqxB4EOtrK/view?usp=sharing" TargetMode="External"/><Relationship Id="rId43" Type="http://schemas.openxmlformats.org/officeDocument/2006/relationships/hyperlink" Target="https://drive.google.com/file/d/1XLK-2dnkXml-jIAvcrPLCWhEvIgTT62U/view?usp=sharing" TargetMode="External"/><Relationship Id="rId46" Type="http://schemas.openxmlformats.org/officeDocument/2006/relationships/hyperlink" Target="https://drive.google.com/file/d/10ICTXQ_DxAdLtmj1oyCAE8fX7LjCnHDs/view?usp=sharing" TargetMode="External"/><Relationship Id="rId45" Type="http://schemas.openxmlformats.org/officeDocument/2006/relationships/hyperlink" Target="https://drive.google.com/file/d/1BhndByUufPSAKodhX8H0Vkw79VRy_6ir/view?usp=sharing" TargetMode="External"/><Relationship Id="rId48" Type="http://schemas.openxmlformats.org/officeDocument/2006/relationships/hyperlink" Target="https://drive.google.com/file/d/1taSRkXig9fvlAyMgMFditG4tEePdQjAv/view?usp=sharing" TargetMode="External"/><Relationship Id="rId47" Type="http://schemas.openxmlformats.org/officeDocument/2006/relationships/hyperlink" Target="https://drive.google.com/file/d/1BAb6w9uLYiadFNU4M8uN2f04SjZRYfpJ/view?usp=sharing" TargetMode="External"/><Relationship Id="rId49" Type="http://schemas.openxmlformats.org/officeDocument/2006/relationships/hyperlink" Target="https://drive.google.com/file/d/11hhfVd5sX5_Q4Iu-QeuTPOpqXhSp0hhs/view?usp=sharing" TargetMode="External"/><Relationship Id="rId31" Type="http://schemas.openxmlformats.org/officeDocument/2006/relationships/hyperlink" Target="https://drive.google.com/file/d/1Cqax-bi_T9toxV3mtSrl6MRFejxSfuiO/view?usp=drive_link" TargetMode="External"/><Relationship Id="rId30" Type="http://schemas.openxmlformats.org/officeDocument/2006/relationships/hyperlink" Target="https://drive.google.com/file/d/1b8F2gteHpuGw9cJhuGijeQngBGL8M7V5/view?usp=drive_link" TargetMode="External"/><Relationship Id="rId33" Type="http://schemas.openxmlformats.org/officeDocument/2006/relationships/hyperlink" Target="https://drive.google.com/file/d/1uDxie7WsoDl7IEAYa6jkMZLtwtp6d2R7/view?usp=drive_link" TargetMode="External"/><Relationship Id="rId32" Type="http://schemas.openxmlformats.org/officeDocument/2006/relationships/hyperlink" Target="https://drive.google.com/file/d/1el-H-hOilmQsSovUxw172UtRZnKxLzNF/view?usp=drive_link" TargetMode="External"/><Relationship Id="rId35" Type="http://schemas.openxmlformats.org/officeDocument/2006/relationships/hyperlink" Target="https://drive.google.com/file/d/1F5cljqBiVHk9oylF4lTaQAPRQt829POd/view?usp=drive_link" TargetMode="External"/><Relationship Id="rId34" Type="http://schemas.openxmlformats.org/officeDocument/2006/relationships/hyperlink" Target="https://drive.google.com/file/d/18BDWv9Qv8eGwFVET9xVL0au4gOghUfQy/view?usp=drive_link" TargetMode="External"/><Relationship Id="rId37" Type="http://schemas.openxmlformats.org/officeDocument/2006/relationships/hyperlink" Target="https://drive.google.com/file/d/1Mi9BBTBN1fXDGZWrc8ArogT-9Omi_FDd/view?usp=sharing" TargetMode="External"/><Relationship Id="rId36" Type="http://schemas.openxmlformats.org/officeDocument/2006/relationships/hyperlink" Target="https://drive.google.com/file/d/1G34Na-ptH379XsYkk6jxX15CWsOdAiSu/view?usp=sharing" TargetMode="External"/><Relationship Id="rId39" Type="http://schemas.openxmlformats.org/officeDocument/2006/relationships/hyperlink" Target="https://drive.google.com/file/d/16W08ynH7SerGppEXVrqjo8SjDUYtPqun/view?usp=drive_link" TargetMode="External"/><Relationship Id="rId38" Type="http://schemas.openxmlformats.org/officeDocument/2006/relationships/hyperlink" Target="https://drive.google.com/file/d/1S9hdoGC_s0imqGbzRYq-TUaxYPIKfPfB/view?usp=sharing" TargetMode="External"/><Relationship Id="rId20" Type="http://schemas.openxmlformats.org/officeDocument/2006/relationships/hyperlink" Target="https://drive.google.com/file/d/1AqBF4CcUNiDIq1QdEqHT_-c-S1bJ5pcD/view?usp=sharing" TargetMode="External"/><Relationship Id="rId22" Type="http://schemas.openxmlformats.org/officeDocument/2006/relationships/hyperlink" Target="https://drive.google.com/file/d/1Ypm1tHszpDJmKlOW5TwBW1umL48u0NHq/view?usp=sharing" TargetMode="External"/><Relationship Id="rId21" Type="http://schemas.openxmlformats.org/officeDocument/2006/relationships/hyperlink" Target="https://drive.google.com/file/d/14lGEuXx9xjRiiCFSpA2pkOU8WWftdiZY/view?usp=sharing" TargetMode="External"/><Relationship Id="rId24" Type="http://schemas.openxmlformats.org/officeDocument/2006/relationships/hyperlink" Target="https://drive.google.com/file/d/15TF2lfOp8cGFRAtPjTvA69X5EZqFTWci/view?usp=sharing" TargetMode="External"/><Relationship Id="rId23" Type="http://schemas.openxmlformats.org/officeDocument/2006/relationships/hyperlink" Target="https://docs.google.com/document/d/1uv8nqlQCBN611voQAyF5WQlKlk3pNy7q/edit?usp=sharing&amp;ouid=111997120430499352972&amp;rtpof=true&amp;sd=true" TargetMode="External"/><Relationship Id="rId409" Type="http://schemas.openxmlformats.org/officeDocument/2006/relationships/hyperlink" Target="https://drive.google.com/file/d/1wecNds6nuGOjco5UWrJw9jKVzwB567KO/view?usp=sharing" TargetMode="External"/><Relationship Id="rId404" Type="http://schemas.openxmlformats.org/officeDocument/2006/relationships/hyperlink" Target="https://drive.google.com/file/d/1typfKYQ9xdBhe9aQg56nEcC0gTupHLAv/view?usp=sharing" TargetMode="External"/><Relationship Id="rId403" Type="http://schemas.openxmlformats.org/officeDocument/2006/relationships/hyperlink" Target="https://drive.google.com/file/d/1DU7_0Kvep1fVsd_h85mrmTPN0upE5cSK/view?usp=sharing" TargetMode="External"/><Relationship Id="rId402" Type="http://schemas.openxmlformats.org/officeDocument/2006/relationships/hyperlink" Target="https://drive.google.com/file/d/11uDEvQjObOjBIx4FZbdJnMfxlp-1d_x3/view?usp=sharing" TargetMode="External"/><Relationship Id="rId401" Type="http://schemas.openxmlformats.org/officeDocument/2006/relationships/hyperlink" Target="https://drive.google.com/file/d/1IkJqNoLLcPMaRmCRQON95SMHIyVhF4wg/view?usp=sharing" TargetMode="External"/><Relationship Id="rId408" Type="http://schemas.openxmlformats.org/officeDocument/2006/relationships/hyperlink" Target="https://drive.google.com/file/d/1N4VCQD38u8FcxTGz_H2pvw1YgfXSkH0r/view?usp=drive_link" TargetMode="External"/><Relationship Id="rId407" Type="http://schemas.openxmlformats.org/officeDocument/2006/relationships/hyperlink" Target="https://drive.google.com/file/d/1kxbzAQ3n_9Mzeae0VpS8E9e-1I27di6L/view?usp=sharing" TargetMode="External"/><Relationship Id="rId406" Type="http://schemas.openxmlformats.org/officeDocument/2006/relationships/hyperlink" Target="https://drive.google.com/file/d/1RDHmZzHrwEmczxNbtxxZoMKHc9I_kLqR/view?usp=sharing" TargetMode="External"/><Relationship Id="rId405" Type="http://schemas.openxmlformats.org/officeDocument/2006/relationships/hyperlink" Target="https://drive.google.com/file/d/1UO8yOP2J-6xHgAXObS-xYM9-0FBWZkuf/view?usp=sharing" TargetMode="External"/><Relationship Id="rId26" Type="http://schemas.openxmlformats.org/officeDocument/2006/relationships/hyperlink" Target="https://drive.google.com/file/d/1rTx-BkZT8yn6oVPu8Nomo68aD4t_l2m9/view?usp=sharing" TargetMode="External"/><Relationship Id="rId25" Type="http://schemas.openxmlformats.org/officeDocument/2006/relationships/hyperlink" Target="https://drive.google.com/file/d/10ZVqw_Hm7L8OwCeYO2aB0_MNycFupHiP/view?usp=sharing" TargetMode="External"/><Relationship Id="rId28" Type="http://schemas.openxmlformats.org/officeDocument/2006/relationships/hyperlink" Target="https://drive.google.com/file/d/1hG7y87aPMMB8-AQ41-szb1l6z3tnQ26J/view?usp=drive_link" TargetMode="External"/><Relationship Id="rId27" Type="http://schemas.openxmlformats.org/officeDocument/2006/relationships/hyperlink" Target="https://drive.google.com/file/d/1dfDbfDJLIU6dze2-8YKKwdZ2_HEfJw3n/view?usp=drive_link" TargetMode="External"/><Relationship Id="rId400" Type="http://schemas.openxmlformats.org/officeDocument/2006/relationships/hyperlink" Target="https://drive.google.com/file/d/11HJ7U4cCG72sgF6uL0ClK8-YNsLXzZtB/view?usp=sharing" TargetMode="External"/><Relationship Id="rId29" Type="http://schemas.openxmlformats.org/officeDocument/2006/relationships/hyperlink" Target="https://drive.google.com/file/d/1zmgkv-vLbnvJdNLgtOavE0Dt3zyaZtH0/view?usp=drive_link" TargetMode="External"/><Relationship Id="rId11" Type="http://schemas.openxmlformats.org/officeDocument/2006/relationships/hyperlink" Target="https://drive.google.com/file/d/1aU_WQKotB0EIJDvzFEeMirf9SA568CFO/view?usp=drive_link" TargetMode="External"/><Relationship Id="rId10" Type="http://schemas.openxmlformats.org/officeDocument/2006/relationships/hyperlink" Target="https://drive.google.com/file/d/16i0qYoLm35N_FvCw1B-VhbzGrDF36qYY/view?usp=sharing" TargetMode="External"/><Relationship Id="rId13" Type="http://schemas.openxmlformats.org/officeDocument/2006/relationships/hyperlink" Target="https://drive.google.com/file/d/1OV0-G83YnZ_YcCMLzTtoSdCesxfeN391/view?usp=drive_link" TargetMode="External"/><Relationship Id="rId12" Type="http://schemas.openxmlformats.org/officeDocument/2006/relationships/hyperlink" Target="https://drive.google.com/file/d/10iLunbWQ8pwTDHgNCTaRcbMGl3vtQJXP/view?usp=sharing" TargetMode="External"/><Relationship Id="rId15" Type="http://schemas.openxmlformats.org/officeDocument/2006/relationships/hyperlink" Target="https://drive.google.com/file/d/1GEu0Sou35csP5ZJX2PtwdKlWrg48cXVY/view?usp=drive_link" TargetMode="External"/><Relationship Id="rId14" Type="http://schemas.openxmlformats.org/officeDocument/2006/relationships/hyperlink" Target="https://docs.google.com/document/d/15RNL-6xAejWA77Nr0ADqwEaLE-Cy3Qe4/edit?usp=drive_link&amp;ouid=115998447446713613484&amp;rtpof=true&amp;sd=true" TargetMode="External"/><Relationship Id="rId17" Type="http://schemas.openxmlformats.org/officeDocument/2006/relationships/hyperlink" Target="https://drive.google.com/file/d/1AC1uMa3RnOfeI0F4HjSUuRsxZ4jZZRdM/view?usp=drive_link" TargetMode="External"/><Relationship Id="rId16" Type="http://schemas.openxmlformats.org/officeDocument/2006/relationships/hyperlink" Target="https://drive.google.com/file/d/1icFaIyAJBK2s1hViW1czJKNv0-cS1Psk/view?usp=sharing" TargetMode="External"/><Relationship Id="rId19" Type="http://schemas.openxmlformats.org/officeDocument/2006/relationships/hyperlink" Target="https://drive.google.com/file/d/1hM3AWP8wDBYLh1t0eg9MpbqrG0jxYk-s/view?usp=sharing" TargetMode="External"/><Relationship Id="rId18" Type="http://schemas.openxmlformats.org/officeDocument/2006/relationships/hyperlink" Target="https://drive.google.com/file/d/15HiyoJv6JorZ1gh8xItdeDA7CIH0dwRJ/view?usp=sharing" TargetMode="External"/><Relationship Id="rId84" Type="http://schemas.openxmlformats.org/officeDocument/2006/relationships/hyperlink" Target="https://drive.google.com/file/d/14n24T4yRDcy7rpPEB-ugUuCmgzRizc0K/view?usp=sharing" TargetMode="External"/><Relationship Id="rId83" Type="http://schemas.openxmlformats.org/officeDocument/2006/relationships/hyperlink" Target="https://drive.google.com/file/d/1_-6DZDromFpWdw1Al4yvjJSud7avEVy4/view?usp=sharing" TargetMode="External"/><Relationship Id="rId86" Type="http://schemas.openxmlformats.org/officeDocument/2006/relationships/hyperlink" Target="https://docs.google.com/document/d/1NDWbWAcQkLI-c36ypJzjqGMvryQsvxGx/edit?usp=sharing&amp;ouid=111997120430499352972&amp;rtpof=true&amp;sd=true" TargetMode="External"/><Relationship Id="rId85" Type="http://schemas.openxmlformats.org/officeDocument/2006/relationships/hyperlink" Target="https://drive.google.com/file/d/1P53Koz6DX-PYIJfOdABI1o_0iafBwyi4/view?usp=sharing" TargetMode="External"/><Relationship Id="rId88" Type="http://schemas.openxmlformats.org/officeDocument/2006/relationships/hyperlink" Target="https://drive.google.com/file/d/1IuZMyZsY5Uf6e5B3KgBFa_JtcmUnU65e/view?usp=sharing" TargetMode="External"/><Relationship Id="rId87" Type="http://schemas.openxmlformats.org/officeDocument/2006/relationships/hyperlink" Target="https://drive.google.com/file/d/11ChU0VjMaP7nWKVrcoOLAggLKUH-A62n/view?usp=sharing" TargetMode="External"/><Relationship Id="rId89" Type="http://schemas.openxmlformats.org/officeDocument/2006/relationships/hyperlink" Target="https://drive.google.com/file/d/1IOVs-wesjxIie5zlbh61VHz_SUlkX2Jr/view?usp=sharing" TargetMode="External"/><Relationship Id="rId80" Type="http://schemas.openxmlformats.org/officeDocument/2006/relationships/hyperlink" Target="https://drive.google.com/file/d/1GpSc92HaBC7fF4j4MfI6gCbGVhyuSC8s/view?usp=sharing" TargetMode="External"/><Relationship Id="rId82" Type="http://schemas.openxmlformats.org/officeDocument/2006/relationships/hyperlink" Target="https://drive.google.com/file/d/1R3BsOBZdUf_CAkDyLKXwNLtg8fuu0J39/view?usp=sharing" TargetMode="External"/><Relationship Id="rId81" Type="http://schemas.openxmlformats.org/officeDocument/2006/relationships/hyperlink" Target="https://drive.google.com/file/d/1ycYlMlDiB04058EARJocH8vZA5LgDUIj/view?usp=sharing" TargetMode="External"/><Relationship Id="rId73" Type="http://schemas.openxmlformats.org/officeDocument/2006/relationships/hyperlink" Target="https://drive.google.com/file/d/1aBeupoJWpv03DXMZM8iCAG-xljNgCgfG/view?usp=sharing" TargetMode="External"/><Relationship Id="rId72" Type="http://schemas.openxmlformats.org/officeDocument/2006/relationships/hyperlink" Target="https://drive.google.com/file/d/1JOtSa0EOjgtGT_ar4PYmIgqdehL8xz2A/view?usp=sharing" TargetMode="External"/><Relationship Id="rId75" Type="http://schemas.openxmlformats.org/officeDocument/2006/relationships/hyperlink" Target="https://drive.google.com/file/d/14fGY4FrFmtk5c2eDAa2jb6Ad___lliw7/view?usp=sharing" TargetMode="External"/><Relationship Id="rId74" Type="http://schemas.openxmlformats.org/officeDocument/2006/relationships/hyperlink" Target="https://drive.google.com/file/d/1960hZ2sVsvGQf0thhRnVJk0EzHbR4eZc/view?usp=sharing" TargetMode="External"/><Relationship Id="rId77" Type="http://schemas.openxmlformats.org/officeDocument/2006/relationships/hyperlink" Target="https://docs.google.com/document/d/1e9ksklV8V0qOFJIeL5BJycU0Rv3MekfS/edit?usp=sharing&amp;ouid=108572082624547872029&amp;rtpof=true&amp;sd=true" TargetMode="External"/><Relationship Id="rId76" Type="http://schemas.openxmlformats.org/officeDocument/2006/relationships/hyperlink" Target="https://drive.google.com/file/d/1C5mcZwK43AGtMYNSMDTG7mbsE2WHdg1g/view?usp=sharing" TargetMode="External"/><Relationship Id="rId79" Type="http://schemas.openxmlformats.org/officeDocument/2006/relationships/hyperlink" Target="https://drive.google.com/file/d/1KF2uArTSns2SY5GS1RuYFEBJ64SnDshp/view?usp=sharing" TargetMode="External"/><Relationship Id="rId78" Type="http://schemas.openxmlformats.org/officeDocument/2006/relationships/hyperlink" Target="https://drive.google.com/file/d/1yeG-WKOI1deWq1cunLRwBpkHq9sjrzyt/view?usp=sharing" TargetMode="External"/><Relationship Id="rId71" Type="http://schemas.openxmlformats.org/officeDocument/2006/relationships/hyperlink" Target="https://drive.google.com/file/d/1BE-wgQ-uehpMNqbakkxHSV9FIdC3H67s/view?usp=sharing" TargetMode="External"/><Relationship Id="rId70" Type="http://schemas.openxmlformats.org/officeDocument/2006/relationships/hyperlink" Target="https://drive.google.com/file/d/1obQPZxoHF49mNJzRnhZvQEAGqC-c02F8/view?usp=drive_link" TargetMode="External"/><Relationship Id="rId62" Type="http://schemas.openxmlformats.org/officeDocument/2006/relationships/hyperlink" Target="https://drive.google.com/file/d/1QVm4-3q04Jd_RP8Zi7Hbq98_YCguYMWX/view?usp=drive_link" TargetMode="External"/><Relationship Id="rId61" Type="http://schemas.openxmlformats.org/officeDocument/2006/relationships/hyperlink" Target="https://drive.google.com/file/d/1pj306qETJOYbACvRnuG_Nym-tpTZElfQ/view?usp=drive_link" TargetMode="External"/><Relationship Id="rId64" Type="http://schemas.openxmlformats.org/officeDocument/2006/relationships/hyperlink" Target="https://drive.google.com/file/d/1erxJHgR6YRya9addUxS0s8BTuJaTCqXl/view?usp=drive_link" TargetMode="External"/><Relationship Id="rId63" Type="http://schemas.openxmlformats.org/officeDocument/2006/relationships/hyperlink" Target="https://docs.google.com/document/d/1bc-UppoXhXDfwkR_mtgjVBIdh5GBmY9a/edit?usp=sharing&amp;ouid=117520996492561486181&amp;rtpof=true&amp;sd=true" TargetMode="External"/><Relationship Id="rId66" Type="http://schemas.openxmlformats.org/officeDocument/2006/relationships/hyperlink" Target="https://drive.google.com/file/d/136MwkMAOWpRAgFFQPLWPQNZz4oMytJ-D/view?usp=drive_link" TargetMode="External"/><Relationship Id="rId65" Type="http://schemas.openxmlformats.org/officeDocument/2006/relationships/hyperlink" Target="https://drive.google.com/file/d/1r3XZq3scPECCDZJhR_suuKE8bWLM1jdP/view?usp=drive_link" TargetMode="External"/><Relationship Id="rId68" Type="http://schemas.openxmlformats.org/officeDocument/2006/relationships/hyperlink" Target="https://drive.google.com/file/d/1JSJvflttBn4atfcU2FbhebxuOWgJGXvB/view?usp=drive_link" TargetMode="External"/><Relationship Id="rId67" Type="http://schemas.openxmlformats.org/officeDocument/2006/relationships/hyperlink" Target="https://drive.google.com/file/d/1tXh5TseZ54vxG-c5NlirujXbMCTMN4ae/view?usp=drive_link" TargetMode="External"/><Relationship Id="rId60" Type="http://schemas.openxmlformats.org/officeDocument/2006/relationships/hyperlink" Target="https://drive.google.com/file/d/1f-qjyM57JErxbwG5G3uUo7ZbqsY6u3Ao/view?usp=drive_link" TargetMode="External"/><Relationship Id="rId69" Type="http://schemas.openxmlformats.org/officeDocument/2006/relationships/hyperlink" Target="https://drive.google.com/file/d/1qmLFv98KB2CaypDZ7OD5B6NSt8DZM5Cy/view?usp=drive_link" TargetMode="External"/><Relationship Id="rId51" Type="http://schemas.openxmlformats.org/officeDocument/2006/relationships/hyperlink" Target="https://drive.google.com/file/d/1vjoUa57LKRtYWlkpQtjOGR55XsECNzvp/view?usp=drive_link" TargetMode="External"/><Relationship Id="rId50" Type="http://schemas.openxmlformats.org/officeDocument/2006/relationships/hyperlink" Target="https://drive.google.com/file/d/1eGWTHB0csGKdWviwkrvldmLzM38Kke-B/view?usp=drive_link" TargetMode="External"/><Relationship Id="rId53" Type="http://schemas.openxmlformats.org/officeDocument/2006/relationships/hyperlink" Target="https://drive.google.com/file/d/1zGf0vdFLYUN_xoaKtPPAL7EirCk6GlFA/view?usp=sharing" TargetMode="External"/><Relationship Id="rId52" Type="http://schemas.openxmlformats.org/officeDocument/2006/relationships/hyperlink" Target="https://drive.google.com/file/d/1unavnTFZCJjPHJ9RTn6r-c1vtIGNJXi6/view?usp=drive_link" TargetMode="External"/><Relationship Id="rId55" Type="http://schemas.openxmlformats.org/officeDocument/2006/relationships/hyperlink" Target="https://drive.google.com/file/d/1LofVFV_xPlf81yYHPsyac1dcUHK46ubh/view?usp=sharing" TargetMode="External"/><Relationship Id="rId54" Type="http://schemas.openxmlformats.org/officeDocument/2006/relationships/hyperlink" Target="https://drive.google.com/file/d/1Xbntm2zsWkN1KZlPUz9Aaf_1UmtYDcGN/view?usp=sharing" TargetMode="External"/><Relationship Id="rId57" Type="http://schemas.openxmlformats.org/officeDocument/2006/relationships/hyperlink" Target="https://drive.google.com/file/d/1ZrNeiFk-usxPQSwUdzzKF8Rx-nHvKktG/view?usp=sharing" TargetMode="External"/><Relationship Id="rId56" Type="http://schemas.openxmlformats.org/officeDocument/2006/relationships/hyperlink" Target="https://drive.google.com/file/d/14YNEr7EP-x9oa_K6B7Aqzy8xRLZegHvN/view?usp=sharing" TargetMode="External"/><Relationship Id="rId59" Type="http://schemas.openxmlformats.org/officeDocument/2006/relationships/hyperlink" Target="https://docs.google.com/document/d/1S7_So5vr4c_ze-zq2EwSdRN9Fo_Ek9Qv/edit?usp=drive_link&amp;ouid=117520996492561486181&amp;rtpof=true&amp;sd=true" TargetMode="External"/><Relationship Id="rId58" Type="http://schemas.openxmlformats.org/officeDocument/2006/relationships/hyperlink" Target="https://drive.google.com/file/d/1jatXJdS21W3Lm5K9Vc0F-awhpTSkmRYE/view?usp=drive_link" TargetMode="External"/><Relationship Id="rId107" Type="http://schemas.openxmlformats.org/officeDocument/2006/relationships/hyperlink" Target="https://drive.google.com/file/d/13DEtca8m4L0BPQc7AfwyY_8wWDYLSDqG/view?usp=drive_link" TargetMode="External"/><Relationship Id="rId228" Type="http://schemas.openxmlformats.org/officeDocument/2006/relationships/hyperlink" Target="https://drive.google.com/file/d/1AFKew5jO5YvSdtSjRAXGLTX99IkHdDRE/view?usp=sharing" TargetMode="External"/><Relationship Id="rId349" Type="http://schemas.openxmlformats.org/officeDocument/2006/relationships/hyperlink" Target="https://drive.google.com/file/d/1234VRunvltiTcNOZ4ceub-y-K43eYNxm/view?usp=sharing" TargetMode="External"/><Relationship Id="rId106" Type="http://schemas.openxmlformats.org/officeDocument/2006/relationships/hyperlink" Target="https://drive.google.com/file/d/1iTQKQvD8yuLXKiKJMD3sAkH-aKifnnpw/view?usp=drive_link" TargetMode="External"/><Relationship Id="rId227" Type="http://schemas.openxmlformats.org/officeDocument/2006/relationships/hyperlink" Target="https://drive.google.com/file/d/16IQyGHQwQ6Wr3a0TsL0fwcd6SM1nPp6c/view?usp=sharing" TargetMode="External"/><Relationship Id="rId348" Type="http://schemas.openxmlformats.org/officeDocument/2006/relationships/hyperlink" Target="https://drive.google.com/file/d/1jPtqP0fYgCCm4-n91ecB93C8g2xmrESg/view?usp=sharing" TargetMode="External"/><Relationship Id="rId105" Type="http://schemas.openxmlformats.org/officeDocument/2006/relationships/hyperlink" Target="https://drive.google.com/file/d/17LYbZgACuSVLG1U2FvUS6Mq-eR88tc40/view?usp=drive_link" TargetMode="External"/><Relationship Id="rId226" Type="http://schemas.openxmlformats.org/officeDocument/2006/relationships/hyperlink" Target="https://drive.google.com/file/d/12P2ThBsRxLrhLhklhVdMA3Y_dxWwzCO0/view?usp=sharing" TargetMode="External"/><Relationship Id="rId347" Type="http://schemas.openxmlformats.org/officeDocument/2006/relationships/hyperlink" Target="https://drive.google.com/file/d/1TDkdCjLSIu1ZvUgMvuk7nMQVRCDg7Zd1/view?usp=sharing" TargetMode="External"/><Relationship Id="rId104" Type="http://schemas.openxmlformats.org/officeDocument/2006/relationships/hyperlink" Target="https://drive.google.com/file/d/1ACLBx2JHFXyURhuPVqP2euPZw6CsjDN3/view?usp=drive_link" TargetMode="External"/><Relationship Id="rId225" Type="http://schemas.openxmlformats.org/officeDocument/2006/relationships/hyperlink" Target="https://drive.google.com/file/d/1zV1stFBAjk38OxXDc_yVtYnKhqLRO9ex/view?usp=sharing" TargetMode="External"/><Relationship Id="rId346" Type="http://schemas.openxmlformats.org/officeDocument/2006/relationships/hyperlink" Target="https://drive.google.com/file/d/1luqGOxad_E-4cwdVrJ2PIWfTZNzuR-JZ/view?usp=sharing" TargetMode="External"/><Relationship Id="rId109" Type="http://schemas.openxmlformats.org/officeDocument/2006/relationships/hyperlink" Target="https://drive.google.com/file/d/15V7Qh6x5Lg0wpigyd4dNjrBu363piH12/view?usp=drive_link" TargetMode="External"/><Relationship Id="rId108" Type="http://schemas.openxmlformats.org/officeDocument/2006/relationships/hyperlink" Target="https://drive.google.com/file/d/1fVJRtSazUS4GgrSe91QmLbC_7_pFp00Z/view?usp=drive_link" TargetMode="External"/><Relationship Id="rId229" Type="http://schemas.openxmlformats.org/officeDocument/2006/relationships/hyperlink" Target="https://drive.google.com/file/d/1U8HNW0UxcTyfNiA3Bmzv9apwggTVbdnW/view?usp=sharing" TargetMode="External"/><Relationship Id="rId220" Type="http://schemas.openxmlformats.org/officeDocument/2006/relationships/hyperlink" Target="https://drive.google.com/file/d/1b_kJr4m5oU8jD_k1_DcWD9gKM0b8vy8u/view?usp=sharing" TargetMode="External"/><Relationship Id="rId341" Type="http://schemas.openxmlformats.org/officeDocument/2006/relationships/hyperlink" Target="https://drive.google.com/file/d/1Qpu4AF94BWB56n4HTuTkUcPiDcUOO03d/view?usp=sharing" TargetMode="External"/><Relationship Id="rId340" Type="http://schemas.openxmlformats.org/officeDocument/2006/relationships/hyperlink" Target="https://drive.google.com/file/d/1_2610Qn6y911Frx4tO7wLsBx1dlZL_ib/view?usp=sharing" TargetMode="External"/><Relationship Id="rId103" Type="http://schemas.openxmlformats.org/officeDocument/2006/relationships/hyperlink" Target="https://drive.google.com/file/d/1wgdUXP-rrCtogyZw2byJGZKiXoXKdeSW/view?usp=drive_link" TargetMode="External"/><Relationship Id="rId224" Type="http://schemas.openxmlformats.org/officeDocument/2006/relationships/hyperlink" Target="https://drive.google.com/file/d/1zkrDFcg2MvnveFQFtUHgmuaCbvX8ItA4/view?usp=sharing" TargetMode="External"/><Relationship Id="rId345" Type="http://schemas.openxmlformats.org/officeDocument/2006/relationships/hyperlink" Target="https://drive.google.com/file/d/11-h4luHN_y-7GUNxh_yPzHu2pZX4nQYA/view?usp=sharing" TargetMode="External"/><Relationship Id="rId102" Type="http://schemas.openxmlformats.org/officeDocument/2006/relationships/hyperlink" Target="https://drive.google.com/file/d/1DiFLc5Nj6CZzYr2Wt_tw5eavcZFkL8OI/view?usp=sharing" TargetMode="External"/><Relationship Id="rId223" Type="http://schemas.openxmlformats.org/officeDocument/2006/relationships/hyperlink" Target="https://drive.google.com/file/d/1WMXErVSjHFSgRf5uvoYwGjOjOs9DAiHH/view?usp=sharing" TargetMode="External"/><Relationship Id="rId344" Type="http://schemas.openxmlformats.org/officeDocument/2006/relationships/hyperlink" Target="https://drive.google.com/file/d/1xHRIBFBUQ6KBsFq3CpL1vBPsxjSchUlN/view?usp=sharing" TargetMode="External"/><Relationship Id="rId101" Type="http://schemas.openxmlformats.org/officeDocument/2006/relationships/hyperlink" Target="https://drive.google.com/file/d/1LL78jeucvNlQsb9IpRr0A5w8sqJu2dY6/view?usp=sharing" TargetMode="External"/><Relationship Id="rId222" Type="http://schemas.openxmlformats.org/officeDocument/2006/relationships/hyperlink" Target="https://drive.google.com/file/d/1TxTA_4B8T-eSezE5GXnylXJXtsJfu9sB/view?usp=sharing" TargetMode="External"/><Relationship Id="rId343" Type="http://schemas.openxmlformats.org/officeDocument/2006/relationships/hyperlink" Target="https://drive.google.com/file/d/1PRLtW-HdiCrvG9T_uMKwcCHmwLPNJRil/view?usp=sharing" TargetMode="External"/><Relationship Id="rId100" Type="http://schemas.openxmlformats.org/officeDocument/2006/relationships/hyperlink" Target="https://drive.google.com/file/d/122SDiXGZwMK0AaMlXVV6nMoELhnaw6D5/view?usp=sharing" TargetMode="External"/><Relationship Id="rId221" Type="http://schemas.openxmlformats.org/officeDocument/2006/relationships/hyperlink" Target="https://drive.google.com/file/d/1836hM6nuNhDaoijtMXPKvFJcME7qyLlf/view?usp=sharing" TargetMode="External"/><Relationship Id="rId342" Type="http://schemas.openxmlformats.org/officeDocument/2006/relationships/hyperlink" Target="https://drive.google.com/file/d/1escPRKd8pwsAYFgPmmrVoUIsW38y00Ln/view?usp=sharing" TargetMode="External"/><Relationship Id="rId217" Type="http://schemas.openxmlformats.org/officeDocument/2006/relationships/hyperlink" Target="https://drive.google.com/file/d/1bZs4qPV_sc0KA9u35iqE9jU38DBG45y4/view?usp=sharing" TargetMode="External"/><Relationship Id="rId338" Type="http://schemas.openxmlformats.org/officeDocument/2006/relationships/hyperlink" Target="https://drive.google.com/file/d/1OmjhJ2g1pOdqqf5eAFCVqdawPXyrvQMk/view?usp=sharing" TargetMode="External"/><Relationship Id="rId216" Type="http://schemas.openxmlformats.org/officeDocument/2006/relationships/hyperlink" Target="https://drive.google.com/file/d/1NVnJ2ckYH6q_z-Jp66pKbYSjBLqw1nHp/view?usp=sharing" TargetMode="External"/><Relationship Id="rId337" Type="http://schemas.openxmlformats.org/officeDocument/2006/relationships/hyperlink" Target="https://drive.google.com/file/d/1r8FuThjS4SB1atCIyd54XXoK-4ecANKN/view?usp=sharing" TargetMode="External"/><Relationship Id="rId215" Type="http://schemas.openxmlformats.org/officeDocument/2006/relationships/hyperlink" Target="https://drive.google.com/file/d/1_6nH8GLVg4uCR2zcW_VYshA0ZFUX8Oxg/view?usp=sharing" TargetMode="External"/><Relationship Id="rId336" Type="http://schemas.openxmlformats.org/officeDocument/2006/relationships/hyperlink" Target="https://drive.google.com/file/d/1KF7_wGYSqCuhzWLy_5wUoMvr-CKylhhd/view?usp=sharing" TargetMode="External"/><Relationship Id="rId214" Type="http://schemas.openxmlformats.org/officeDocument/2006/relationships/hyperlink" Target="https://drive.google.com/file/d/1l6LItxqndY9PA4r9qLtuNbs3__8-1sQr/view?usp=sharing" TargetMode="External"/><Relationship Id="rId335" Type="http://schemas.openxmlformats.org/officeDocument/2006/relationships/hyperlink" Target="https://drive.google.com/file/d/1hdaoEXgmlddNiuKnF-n4CU-Sa9EMcUwv/view?usp=sharing" TargetMode="External"/><Relationship Id="rId219" Type="http://schemas.openxmlformats.org/officeDocument/2006/relationships/hyperlink" Target="https://drive.google.com/file/d/1X7C7yb9i5m36AkL1D8BfbWpjtIGGDRpU/view?usp=sharing" TargetMode="External"/><Relationship Id="rId218" Type="http://schemas.openxmlformats.org/officeDocument/2006/relationships/hyperlink" Target="https://drive.google.com/file/d/1ofjP469mA2_xNrJQEvaMjpRyyj1BvnBs/view?usp=sharing" TargetMode="External"/><Relationship Id="rId339" Type="http://schemas.openxmlformats.org/officeDocument/2006/relationships/hyperlink" Target="https://drive.google.com/file/d/1ummGIq0ZjO_KZI8GIBXV_MnbHAxzB1XQ/view?usp=sharing" TargetMode="External"/><Relationship Id="rId330" Type="http://schemas.openxmlformats.org/officeDocument/2006/relationships/hyperlink" Target="https://drive.google.com/file/d/1nJ9PRgnS4ADHnPFSANls6QvdRu6UAJrc/view?usp=sharing" TargetMode="External"/><Relationship Id="rId213" Type="http://schemas.openxmlformats.org/officeDocument/2006/relationships/hyperlink" Target="https://drive.google.com/file/d/1KWvgGkWyf8w-N2qLROaqSfb_tdIFfVQf/view?usp=drive_link" TargetMode="External"/><Relationship Id="rId334" Type="http://schemas.openxmlformats.org/officeDocument/2006/relationships/hyperlink" Target="https://drive.google.com/file/d/1Tsc2bM6tifvKFrnPGu8WQAaa4mEqnF-Z/view?usp=sharing" TargetMode="External"/><Relationship Id="rId212" Type="http://schemas.openxmlformats.org/officeDocument/2006/relationships/hyperlink" Target="https://drive.google.com/file/d/1l0G_sOa2ikQm2u3cdWb6q24iP16EvROu/view?usp=sharing" TargetMode="External"/><Relationship Id="rId333" Type="http://schemas.openxmlformats.org/officeDocument/2006/relationships/hyperlink" Target="https://drive.google.com/file/d/17RxwzRlQAoB01ofCS7_YXHfZthR2P3SO/view?usp=sharing" TargetMode="External"/><Relationship Id="rId211" Type="http://schemas.openxmlformats.org/officeDocument/2006/relationships/hyperlink" Target="https://drive.google.com/file/d/1IWqH9SK86ZeTFsQ7ByRw9HQKJdfSPpnj/view?usp=sharing" TargetMode="External"/><Relationship Id="rId332" Type="http://schemas.openxmlformats.org/officeDocument/2006/relationships/hyperlink" Target="https://drive.google.com/file/d/1p_jhyt9_NL5zTwwV5l_iDzscrgClnVgi/view?usp=sharing" TargetMode="External"/><Relationship Id="rId210" Type="http://schemas.openxmlformats.org/officeDocument/2006/relationships/hyperlink" Target="https://drive.google.com/file/d/1ZgrfcG6pPAHKJazW2ppZSeoa5oD8QM0z/view?usp=sharing" TargetMode="External"/><Relationship Id="rId331" Type="http://schemas.openxmlformats.org/officeDocument/2006/relationships/hyperlink" Target="https://drive.google.com/file/d/1enEkfGEW03RRn5HfLVLJ4uEuMjwrcLAM/view?usp=sharing" TargetMode="External"/><Relationship Id="rId370" Type="http://schemas.openxmlformats.org/officeDocument/2006/relationships/hyperlink" Target="https://drive.google.com/file/d/1n2KOxkYPU9IEP534ikYvhsjxfSNc-bVh/view?usp=sharing" TargetMode="External"/><Relationship Id="rId129" Type="http://schemas.openxmlformats.org/officeDocument/2006/relationships/hyperlink" Target="https://drive.google.com/file/d/1LPzGw1KRkSMWJwqzwtp_LMfoioZn6lBY/view?usp=sharing" TargetMode="External"/><Relationship Id="rId128" Type="http://schemas.openxmlformats.org/officeDocument/2006/relationships/hyperlink" Target="https://drive.google.com/file/d/1Qkv_Ovxw9co-gmVvEOG5hOaw1sCCSyuv/view?usp=sharing" TargetMode="External"/><Relationship Id="rId249" Type="http://schemas.openxmlformats.org/officeDocument/2006/relationships/hyperlink" Target="https://docs.google.com/document/d/1Q0t7twgKsPSur4SenksayWxM5Ikm5JNe/edit?usp=sharing&amp;ouid=108572082624547872029&amp;rtpof=true&amp;sd=true" TargetMode="External"/><Relationship Id="rId127" Type="http://schemas.openxmlformats.org/officeDocument/2006/relationships/hyperlink" Target="https://drive.google.com/file/d/1srdYndtU2ShxaHkE_ZxgYE0XF6jBI_xE/view?usp=sharing" TargetMode="External"/><Relationship Id="rId248" Type="http://schemas.openxmlformats.org/officeDocument/2006/relationships/hyperlink" Target="https://drive.google.com/file/d/1vkWbPAOJA7q8TmCwxJd3-BxGNMO1o-Sv/view?usp=sharing" TargetMode="External"/><Relationship Id="rId369" Type="http://schemas.openxmlformats.org/officeDocument/2006/relationships/hyperlink" Target="https://drive.google.com/file/d/1JhKrAfOeVLhQ5VOeCtrSEWFP7GQp4Ugt/view?usp=sharing" TargetMode="External"/><Relationship Id="rId126" Type="http://schemas.openxmlformats.org/officeDocument/2006/relationships/hyperlink" Target="https://drive.google.com/file/d/1lw6W-WvS5rP8nhqhH3hhbMtyMbVwewE0/view?usp=sharing" TargetMode="External"/><Relationship Id="rId247" Type="http://schemas.openxmlformats.org/officeDocument/2006/relationships/hyperlink" Target="https://drive.google.com/file/d/1KroemzCypLYn-JMl4qH1ULqZWFNCTvVK/view?usp=sharing" TargetMode="External"/><Relationship Id="rId368" Type="http://schemas.openxmlformats.org/officeDocument/2006/relationships/hyperlink" Target="https://drive.google.com/file/d/1q-LlbJqVoBcUKhDmL7f_voi1JWvqwb7M/view?usp=sharing" TargetMode="External"/><Relationship Id="rId121" Type="http://schemas.openxmlformats.org/officeDocument/2006/relationships/hyperlink" Target="https://drive.google.com/file/d/1xSqEdody7Y4sQ9IApuXfVYlCg8KBz9Im/view?usp=sharing" TargetMode="External"/><Relationship Id="rId242" Type="http://schemas.openxmlformats.org/officeDocument/2006/relationships/hyperlink" Target="https://drive.google.com/file/d/1N2ZCeNnFXx-Jyz4KB3qPmONlAg7jKXTp/view?usp=sharing" TargetMode="External"/><Relationship Id="rId363" Type="http://schemas.openxmlformats.org/officeDocument/2006/relationships/hyperlink" Target="https://drive.google.com/file/d/1QMGxJESzUNDjMMe8M0qZqVKAY7TSYtkM/view?usp=sharing" TargetMode="External"/><Relationship Id="rId120" Type="http://schemas.openxmlformats.org/officeDocument/2006/relationships/hyperlink" Target="https://drive.google.com/file/d/1nh52kU9FDCduGv9xkqW_Q6NK6-8VAaE0/view?usp=drive_link" TargetMode="External"/><Relationship Id="rId241" Type="http://schemas.openxmlformats.org/officeDocument/2006/relationships/hyperlink" Target="https://drive.google.com/file/d/1DgZL3jscmhHMEvkU1XmwM6uzYkahX0lQ/view?usp=sharing" TargetMode="External"/><Relationship Id="rId362" Type="http://schemas.openxmlformats.org/officeDocument/2006/relationships/hyperlink" Target="https://drive.google.com/file/d/1uzrLetH5ZF0gj8JsysMAjiQmTAQcU4Sq/view?usp=sharing" TargetMode="External"/><Relationship Id="rId240" Type="http://schemas.openxmlformats.org/officeDocument/2006/relationships/hyperlink" Target="https://drive.google.com/file/d/1fdJPIzZUCpU5BA07NiCxPwnpZqIovAu1/view?usp=sharing" TargetMode="External"/><Relationship Id="rId361" Type="http://schemas.openxmlformats.org/officeDocument/2006/relationships/hyperlink" Target="https://drive.google.com/file/d/1XPqtX3wpKnfT7zoD5fEJjAxPST3BaCA-/view?usp=sharing" TargetMode="External"/><Relationship Id="rId360" Type="http://schemas.openxmlformats.org/officeDocument/2006/relationships/hyperlink" Target="https://drive.google.com/file/d/1XiYKot-VPlJBJlN4jr-YuVhYCkKomWz4/view?usp=sharing" TargetMode="External"/><Relationship Id="rId125" Type="http://schemas.openxmlformats.org/officeDocument/2006/relationships/hyperlink" Target="https://drive.google.com/file/d/1ENXzyBgln_hm0v8QSY_VAY2kJHMLnYS0/view?usp=sharing" TargetMode="External"/><Relationship Id="rId246" Type="http://schemas.openxmlformats.org/officeDocument/2006/relationships/hyperlink" Target="https://drive.google.com/file/d/1V5R2etYTBW1HL6yUvpwOEE2dPe0RuDix/view?usp=sharing" TargetMode="External"/><Relationship Id="rId367" Type="http://schemas.openxmlformats.org/officeDocument/2006/relationships/hyperlink" Target="https://drive.google.com/file/d/1Y6oQRybG_2DVxyBGRMDRU_NjvB0SzUGA/view?usp=sharing" TargetMode="External"/><Relationship Id="rId124" Type="http://schemas.openxmlformats.org/officeDocument/2006/relationships/hyperlink" Target="https://drive.google.com/file/d/1Y4rqBib66dNOSPyOhQCGLgKOCS6fp2XB/view?usp=sharing" TargetMode="External"/><Relationship Id="rId245" Type="http://schemas.openxmlformats.org/officeDocument/2006/relationships/hyperlink" Target="https://drive.google.com/file/d/1sDFn_r-0uaUqdMxnTMRjfL6hmLob6fFp/view?usp=sharing" TargetMode="External"/><Relationship Id="rId366" Type="http://schemas.openxmlformats.org/officeDocument/2006/relationships/hyperlink" Target="https://drive.google.com/file/d/1P6rCaT8HWZd_GsdYzT6D3ihj-8mF9Qki/view?usp=sharing" TargetMode="External"/><Relationship Id="rId123" Type="http://schemas.openxmlformats.org/officeDocument/2006/relationships/hyperlink" Target="https://drive.google.com/file/d/10EsG-NKagN_wdVsF4vQuI53cySyT7BoZ/view?usp=sharing" TargetMode="External"/><Relationship Id="rId244" Type="http://schemas.openxmlformats.org/officeDocument/2006/relationships/hyperlink" Target="https://drive.google.com/file/d/1XHrVsBHp-fJkQCYYy_h40DRItHCS21lJ/view?usp=sharing" TargetMode="External"/><Relationship Id="rId365" Type="http://schemas.openxmlformats.org/officeDocument/2006/relationships/hyperlink" Target="https://drive.google.com/file/d/19fyfXQDMGI3kxg1kGrqVJ5WaDE-9OmKy/view?usp=sharing" TargetMode="External"/><Relationship Id="rId122" Type="http://schemas.openxmlformats.org/officeDocument/2006/relationships/hyperlink" Target="https://drive.google.com/file/d/14eYDZ3PTwVll0B1Dkvwjfwe9UJ-rA966/view?usp=sharing" TargetMode="External"/><Relationship Id="rId243" Type="http://schemas.openxmlformats.org/officeDocument/2006/relationships/hyperlink" Target="https://drive.google.com/file/d/1fD8oB3mAlHh1Q-vArL2lu58kQutZOX6r/view?usp=sharing" TargetMode="External"/><Relationship Id="rId364" Type="http://schemas.openxmlformats.org/officeDocument/2006/relationships/hyperlink" Target="https://drive.google.com/file/d/1-eOpJpneHI9aebpXUXpxylY-1Xk3RFMc/view?usp=sharing" TargetMode="External"/><Relationship Id="rId95" Type="http://schemas.openxmlformats.org/officeDocument/2006/relationships/hyperlink" Target="https://drive.google.com/file/d/1IL7tYcFsM9dxpU8jmzVeOSATreLDmhQy/view?usp=sharing" TargetMode="External"/><Relationship Id="rId94" Type="http://schemas.openxmlformats.org/officeDocument/2006/relationships/hyperlink" Target="https://drive.google.com/file/d/1CSZ2uGb8jUz-0pzkWryuDdoJ7t3ataRj/view?usp=sharing" TargetMode="External"/><Relationship Id="rId97" Type="http://schemas.openxmlformats.org/officeDocument/2006/relationships/hyperlink" Target="https://drive.google.com/file/d/11Ft5SgcZ_dTjm8BovKs9jcDEIRA5gfwV/view?usp=sharing" TargetMode="External"/><Relationship Id="rId96" Type="http://schemas.openxmlformats.org/officeDocument/2006/relationships/hyperlink" Target="https://drive.google.com/file/d/1UDrDNqYgh4KGIHqpK6UugI9DmnpZiu7y/view?usp=sharing" TargetMode="External"/><Relationship Id="rId99" Type="http://schemas.openxmlformats.org/officeDocument/2006/relationships/hyperlink" Target="https://drive.google.com/file/d/1f8sOlYf1BvMV9s7kSHC_FeBuTYyPyPlm/view?usp=sharing" TargetMode="External"/><Relationship Id="rId98" Type="http://schemas.openxmlformats.org/officeDocument/2006/relationships/hyperlink" Target="https://drive.google.com/file/d/1u6dICK9Z2uHXb7gkK30naMlT0tWj5Adw/view?usp=sharing" TargetMode="External"/><Relationship Id="rId91" Type="http://schemas.openxmlformats.org/officeDocument/2006/relationships/hyperlink" Target="https://drive.google.com/file/d/1Y_u2QjkPl1fzbS5Uvs1xU9-nd6ukiGjV/view?usp=sharing" TargetMode="External"/><Relationship Id="rId90" Type="http://schemas.openxmlformats.org/officeDocument/2006/relationships/hyperlink" Target="https://drive.google.com/file/d/1XWa1Psw8hzxdBLA9hdgERekCwbL17Gkd/view?usp=sharing" TargetMode="External"/><Relationship Id="rId93" Type="http://schemas.openxmlformats.org/officeDocument/2006/relationships/hyperlink" Target="https://drive.google.com/file/d/1S9hZy6PDcQ4g2TMKOv5NRfMt8NnTl3um/view?usp=sharing" TargetMode="External"/><Relationship Id="rId92" Type="http://schemas.openxmlformats.org/officeDocument/2006/relationships/hyperlink" Target="https://drive.google.com/file/d/1OwbjeFsCdO0QHD81qZaxZGjZu0B5G-GB/view?usp=sharing" TargetMode="External"/><Relationship Id="rId118" Type="http://schemas.openxmlformats.org/officeDocument/2006/relationships/hyperlink" Target="https://drive.google.com/file/d/1Tv9bV8WgR8K-IFydiXBlb2YXUhLVACYI/view?usp=drive_link" TargetMode="External"/><Relationship Id="rId239" Type="http://schemas.openxmlformats.org/officeDocument/2006/relationships/hyperlink" Target="https://drive.google.com/file/d/1ARVvGAK-w0pP1p5EmxroRK9VpcHfH7Vs/view?usp=drive_link" TargetMode="External"/><Relationship Id="rId117" Type="http://schemas.openxmlformats.org/officeDocument/2006/relationships/hyperlink" Target="https://drive.google.com/file/d/1tuQm9XeQMt6h2kD2SXiTc77WjrqA2Zti/view?usp=drive_link" TargetMode="External"/><Relationship Id="rId238" Type="http://schemas.openxmlformats.org/officeDocument/2006/relationships/hyperlink" Target="https://drive.google.com/file/d/1HTCRlLq0OWrLutwMRZnS6f5VtIgpy81N/view?usp=sharing" TargetMode="External"/><Relationship Id="rId359" Type="http://schemas.openxmlformats.org/officeDocument/2006/relationships/hyperlink" Target="https://drive.google.com/file/d/1jeW0tebag3txfcyw3pO7jYu5aYZCeG6T/view?usp=sharing" TargetMode="External"/><Relationship Id="rId116" Type="http://schemas.openxmlformats.org/officeDocument/2006/relationships/hyperlink" Target="https://drive.google.com/file/d/155b_K79nCJgKOCJkxqqumpQSynpjnaJz/view?usp=drive_link" TargetMode="External"/><Relationship Id="rId237" Type="http://schemas.openxmlformats.org/officeDocument/2006/relationships/hyperlink" Target="https://drive.google.com/file/d/1d4-Nf1tDC7TlCo0bN8xFR8uyVzK29sG5/view?usp=drive_link" TargetMode="External"/><Relationship Id="rId358" Type="http://schemas.openxmlformats.org/officeDocument/2006/relationships/hyperlink" Target="https://drive.google.com/file/d/1A1bq5pEPe53Z1ZX61H2z2Gyxs-PNZlGh/view?usp=sharing" TargetMode="External"/><Relationship Id="rId115" Type="http://schemas.openxmlformats.org/officeDocument/2006/relationships/hyperlink" Target="https://drive.google.com/file/d/1MotX19nlnGdKrROe_M_yacV_XAm1ocas/view?usp=drive_link" TargetMode="External"/><Relationship Id="rId236" Type="http://schemas.openxmlformats.org/officeDocument/2006/relationships/hyperlink" Target="https://drive.google.com/file/d/1xcXVP5mlkGqWdcIBEUQ-XTOEgFCuqPP6/view?usp=sharing" TargetMode="External"/><Relationship Id="rId357" Type="http://schemas.openxmlformats.org/officeDocument/2006/relationships/hyperlink" Target="https://drive.google.com/file/d/11HsPqVHVdH7OFsZg7bMXdxMUTCaW3gXM/view?usp=sharing" TargetMode="External"/><Relationship Id="rId119" Type="http://schemas.openxmlformats.org/officeDocument/2006/relationships/hyperlink" Target="https://drive.google.com/file/d/147NOIVYou96qWs05b3AVBtwpd75tSMBh/view?usp=drive_link" TargetMode="External"/><Relationship Id="rId110" Type="http://schemas.openxmlformats.org/officeDocument/2006/relationships/hyperlink" Target="https://drive.google.com/file/d/1Qx3uj-EqIZs9NfA3bbQ5d_JwjQI-D9If/view?usp=drive_link" TargetMode="External"/><Relationship Id="rId231" Type="http://schemas.openxmlformats.org/officeDocument/2006/relationships/hyperlink" Target="https://drive.google.com/file/d/1vzR-Oan4CXvyg3PMrPJ1CD2cj8vDN1df/view?usp=sharing" TargetMode="External"/><Relationship Id="rId352" Type="http://schemas.openxmlformats.org/officeDocument/2006/relationships/hyperlink" Target="https://drive.google.com/file/d/1HPVCxG4qyIdg89_60pOnWvfvAxKBH3Qk/view?usp=sharing" TargetMode="External"/><Relationship Id="rId230" Type="http://schemas.openxmlformats.org/officeDocument/2006/relationships/hyperlink" Target="https://drive.google.com/file/d/1OdhndWPIFVKlGwE0kb8xCgKRGsYE2q1B/view?usp=sharing" TargetMode="External"/><Relationship Id="rId351" Type="http://schemas.openxmlformats.org/officeDocument/2006/relationships/hyperlink" Target="https://drive.google.com/file/d/1jSW5EHOiMjPfYFcapJxAoFysPsFj_rP3/view?usp=sharing" TargetMode="External"/><Relationship Id="rId350" Type="http://schemas.openxmlformats.org/officeDocument/2006/relationships/hyperlink" Target="https://drive.google.com/file/d/19jMmdZdGXQPTChOcjoa6kZzWYvefrV46/view?usp=sharing" TargetMode="External"/><Relationship Id="rId114" Type="http://schemas.openxmlformats.org/officeDocument/2006/relationships/hyperlink" Target="https://drive.google.com/file/d/1ufmfxCFA2gRVIzhWknAE7-obEYdem_K9/view?usp=drive_link" TargetMode="External"/><Relationship Id="rId235" Type="http://schemas.openxmlformats.org/officeDocument/2006/relationships/hyperlink" Target="https://drive.google.com/file/d/1CFDOteMK54b_DqPNBrRZ6fDMvyvfgPD4/view?usp=sharing" TargetMode="External"/><Relationship Id="rId356" Type="http://schemas.openxmlformats.org/officeDocument/2006/relationships/hyperlink" Target="https://drive.google.com/file/d/1Y6oQRybG_2DVxyBGRMDRU_NjvB0SzUGA/view?usp=sharing" TargetMode="External"/><Relationship Id="rId113" Type="http://schemas.openxmlformats.org/officeDocument/2006/relationships/hyperlink" Target="https://docs.google.com/document/d/1ea9si1L1zZ9XhAqXR2GI7CDZFB0bY_8Z/edit?usp=drive_link&amp;ouid=117520996492561486181&amp;rtpof=true&amp;sd=true" TargetMode="External"/><Relationship Id="rId234" Type="http://schemas.openxmlformats.org/officeDocument/2006/relationships/hyperlink" Target="https://drive.google.com/file/d/1dmm7uLnJDtHYmoyIN91GianKhTzqX4jk/view?usp=sharing" TargetMode="External"/><Relationship Id="rId355" Type="http://schemas.openxmlformats.org/officeDocument/2006/relationships/hyperlink" Target="https://drive.google.com/file/d/1ymGMDDso0bFkgQMS1NLd-d0vgq-QerMi/view?usp=sharing" TargetMode="External"/><Relationship Id="rId112" Type="http://schemas.openxmlformats.org/officeDocument/2006/relationships/hyperlink" Target="https://drive.google.com/file/d/109ANO5XlgDCpiTuo8_TlalibO9cWHrOn/view?usp=drive_link" TargetMode="External"/><Relationship Id="rId233" Type="http://schemas.openxmlformats.org/officeDocument/2006/relationships/hyperlink" Target="https://drive.google.com/file/d/1LBcE8hTl-XAMk3Lj4GFoWe_WpUge1Cky/view?usp=sharing" TargetMode="External"/><Relationship Id="rId354" Type="http://schemas.openxmlformats.org/officeDocument/2006/relationships/hyperlink" Target="https://drive.google.com/file/d/142OlP39w4EORf8S1JhOM8WIy5BXMLvW4/view?usp=sharing" TargetMode="External"/><Relationship Id="rId111" Type="http://schemas.openxmlformats.org/officeDocument/2006/relationships/hyperlink" Target="https://drive.google.com/file/d/1_VCmwsqiYbvLHr4wOmnHFoAlOfUqKkuz/view?usp=drive_link" TargetMode="External"/><Relationship Id="rId232" Type="http://schemas.openxmlformats.org/officeDocument/2006/relationships/hyperlink" Target="https://drive.google.com/file/d/126DX1zX8Ic5qBy1rpvDputFs6fXSEXae/view?usp=sharing" TargetMode="External"/><Relationship Id="rId353" Type="http://schemas.openxmlformats.org/officeDocument/2006/relationships/hyperlink" Target="https://drive.google.com/file/d/1PQDINU_6vwv0Ky4qhEZkgxkDYstxE1CJ/view?usp=sharing" TargetMode="External"/><Relationship Id="rId305" Type="http://schemas.openxmlformats.org/officeDocument/2006/relationships/hyperlink" Target="https://drive.google.com/file/d/1pI1JD1L8HxvT-QsvJeUmwoBzb3muKcgX/view?usp=sharing" TargetMode="External"/><Relationship Id="rId304" Type="http://schemas.openxmlformats.org/officeDocument/2006/relationships/hyperlink" Target="https://drive.google.com/file/d/13iRIBMFbsfxfbTA9RSpjeWY83Hr83GKF/view?usp=sharing" TargetMode="External"/><Relationship Id="rId303" Type="http://schemas.openxmlformats.org/officeDocument/2006/relationships/hyperlink" Target="https://drive.google.com/file/d/1HejatMqwqysbYKtPPs8dDkOm5F-fIPqL/view?usp=sharing" TargetMode="External"/><Relationship Id="rId302" Type="http://schemas.openxmlformats.org/officeDocument/2006/relationships/hyperlink" Target="https://drive.google.com/file/d/1FOBTY-UcRh0L4yR5JZndmjdSyh_Mb8Ow/view?usp=sharing" TargetMode="External"/><Relationship Id="rId423" Type="http://schemas.openxmlformats.org/officeDocument/2006/relationships/drawing" Target="../drawings/drawing1.xml"/><Relationship Id="rId309" Type="http://schemas.openxmlformats.org/officeDocument/2006/relationships/hyperlink" Target="https://drive.google.com/file/d/1KtLerHuQIG-cAO2fgLmhqMO508W8RChr/view?usp=sharing" TargetMode="External"/><Relationship Id="rId308" Type="http://schemas.openxmlformats.org/officeDocument/2006/relationships/hyperlink" Target="https://drive.google.com/file/d/1ZHSrDBpLmvHMg5lrBWUS6jI-vuH4hk7Z/view?usp=sharing" TargetMode="External"/><Relationship Id="rId307" Type="http://schemas.openxmlformats.org/officeDocument/2006/relationships/hyperlink" Target="https://drive.google.com/file/d/1bD3Cw8zaHwKgVeTLnFq3pWF7jqOAOLXL/view?usp=sharing" TargetMode="External"/><Relationship Id="rId306" Type="http://schemas.openxmlformats.org/officeDocument/2006/relationships/hyperlink" Target="https://drive.google.com/file/d/1wXca3h3Sj2FnPuEFoigw8NCP1JBqWFuv/view?usp=sharing" TargetMode="External"/><Relationship Id="rId301" Type="http://schemas.openxmlformats.org/officeDocument/2006/relationships/hyperlink" Target="https://drive.google.com/file/d/1z9eFwB-uCNX3WAyGKr4VZNkiA0sRZlb_/view?usp=sharing" TargetMode="External"/><Relationship Id="rId422" Type="http://schemas.openxmlformats.org/officeDocument/2006/relationships/hyperlink" Target="https://drive.google.com/file/d/1lRdyUv0D9PFrOsq3cFFAM5fa3DJgoVvM/view?usp=sharing" TargetMode="External"/><Relationship Id="rId300" Type="http://schemas.openxmlformats.org/officeDocument/2006/relationships/hyperlink" Target="https://drive.google.com/file/d/1j0ugDrC10vMthd8kbiirkrZrrDVzUlKL/view?usp=sharing" TargetMode="External"/><Relationship Id="rId421" Type="http://schemas.openxmlformats.org/officeDocument/2006/relationships/hyperlink" Target="https://drive.google.com/file/d/1fGObbZVYuHw7Csna1SeURMhGXvq_wN-e/view?usp=sharing" TargetMode="External"/><Relationship Id="rId420" Type="http://schemas.openxmlformats.org/officeDocument/2006/relationships/hyperlink" Target="https://drive.google.com/file/d/1csRrdU0KLs5UXNyHMxJUyIggTxDjF5lK/view?usp=sharing" TargetMode="External"/><Relationship Id="rId415" Type="http://schemas.openxmlformats.org/officeDocument/2006/relationships/hyperlink" Target="https://drive.google.com/file/d/1ZVgJ8Yr2q-GDNOstf60Wuex4aXnCRP0U/view?usp=sharing" TargetMode="External"/><Relationship Id="rId414" Type="http://schemas.openxmlformats.org/officeDocument/2006/relationships/hyperlink" Target="https://drive.google.com/file/d/1yk--Iz3MpGVSUXAoJuegTA34_PrJv0Nq/view?usp=sharing" TargetMode="External"/><Relationship Id="rId413" Type="http://schemas.openxmlformats.org/officeDocument/2006/relationships/hyperlink" Target="https://drive.google.com/file/d/1bh1yCsFjbTUFCnj8JwfAjkle6ac4afRQ/view?usp=sharing" TargetMode="External"/><Relationship Id="rId412" Type="http://schemas.openxmlformats.org/officeDocument/2006/relationships/hyperlink" Target="https://drive.google.com/file/d/1yDAq0B-RIycMdRBM8g-YkqN5b2qC8McW/view?usp=sharing" TargetMode="External"/><Relationship Id="rId419" Type="http://schemas.openxmlformats.org/officeDocument/2006/relationships/hyperlink" Target="https://drive.google.com/file/d/1V97x5elij7xLQI6K0SUsDgQlK6VZP11b/view?usp=sharing" TargetMode="External"/><Relationship Id="rId418" Type="http://schemas.openxmlformats.org/officeDocument/2006/relationships/hyperlink" Target="https://drive.google.com/file/d/11xWCC6ohCZTQbQm43-gvbahGcF3PR3yn/view?usp=sharing" TargetMode="External"/><Relationship Id="rId417" Type="http://schemas.openxmlformats.org/officeDocument/2006/relationships/hyperlink" Target="https://drive.google.com/file/d/1hW4iJfWF_D_3JdtHePOUGt_OlvqlvWDq/view?usp=sharing" TargetMode="External"/><Relationship Id="rId416" Type="http://schemas.openxmlformats.org/officeDocument/2006/relationships/hyperlink" Target="https://drive.google.com/file/d/1JR5bzDrHXX1V-Gh-CjWdZfBNX8O-BY1c/view?usp=sharing" TargetMode="External"/><Relationship Id="rId411" Type="http://schemas.openxmlformats.org/officeDocument/2006/relationships/hyperlink" Target="https://drive.google.com/file/d/1dd2PynnI-Umk3_74-Y8WqCxAZGcpFJzD/view?usp=sharing" TargetMode="External"/><Relationship Id="rId410" Type="http://schemas.openxmlformats.org/officeDocument/2006/relationships/hyperlink" Target="https://drive.google.com/file/d/1x5IwwObDnSYStqwZWvk0qtoguiNfX1QN/view?usp=sharing" TargetMode="External"/><Relationship Id="rId206" Type="http://schemas.openxmlformats.org/officeDocument/2006/relationships/hyperlink" Target="https://drive.google.com/file/d/1dOZMSfhXoqmOq3_xJ1no4Hqv0C8Gnv_R/view?usp=sharing" TargetMode="External"/><Relationship Id="rId327" Type="http://schemas.openxmlformats.org/officeDocument/2006/relationships/hyperlink" Target="https://drive.google.com/file/d/1x95hzMbWkcxNoWTMqWKyz6xKMQPRRWw5/view?usp=sharing" TargetMode="External"/><Relationship Id="rId205" Type="http://schemas.openxmlformats.org/officeDocument/2006/relationships/hyperlink" Target="https://drive.google.com/file/d/1vAFICza0qR0w2z6oW3YmoFIlswFvAQ39/view?usp=drive_link" TargetMode="External"/><Relationship Id="rId326" Type="http://schemas.openxmlformats.org/officeDocument/2006/relationships/hyperlink" Target="https://drive.google.com/file/d/1da6w69LAmFx_Z_upXDsYqAwZzjP2mlrW/view?usp=sharing" TargetMode="External"/><Relationship Id="rId204" Type="http://schemas.openxmlformats.org/officeDocument/2006/relationships/hyperlink" Target="https://drive.google.com/file/d/1aX_dfS17CPCGlKa3qM9aBd1CLVJsSufg/view?usp=drive_link" TargetMode="External"/><Relationship Id="rId325" Type="http://schemas.openxmlformats.org/officeDocument/2006/relationships/hyperlink" Target="https://drive.google.com/file/d/1Wh1nOPxj07t6neqkFZemD1P6DvLcvIFa/view?usp=sharing" TargetMode="External"/><Relationship Id="rId203" Type="http://schemas.openxmlformats.org/officeDocument/2006/relationships/hyperlink" Target="https://drive.google.com/file/d/1lLgXZWw4puS6W4dNIr-ZgYJK-cYCV5_w/view?usp=sharing" TargetMode="External"/><Relationship Id="rId324" Type="http://schemas.openxmlformats.org/officeDocument/2006/relationships/hyperlink" Target="https://drive.google.com/file/d/1JV3y2yvfvswoibAWS2fdYY5iycNMC8LK/view?usp=sharing" TargetMode="External"/><Relationship Id="rId209" Type="http://schemas.openxmlformats.org/officeDocument/2006/relationships/hyperlink" Target="https://drive.google.com/file/d/1VECP9HOHs8MM2SGcisPjWnUpy1ysK5XV/view?usp=sharing" TargetMode="External"/><Relationship Id="rId208" Type="http://schemas.openxmlformats.org/officeDocument/2006/relationships/hyperlink" Target="https://drive.google.com/file/d/1VECP9HOHs8MM2SGcisPjWnUpy1ysK5XV/view?usp=sharing" TargetMode="External"/><Relationship Id="rId329" Type="http://schemas.openxmlformats.org/officeDocument/2006/relationships/hyperlink" Target="https://drive.google.com/file/d/1klI7vM1tLd9VcQTqtp0YxN8vWzmgYvtf/view?usp=sharing" TargetMode="External"/><Relationship Id="rId207" Type="http://schemas.openxmlformats.org/officeDocument/2006/relationships/hyperlink" Target="https://drive.google.com/file/d/1HTCRlLq0OWrLutwMRZnS6f5VtIgpy81N/view?usp=drive_link" TargetMode="External"/><Relationship Id="rId328" Type="http://schemas.openxmlformats.org/officeDocument/2006/relationships/hyperlink" Target="https://drive.google.com/file/d/19u9QqlgXqPh_Iq-DB_urtFUjqEVOq6vT/view?usp=sharing" TargetMode="External"/><Relationship Id="rId202" Type="http://schemas.openxmlformats.org/officeDocument/2006/relationships/hyperlink" Target="https://drive.google.com/file/d/1KSlJkJGFtQQNn1fDddkfZ8eKZXrnJdsD/view?usp=sharing" TargetMode="External"/><Relationship Id="rId323" Type="http://schemas.openxmlformats.org/officeDocument/2006/relationships/hyperlink" Target="https://drive.google.com/file/d/1bm04qiXkDd8-ilz5ETr89zkrUvzb1Gwb/view?usp=sharing" TargetMode="External"/><Relationship Id="rId201" Type="http://schemas.openxmlformats.org/officeDocument/2006/relationships/hyperlink" Target="https://drive.google.com/file/d/1pFGz-A_mWmYcbKuPkYZ0MK8h4ZZ_QL8R/view?usp=sharing" TargetMode="External"/><Relationship Id="rId322" Type="http://schemas.openxmlformats.org/officeDocument/2006/relationships/hyperlink" Target="https://drive.google.com/file/d/1QEPhyLamJ29opgzgpDDID8UaTQamApyp/view?usp=sharing" TargetMode="External"/><Relationship Id="rId200" Type="http://schemas.openxmlformats.org/officeDocument/2006/relationships/hyperlink" Target="https://drive.google.com/file/d/1rvABzWUPNE7q6yBdmmj1aPNxIzblGCM2/view?usp=sharing" TargetMode="External"/><Relationship Id="rId321" Type="http://schemas.openxmlformats.org/officeDocument/2006/relationships/hyperlink" Target="https://drive.google.com/file/d/1xTEXUz_tnVLpLvNtTri4grl-NJPgfH0O/view?usp=sharing" TargetMode="External"/><Relationship Id="rId320" Type="http://schemas.openxmlformats.org/officeDocument/2006/relationships/hyperlink" Target="https://drive.google.com/file/d/1j6DiYVmyLpUSmrmdWSqIbfpKbnX3bTKy/view?usp=sharing" TargetMode="External"/><Relationship Id="rId316" Type="http://schemas.openxmlformats.org/officeDocument/2006/relationships/hyperlink" Target="https://drive.google.com/file/d/1D8aX__m25SXoiiPYR9wgB3mqiVYMZV29/view?usp=sharing" TargetMode="External"/><Relationship Id="rId315" Type="http://schemas.openxmlformats.org/officeDocument/2006/relationships/hyperlink" Target="https://drive.google.com/file/d/1KyBVn9XzgBUURGOLSnl5Q_NNcRgQt3zL/view?usp=sharing" TargetMode="External"/><Relationship Id="rId314" Type="http://schemas.openxmlformats.org/officeDocument/2006/relationships/hyperlink" Target="https://drive.google.com/file/d/1lTQ68skOky7ga_aOmbgf5ifQvcl96L4F/view?usp=sharing" TargetMode="External"/><Relationship Id="rId313" Type="http://schemas.openxmlformats.org/officeDocument/2006/relationships/hyperlink" Target="https://drive.google.com/file/d/1HiuPMgVjhOqkwFKtZ4_T6fJD2W63CqB8/view?usp=sharing" TargetMode="External"/><Relationship Id="rId319" Type="http://schemas.openxmlformats.org/officeDocument/2006/relationships/hyperlink" Target="https://docs.google.com/document/d/16x9JbF4s3e3sHsdw-CICl_L-NuYtm1k0/edit?usp=sharing&amp;ouid=111997120430499352972&amp;rtpof=true&amp;sd=true" TargetMode="External"/><Relationship Id="rId318" Type="http://schemas.openxmlformats.org/officeDocument/2006/relationships/hyperlink" Target="https://docs.google.com/document/d/1saGfeCNIPE1R3H5vT2baaDoUeLt18goq/edit?usp=sharing&amp;ouid=117520996492561486181&amp;rtpof=true&amp;sd=true" TargetMode="External"/><Relationship Id="rId317" Type="http://schemas.openxmlformats.org/officeDocument/2006/relationships/hyperlink" Target="https://drive.google.com/file/d/1BXV4sa13u_KGy92yz3Glj4OLIwcOVlqd/view?usp=sharing" TargetMode="External"/><Relationship Id="rId312" Type="http://schemas.openxmlformats.org/officeDocument/2006/relationships/hyperlink" Target="https://drive.google.com/file/d/1ol1VRIAC07ryt758LlHOZgVKub035axT/view?usp=sharing" TargetMode="External"/><Relationship Id="rId311" Type="http://schemas.openxmlformats.org/officeDocument/2006/relationships/hyperlink" Target="https://drive.google.com/file/d/1nXTefCTcLn5X2CL1UZhlgZ1SPS27Ovgo/view?usp=sharing" TargetMode="External"/><Relationship Id="rId310" Type="http://schemas.openxmlformats.org/officeDocument/2006/relationships/hyperlink" Target="https://drive.google.com/file/d/1OjaL1T5VRsE8cv3lxiHjzw66M9rd8IYI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4" width="14.0"/>
    <col customWidth="1" min="5" max="6" width="16.0"/>
    <col customWidth="1" min="7" max="8" width="13.0"/>
    <col customWidth="1" min="9" max="9" width="16.71"/>
    <col customWidth="1" min="10" max="10" width="14.0"/>
    <col customWidth="1" min="11" max="11" width="12.29"/>
    <col customWidth="1" min="12" max="12" width="20.14"/>
    <col customWidth="1" min="13" max="13" width="22.71"/>
    <col customWidth="1" min="14" max="14" width="14.0"/>
    <col customWidth="1" min="15" max="15" width="24.0"/>
    <col customWidth="1" min="16" max="16" width="32.0"/>
    <col customWidth="1" min="17" max="17" width="24.0"/>
    <col customWidth="1" min="18" max="18" width="32.0"/>
    <col customWidth="1" min="19" max="20" width="13.0"/>
    <col customWidth="1" min="21" max="21" width="13.71"/>
    <col customWidth="1" min="22" max="22" width="10.43"/>
    <col customWidth="1" min="23" max="23" width="4.86"/>
    <col customWidth="1" min="24" max="24" width="3.86"/>
    <col customWidth="1" min="25" max="25" width="8.71"/>
    <col customWidth="1" min="26" max="26" width="0.14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30.0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</row>
    <row r="4" ht="21.75" customHeight="1">
      <c r="A4" s="7" t="str">
        <f>IF(B4="","","CAN-"&amp;TEXT(1,"000"))</f>
        <v>CAN-001</v>
      </c>
      <c r="B4" s="8" t="s">
        <v>23</v>
      </c>
      <c r="C4" s="8" t="s">
        <v>24</v>
      </c>
      <c r="D4" s="9" t="s">
        <v>25</v>
      </c>
      <c r="E4" s="8" t="s">
        <v>26</v>
      </c>
      <c r="F4" s="8" t="s">
        <v>27</v>
      </c>
      <c r="G4" s="9" t="s">
        <v>28</v>
      </c>
      <c r="H4" s="9" t="s">
        <v>29</v>
      </c>
      <c r="I4" s="8" t="s">
        <v>30</v>
      </c>
      <c r="J4" s="8" t="s">
        <v>31</v>
      </c>
      <c r="K4" s="9" t="s">
        <v>32</v>
      </c>
      <c r="L4" s="8" t="s">
        <v>33</v>
      </c>
      <c r="M4" s="8" t="s">
        <v>34</v>
      </c>
      <c r="N4" s="8" t="s">
        <v>35</v>
      </c>
      <c r="O4" s="10"/>
      <c r="P4" s="10"/>
      <c r="Q4" s="10"/>
      <c r="R4" s="11" t="s">
        <v>36</v>
      </c>
      <c r="S4" s="12">
        <v>46104.0</v>
      </c>
      <c r="T4" s="12">
        <v>46104.0</v>
      </c>
      <c r="U4" s="8" t="s">
        <v>37</v>
      </c>
      <c r="V4" s="13"/>
      <c r="W4" s="13" t="s">
        <v>38</v>
      </c>
      <c r="X4" s="13" t="s">
        <v>35</v>
      </c>
      <c r="Z4" s="13" t="s">
        <v>39</v>
      </c>
    </row>
    <row r="5" ht="21.75" customHeight="1">
      <c r="A5" s="14" t="str">
        <f>IF(B5="","","CAN-"&amp;TEXT(2,"000"))</f>
        <v>CAN-002</v>
      </c>
      <c r="B5" s="15" t="s">
        <v>40</v>
      </c>
      <c r="C5" s="15" t="s">
        <v>41</v>
      </c>
      <c r="D5" s="16">
        <v>9.921511411E9</v>
      </c>
      <c r="E5" s="15" t="s">
        <v>42</v>
      </c>
      <c r="F5" s="17"/>
      <c r="G5" s="16" t="s">
        <v>43</v>
      </c>
      <c r="H5" s="16" t="s">
        <v>44</v>
      </c>
      <c r="I5" s="15" t="s">
        <v>39</v>
      </c>
      <c r="J5" s="15" t="s">
        <v>31</v>
      </c>
      <c r="K5" s="16" t="s">
        <v>32</v>
      </c>
      <c r="L5" s="15" t="s">
        <v>33</v>
      </c>
      <c r="M5" s="15" t="s">
        <v>34</v>
      </c>
      <c r="N5" s="15" t="s">
        <v>45</v>
      </c>
      <c r="O5" s="17"/>
      <c r="P5" s="17"/>
      <c r="Q5" s="17"/>
      <c r="R5" s="15" t="s">
        <v>46</v>
      </c>
      <c r="S5" s="18">
        <v>46104.0</v>
      </c>
      <c r="T5" s="19"/>
      <c r="U5" s="15"/>
      <c r="V5" s="13"/>
      <c r="W5" s="13" t="s">
        <v>47</v>
      </c>
      <c r="X5" s="13" t="s">
        <v>48</v>
      </c>
      <c r="Z5" s="13" t="s">
        <v>30</v>
      </c>
    </row>
    <row r="6" ht="21.75" customHeight="1">
      <c r="A6" s="7" t="str">
        <f>IF(B6="","","CAN-"&amp;TEXT(3,"000"))</f>
        <v>CAN-003</v>
      </c>
      <c r="B6" s="8" t="s">
        <v>49</v>
      </c>
      <c r="C6" s="8" t="s">
        <v>41</v>
      </c>
      <c r="D6" s="9">
        <v>7.076785991E9</v>
      </c>
      <c r="E6" s="8" t="s">
        <v>50</v>
      </c>
      <c r="F6" s="10"/>
      <c r="G6" s="9" t="s">
        <v>51</v>
      </c>
      <c r="H6" s="9" t="s">
        <v>43</v>
      </c>
      <c r="I6" s="8" t="s">
        <v>39</v>
      </c>
      <c r="J6" s="8" t="s">
        <v>52</v>
      </c>
      <c r="K6" s="9" t="s">
        <v>32</v>
      </c>
      <c r="L6" s="8" t="s">
        <v>53</v>
      </c>
      <c r="M6" s="8" t="s">
        <v>54</v>
      </c>
      <c r="N6" s="8" t="s">
        <v>45</v>
      </c>
      <c r="O6" s="10"/>
      <c r="P6" s="10"/>
      <c r="Q6" s="10"/>
      <c r="R6" s="11" t="s">
        <v>55</v>
      </c>
      <c r="S6" s="20">
        <v>46104.0</v>
      </c>
      <c r="T6" s="21"/>
      <c r="U6" s="8"/>
      <c r="V6" s="13"/>
      <c r="W6" s="13" t="s">
        <v>56</v>
      </c>
      <c r="X6" s="13" t="s">
        <v>57</v>
      </c>
      <c r="Z6" s="13" t="s">
        <v>58</v>
      </c>
    </row>
    <row r="7" ht="21.75" customHeight="1">
      <c r="A7" s="14" t="str">
        <f>IF(B7="","","CAN-"&amp;TEXT(4,"000"))</f>
        <v>CAN-004</v>
      </c>
      <c r="B7" s="15" t="s">
        <v>59</v>
      </c>
      <c r="C7" s="15" t="s">
        <v>41</v>
      </c>
      <c r="D7" s="16">
        <v>9.82050529E9</v>
      </c>
      <c r="E7" s="15" t="s">
        <v>47</v>
      </c>
      <c r="F7" s="17"/>
      <c r="G7" s="16" t="s">
        <v>51</v>
      </c>
      <c r="H7" s="16" t="s">
        <v>43</v>
      </c>
      <c r="I7" s="15" t="s">
        <v>39</v>
      </c>
      <c r="J7" s="15" t="s">
        <v>60</v>
      </c>
      <c r="K7" s="16" t="s">
        <v>32</v>
      </c>
      <c r="L7" s="15" t="s">
        <v>61</v>
      </c>
      <c r="M7" s="15" t="s">
        <v>54</v>
      </c>
      <c r="N7" s="15" t="s">
        <v>45</v>
      </c>
      <c r="O7" s="17"/>
      <c r="P7" s="17"/>
      <c r="Q7" s="17"/>
      <c r="R7" s="22" t="s">
        <v>62</v>
      </c>
      <c r="S7" s="18">
        <v>46104.0</v>
      </c>
      <c r="T7" s="19"/>
      <c r="U7" s="15"/>
      <c r="V7" s="13"/>
      <c r="W7" s="13" t="s">
        <v>63</v>
      </c>
      <c r="X7" s="13" t="s">
        <v>45</v>
      </c>
      <c r="Z7" s="13" t="s">
        <v>64</v>
      </c>
    </row>
    <row r="8" ht="21.75" customHeight="1">
      <c r="A8" s="7" t="str">
        <f>IF(B8="","","CAN-"&amp;TEXT(5,"000"))</f>
        <v>CAN-005</v>
      </c>
      <c r="B8" s="8" t="s">
        <v>65</v>
      </c>
      <c r="C8" s="8" t="s">
        <v>24</v>
      </c>
      <c r="D8" s="9" t="s">
        <v>66</v>
      </c>
      <c r="E8" s="8" t="s">
        <v>67</v>
      </c>
      <c r="F8" s="8" t="s">
        <v>68</v>
      </c>
      <c r="G8" s="9" t="s">
        <v>69</v>
      </c>
      <c r="H8" s="9" t="s">
        <v>70</v>
      </c>
      <c r="I8" s="8" t="s">
        <v>30</v>
      </c>
      <c r="J8" s="8" t="s">
        <v>71</v>
      </c>
      <c r="K8" s="9" t="s">
        <v>32</v>
      </c>
      <c r="L8" s="8" t="s">
        <v>33</v>
      </c>
      <c r="M8" s="8" t="s">
        <v>72</v>
      </c>
      <c r="N8" s="8" t="s">
        <v>35</v>
      </c>
      <c r="O8" s="10"/>
      <c r="P8" s="10"/>
      <c r="Q8" s="10"/>
      <c r="R8" s="11" t="s">
        <v>73</v>
      </c>
      <c r="S8" s="20">
        <v>46104.0</v>
      </c>
      <c r="T8" s="20">
        <v>46099.0</v>
      </c>
      <c r="U8" s="8" t="s">
        <v>37</v>
      </c>
      <c r="V8" s="13"/>
      <c r="W8" s="13" t="s">
        <v>74</v>
      </c>
      <c r="X8" s="13" t="s">
        <v>75</v>
      </c>
      <c r="Z8" s="13" t="s">
        <v>76</v>
      </c>
    </row>
    <row r="9" ht="21.75" customHeight="1">
      <c r="A9" s="14" t="str">
        <f>IF(B9="","","CAN-"&amp;TEXT(6,"000"))</f>
        <v>CAN-006</v>
      </c>
      <c r="B9" s="15" t="s">
        <v>77</v>
      </c>
      <c r="C9" s="15" t="s">
        <v>24</v>
      </c>
      <c r="D9" s="16" t="s">
        <v>78</v>
      </c>
      <c r="E9" s="15" t="s">
        <v>79</v>
      </c>
      <c r="F9" s="15" t="s">
        <v>80</v>
      </c>
      <c r="G9" s="16" t="s">
        <v>81</v>
      </c>
      <c r="H9" s="16" t="s">
        <v>82</v>
      </c>
      <c r="I9" s="15" t="s">
        <v>83</v>
      </c>
      <c r="J9" s="17"/>
      <c r="K9" s="16" t="s">
        <v>32</v>
      </c>
      <c r="L9" s="8" t="s">
        <v>33</v>
      </c>
      <c r="M9" s="15" t="s">
        <v>72</v>
      </c>
      <c r="N9" s="15" t="s">
        <v>35</v>
      </c>
      <c r="O9" s="17"/>
      <c r="P9" s="17"/>
      <c r="Q9" s="17"/>
      <c r="R9" s="11" t="s">
        <v>84</v>
      </c>
      <c r="S9" s="18">
        <v>46104.0</v>
      </c>
      <c r="T9" s="18">
        <v>46105.0</v>
      </c>
      <c r="U9" s="15" t="s">
        <v>85</v>
      </c>
      <c r="V9" s="13"/>
      <c r="W9" s="13" t="s">
        <v>86</v>
      </c>
      <c r="X9" s="13" t="s">
        <v>87</v>
      </c>
      <c r="Z9" s="13" t="s">
        <v>83</v>
      </c>
    </row>
    <row r="10" ht="21.75" customHeight="1">
      <c r="A10" s="7" t="str">
        <f>IF(B10="","","CAN-"&amp;TEXT(7,"000"))</f>
        <v>CAN-007</v>
      </c>
      <c r="B10" s="8" t="s">
        <v>88</v>
      </c>
      <c r="C10" s="8" t="s">
        <v>89</v>
      </c>
      <c r="D10" s="9">
        <v>7.045441922E9</v>
      </c>
      <c r="E10" s="8" t="s">
        <v>50</v>
      </c>
      <c r="F10" s="8" t="s">
        <v>90</v>
      </c>
      <c r="G10" s="9" t="s">
        <v>51</v>
      </c>
      <c r="H10" s="9" t="s">
        <v>43</v>
      </c>
      <c r="I10" s="8" t="s">
        <v>39</v>
      </c>
      <c r="J10" s="8" t="s">
        <v>91</v>
      </c>
      <c r="K10" s="9" t="s">
        <v>92</v>
      </c>
      <c r="L10" s="8" t="s">
        <v>93</v>
      </c>
      <c r="M10" s="8" t="s">
        <v>94</v>
      </c>
      <c r="N10" s="8" t="s">
        <v>45</v>
      </c>
      <c r="O10" s="10"/>
      <c r="P10" s="10"/>
      <c r="Q10" s="8" t="s">
        <v>95</v>
      </c>
      <c r="R10" s="11" t="s">
        <v>96</v>
      </c>
      <c r="S10" s="20">
        <v>46104.0</v>
      </c>
      <c r="T10" s="20">
        <v>46105.0</v>
      </c>
      <c r="U10" s="8" t="s">
        <v>97</v>
      </c>
      <c r="V10" s="13"/>
      <c r="W10" s="13" t="s">
        <v>98</v>
      </c>
      <c r="X10" s="13" t="s">
        <v>31</v>
      </c>
      <c r="Z10" s="13" t="s">
        <v>99</v>
      </c>
    </row>
    <row r="11" ht="21.75" customHeight="1">
      <c r="A11" s="14" t="str">
        <f>IF(B11="","","CAN-"&amp;TEXT(8,"000"))</f>
        <v>CAN-008</v>
      </c>
      <c r="B11" s="15" t="s">
        <v>100</v>
      </c>
      <c r="C11" s="15" t="s">
        <v>89</v>
      </c>
      <c r="D11" s="16">
        <v>9.948536523E9</v>
      </c>
      <c r="E11" s="15" t="s">
        <v>101</v>
      </c>
      <c r="F11" s="8" t="s">
        <v>90</v>
      </c>
      <c r="G11" s="16" t="s">
        <v>44</v>
      </c>
      <c r="H11" s="16" t="s">
        <v>102</v>
      </c>
      <c r="I11" s="15" t="s">
        <v>64</v>
      </c>
      <c r="J11" s="15" t="s">
        <v>64</v>
      </c>
      <c r="K11" s="16" t="s">
        <v>32</v>
      </c>
      <c r="L11" s="15" t="s">
        <v>33</v>
      </c>
      <c r="M11" s="15" t="s">
        <v>72</v>
      </c>
      <c r="N11" s="15" t="s">
        <v>48</v>
      </c>
      <c r="O11" s="17"/>
      <c r="P11" s="17"/>
      <c r="Q11" s="17"/>
      <c r="R11" s="22" t="s">
        <v>103</v>
      </c>
      <c r="S11" s="20">
        <v>46105.0</v>
      </c>
      <c r="T11" s="20">
        <v>46105.0</v>
      </c>
      <c r="U11" s="15" t="s">
        <v>104</v>
      </c>
      <c r="V11" s="13"/>
      <c r="W11" s="13" t="s">
        <v>105</v>
      </c>
      <c r="X11" s="13"/>
      <c r="Z11" s="13" t="s">
        <v>106</v>
      </c>
    </row>
    <row r="12" ht="21.75" customHeight="1">
      <c r="A12" s="7" t="str">
        <f>IF(B12="","","CAN-"&amp;TEXT(9,"000"))</f>
        <v>CAN-009</v>
      </c>
      <c r="B12" s="8" t="s">
        <v>107</v>
      </c>
      <c r="C12" s="8" t="s">
        <v>89</v>
      </c>
      <c r="D12" s="9">
        <v>8.369205538E9</v>
      </c>
      <c r="E12" s="8" t="s">
        <v>67</v>
      </c>
      <c r="F12" s="8" t="s">
        <v>108</v>
      </c>
      <c r="G12" s="9" t="s">
        <v>109</v>
      </c>
      <c r="H12" s="9" t="s">
        <v>110</v>
      </c>
      <c r="I12" s="8" t="s">
        <v>39</v>
      </c>
      <c r="J12" s="8" t="s">
        <v>39</v>
      </c>
      <c r="K12" s="9" t="s">
        <v>32</v>
      </c>
      <c r="L12" s="8" t="s">
        <v>33</v>
      </c>
      <c r="M12" s="8" t="s">
        <v>72</v>
      </c>
      <c r="N12" s="8" t="s">
        <v>45</v>
      </c>
      <c r="O12" s="10"/>
      <c r="P12" s="10"/>
      <c r="Q12" s="10"/>
      <c r="R12" s="11" t="s">
        <v>111</v>
      </c>
      <c r="S12" s="20">
        <v>46105.0</v>
      </c>
      <c r="T12" s="21"/>
      <c r="U12" s="8"/>
      <c r="V12" s="13"/>
      <c r="W12" s="13" t="s">
        <v>112</v>
      </c>
      <c r="X12" s="13"/>
      <c r="Z12" s="13" t="s">
        <v>113</v>
      </c>
    </row>
    <row r="13" ht="21.75" customHeight="1">
      <c r="A13" s="14" t="str">
        <f>IF(B13="","","CAN-"&amp;TEXT(10,"000"))</f>
        <v>CAN-010</v>
      </c>
      <c r="B13" s="15" t="s">
        <v>114</v>
      </c>
      <c r="C13" s="15" t="s">
        <v>89</v>
      </c>
      <c r="D13" s="16">
        <v>9.635739447E9</v>
      </c>
      <c r="E13" s="15" t="s">
        <v>115</v>
      </c>
      <c r="F13" s="15" t="s">
        <v>108</v>
      </c>
      <c r="G13" s="16" t="s">
        <v>44</v>
      </c>
      <c r="H13" s="16" t="s">
        <v>116</v>
      </c>
      <c r="I13" s="15" t="s">
        <v>39</v>
      </c>
      <c r="J13" s="15" t="s">
        <v>39</v>
      </c>
      <c r="K13" s="16" t="s">
        <v>92</v>
      </c>
      <c r="L13" s="15" t="s">
        <v>61</v>
      </c>
      <c r="M13" s="15" t="s">
        <v>94</v>
      </c>
      <c r="N13" s="15" t="s">
        <v>45</v>
      </c>
      <c r="O13" s="17"/>
      <c r="P13" s="17"/>
      <c r="Q13" s="17"/>
      <c r="R13" s="17"/>
      <c r="S13" s="19"/>
      <c r="T13" s="19"/>
      <c r="U13" s="17"/>
      <c r="V13" s="13"/>
      <c r="W13" s="13" t="s">
        <v>117</v>
      </c>
      <c r="X13" s="13"/>
      <c r="Z13" s="13" t="s">
        <v>118</v>
      </c>
    </row>
    <row r="14" ht="21.75" customHeight="1">
      <c r="A14" s="7" t="str">
        <f>IF(B14="","","CAN-"&amp;TEXT(11,"000"))</f>
        <v>CAN-011</v>
      </c>
      <c r="B14" s="8" t="s">
        <v>119</v>
      </c>
      <c r="C14" s="8" t="s">
        <v>41</v>
      </c>
      <c r="D14" s="9">
        <v>8.779074429E9</v>
      </c>
      <c r="E14" s="8" t="s">
        <v>120</v>
      </c>
      <c r="F14" s="10"/>
      <c r="G14" s="9" t="s">
        <v>121</v>
      </c>
      <c r="H14" s="9" t="s">
        <v>122</v>
      </c>
      <c r="I14" s="8" t="s">
        <v>39</v>
      </c>
      <c r="J14" s="8" t="s">
        <v>123</v>
      </c>
      <c r="K14" s="9" t="s">
        <v>32</v>
      </c>
      <c r="L14" s="8" t="s">
        <v>93</v>
      </c>
      <c r="M14" s="8" t="s">
        <v>34</v>
      </c>
      <c r="N14" s="8" t="s">
        <v>45</v>
      </c>
      <c r="O14" s="10"/>
      <c r="P14" s="10"/>
      <c r="Q14" s="10"/>
      <c r="R14" s="11" t="s">
        <v>124</v>
      </c>
      <c r="S14" s="20">
        <v>46106.0</v>
      </c>
      <c r="T14" s="21"/>
      <c r="U14" s="8" t="s">
        <v>125</v>
      </c>
      <c r="V14" s="13"/>
      <c r="W14" s="13" t="s">
        <v>126</v>
      </c>
      <c r="X14" s="13"/>
      <c r="Z14" s="13" t="s">
        <v>31</v>
      </c>
    </row>
    <row r="15" ht="21.75" customHeight="1">
      <c r="A15" s="14" t="str">
        <f>IF(B15="","","CAN-"&amp;TEXT(12,"000"))</f>
        <v>CAN-012</v>
      </c>
      <c r="B15" s="15" t="s">
        <v>127</v>
      </c>
      <c r="C15" s="15" t="s">
        <v>41</v>
      </c>
      <c r="D15" s="16">
        <v>7.208748204E9</v>
      </c>
      <c r="E15" s="15" t="s">
        <v>128</v>
      </c>
      <c r="F15" s="17"/>
      <c r="G15" s="23"/>
      <c r="H15" s="16" t="s">
        <v>129</v>
      </c>
      <c r="I15" s="15" t="s">
        <v>39</v>
      </c>
      <c r="J15" s="15" t="s">
        <v>31</v>
      </c>
      <c r="K15" s="16" t="s">
        <v>32</v>
      </c>
      <c r="L15" s="15" t="s">
        <v>33</v>
      </c>
      <c r="M15" s="15" t="s">
        <v>34</v>
      </c>
      <c r="N15" s="15" t="s">
        <v>45</v>
      </c>
      <c r="O15" s="17"/>
      <c r="P15" s="17"/>
      <c r="Q15" s="17"/>
      <c r="R15" s="22" t="s">
        <v>130</v>
      </c>
      <c r="S15" s="18">
        <v>46106.0</v>
      </c>
      <c r="T15" s="19"/>
      <c r="U15" s="17"/>
      <c r="V15" s="13"/>
      <c r="W15" s="13" t="s">
        <v>120</v>
      </c>
      <c r="X15" s="13"/>
      <c r="Z15" s="13"/>
    </row>
    <row r="16" ht="21.75" customHeight="1">
      <c r="A16" s="7" t="str">
        <f>IF(B16="","","CAN-"&amp;TEXT(13,"000"))</f>
        <v>CAN-013</v>
      </c>
      <c r="B16" s="8" t="s">
        <v>131</v>
      </c>
      <c r="C16" s="8" t="s">
        <v>24</v>
      </c>
      <c r="D16" s="24"/>
      <c r="E16" s="8" t="s">
        <v>79</v>
      </c>
      <c r="F16" s="8" t="s">
        <v>90</v>
      </c>
      <c r="G16" s="9" t="s">
        <v>132</v>
      </c>
      <c r="H16" s="9" t="s">
        <v>133</v>
      </c>
      <c r="I16" s="8" t="s">
        <v>83</v>
      </c>
      <c r="J16" s="10"/>
      <c r="K16" s="9" t="s">
        <v>32</v>
      </c>
      <c r="L16" s="8" t="s">
        <v>134</v>
      </c>
      <c r="M16" s="8" t="s">
        <v>34</v>
      </c>
      <c r="N16" s="8" t="s">
        <v>35</v>
      </c>
      <c r="O16" s="10"/>
      <c r="P16" s="10"/>
      <c r="Q16" s="10"/>
      <c r="R16" s="10"/>
      <c r="S16" s="20">
        <v>46104.0</v>
      </c>
      <c r="T16" s="21"/>
      <c r="U16" s="8" t="s">
        <v>85</v>
      </c>
      <c r="V16" s="13"/>
      <c r="W16" s="13" t="s">
        <v>135</v>
      </c>
      <c r="X16" s="13"/>
      <c r="Z16" s="13"/>
    </row>
    <row r="17" ht="21.75" customHeight="1">
      <c r="A17" s="25" t="str">
        <f>IF(B17="","","CAN-"&amp;TEXT(14,"000"))</f>
        <v>CAN-014</v>
      </c>
      <c r="B17" s="15" t="s">
        <v>136</v>
      </c>
      <c r="C17" s="15" t="s">
        <v>89</v>
      </c>
      <c r="D17" s="16"/>
      <c r="E17" s="15" t="s">
        <v>137</v>
      </c>
      <c r="F17" s="15" t="s">
        <v>101</v>
      </c>
      <c r="G17" s="16" t="s">
        <v>43</v>
      </c>
      <c r="H17" s="23"/>
      <c r="I17" s="15" t="s">
        <v>76</v>
      </c>
      <c r="J17" s="17"/>
      <c r="K17" s="23"/>
      <c r="L17" s="17"/>
      <c r="M17" s="17"/>
      <c r="N17" s="15" t="s">
        <v>35</v>
      </c>
      <c r="O17" s="17"/>
      <c r="P17" s="17"/>
      <c r="Q17" s="17"/>
      <c r="R17" s="17"/>
      <c r="S17" s="18">
        <v>46101.0</v>
      </c>
      <c r="T17" s="19"/>
      <c r="U17" s="15" t="s">
        <v>138</v>
      </c>
      <c r="V17" s="13" t="s">
        <v>125</v>
      </c>
      <c r="W17" s="13" t="s">
        <v>139</v>
      </c>
      <c r="X17" s="13"/>
      <c r="Z17" s="13"/>
    </row>
    <row r="18" ht="21.75" customHeight="1">
      <c r="A18" s="25" t="str">
        <f t="shared" ref="A18:A22" si="1">IF(B18="","","CAN-"&amp;TEXT(ROW()-3,"000"))</f>
        <v>CAN-015</v>
      </c>
      <c r="B18" s="8" t="s">
        <v>140</v>
      </c>
      <c r="C18" s="8" t="s">
        <v>24</v>
      </c>
      <c r="D18" s="9" t="s">
        <v>141</v>
      </c>
      <c r="E18" s="8" t="s">
        <v>67</v>
      </c>
      <c r="F18" s="8" t="s">
        <v>142</v>
      </c>
      <c r="G18" s="9" t="s">
        <v>143</v>
      </c>
      <c r="H18" s="9" t="s">
        <v>29</v>
      </c>
      <c r="I18" s="8" t="s">
        <v>39</v>
      </c>
      <c r="J18" s="10"/>
      <c r="K18" s="9" t="s">
        <v>32</v>
      </c>
      <c r="L18" s="8" t="s">
        <v>134</v>
      </c>
      <c r="M18" s="8" t="s">
        <v>72</v>
      </c>
      <c r="N18" s="8" t="s">
        <v>35</v>
      </c>
      <c r="O18" s="10"/>
      <c r="P18" s="10"/>
      <c r="Q18" s="10"/>
      <c r="R18" s="11" t="s">
        <v>144</v>
      </c>
      <c r="S18" s="20">
        <v>46104.0</v>
      </c>
      <c r="T18" s="21"/>
      <c r="U18" s="8" t="s">
        <v>37</v>
      </c>
      <c r="V18" s="13" t="s">
        <v>145</v>
      </c>
      <c r="W18" s="13" t="s">
        <v>101</v>
      </c>
      <c r="X18" s="13"/>
      <c r="Z18" s="13"/>
    </row>
    <row r="19" ht="21.75" customHeight="1">
      <c r="A19" s="25" t="str">
        <f t="shared" si="1"/>
        <v>CAN-016</v>
      </c>
      <c r="B19" s="15" t="s">
        <v>146</v>
      </c>
      <c r="C19" s="15" t="s">
        <v>147</v>
      </c>
      <c r="D19" s="16">
        <v>9.00427598E9</v>
      </c>
      <c r="E19" s="15" t="s">
        <v>148</v>
      </c>
      <c r="F19" s="15" t="s">
        <v>149</v>
      </c>
      <c r="G19" s="23"/>
      <c r="H19" s="23"/>
      <c r="I19" s="15" t="s">
        <v>39</v>
      </c>
      <c r="J19" s="15" t="s">
        <v>150</v>
      </c>
      <c r="K19" s="16" t="s">
        <v>32</v>
      </c>
      <c r="L19" s="15" t="s">
        <v>151</v>
      </c>
      <c r="M19" s="15" t="s">
        <v>54</v>
      </c>
      <c r="N19" s="15" t="s">
        <v>87</v>
      </c>
      <c r="O19" s="17"/>
      <c r="P19" s="17"/>
      <c r="Q19" s="17"/>
      <c r="R19" s="22" t="s">
        <v>152</v>
      </c>
      <c r="S19" s="18">
        <v>46104.0</v>
      </c>
      <c r="T19" s="19"/>
      <c r="U19" s="15" t="s">
        <v>153</v>
      </c>
      <c r="V19" s="13" t="s">
        <v>154</v>
      </c>
      <c r="W19" s="13" t="s">
        <v>155</v>
      </c>
      <c r="X19" s="13"/>
      <c r="Z19" s="13"/>
    </row>
    <row r="20" ht="21.75" customHeight="1">
      <c r="A20" s="25" t="str">
        <f t="shared" si="1"/>
        <v>CAN-017</v>
      </c>
      <c r="B20" s="8" t="s">
        <v>156</v>
      </c>
      <c r="C20" s="8" t="s">
        <v>24</v>
      </c>
      <c r="D20" s="9" t="s">
        <v>157</v>
      </c>
      <c r="E20" s="8" t="s">
        <v>67</v>
      </c>
      <c r="F20" s="8" t="s">
        <v>142</v>
      </c>
      <c r="G20" s="9" t="s">
        <v>29</v>
      </c>
      <c r="H20" s="9" t="s">
        <v>158</v>
      </c>
      <c r="I20" s="8" t="s">
        <v>39</v>
      </c>
      <c r="J20" s="8" t="s">
        <v>159</v>
      </c>
      <c r="K20" s="9" t="s">
        <v>32</v>
      </c>
      <c r="L20" s="17" t="s">
        <v>33</v>
      </c>
      <c r="M20" s="8" t="s">
        <v>34</v>
      </c>
      <c r="N20" s="8" t="s">
        <v>35</v>
      </c>
      <c r="O20" s="10"/>
      <c r="P20" s="10"/>
      <c r="Q20" s="10"/>
      <c r="R20" s="11" t="s">
        <v>160</v>
      </c>
      <c r="S20" s="26">
        <v>46104.0</v>
      </c>
      <c r="T20" s="26">
        <v>46099.0</v>
      </c>
      <c r="U20" s="8" t="s">
        <v>161</v>
      </c>
      <c r="V20" s="13" t="s">
        <v>162</v>
      </c>
      <c r="W20" s="13" t="s">
        <v>163</v>
      </c>
      <c r="X20" s="13"/>
      <c r="Z20" s="13"/>
    </row>
    <row r="21" ht="21.75" customHeight="1">
      <c r="A21" s="25" t="str">
        <f t="shared" si="1"/>
        <v>CAN-018</v>
      </c>
      <c r="B21" s="15" t="s">
        <v>164</v>
      </c>
      <c r="C21" s="15" t="s">
        <v>24</v>
      </c>
      <c r="D21" s="16" t="s">
        <v>165</v>
      </c>
      <c r="E21" s="15" t="s">
        <v>166</v>
      </c>
      <c r="F21" s="15" t="s">
        <v>167</v>
      </c>
      <c r="G21" s="16" t="s">
        <v>168</v>
      </c>
      <c r="H21" s="16" t="s">
        <v>169</v>
      </c>
      <c r="I21" s="15" t="s">
        <v>39</v>
      </c>
      <c r="J21" s="15" t="s">
        <v>31</v>
      </c>
      <c r="K21" s="16" t="s">
        <v>32</v>
      </c>
      <c r="L21" s="17" t="s">
        <v>33</v>
      </c>
      <c r="M21" s="15" t="s">
        <v>34</v>
      </c>
      <c r="N21" s="15" t="s">
        <v>35</v>
      </c>
      <c r="O21" s="17"/>
      <c r="P21" s="17"/>
      <c r="Q21" s="17"/>
      <c r="R21" s="22" t="s">
        <v>170</v>
      </c>
      <c r="S21" s="18">
        <v>46104.0</v>
      </c>
      <c r="T21" s="18">
        <v>46099.0</v>
      </c>
      <c r="U21" s="15" t="s">
        <v>171</v>
      </c>
      <c r="V21" s="13" t="s">
        <v>172</v>
      </c>
      <c r="W21" s="13" t="s">
        <v>173</v>
      </c>
      <c r="X21" s="13"/>
      <c r="Z21" s="13"/>
    </row>
    <row r="22" ht="21.75" customHeight="1">
      <c r="A22" s="25" t="str">
        <f t="shared" si="1"/>
        <v>CAN-019</v>
      </c>
      <c r="B22" s="8" t="s">
        <v>174</v>
      </c>
      <c r="C22" s="8" t="s">
        <v>24</v>
      </c>
      <c r="D22" s="9">
        <v>7.00619777E9</v>
      </c>
      <c r="E22" s="8" t="s">
        <v>67</v>
      </c>
      <c r="F22" s="8" t="s">
        <v>67</v>
      </c>
      <c r="G22" s="9" t="s">
        <v>143</v>
      </c>
      <c r="H22" s="9" t="s">
        <v>175</v>
      </c>
      <c r="I22" s="8" t="s">
        <v>30</v>
      </c>
      <c r="J22" s="8" t="s">
        <v>31</v>
      </c>
      <c r="K22" s="9" t="s">
        <v>32</v>
      </c>
      <c r="L22" s="17" t="s">
        <v>33</v>
      </c>
      <c r="M22" s="8" t="s">
        <v>34</v>
      </c>
      <c r="N22" s="8" t="s">
        <v>35</v>
      </c>
      <c r="O22" s="10"/>
      <c r="P22" s="10"/>
      <c r="Q22" s="10"/>
      <c r="R22" s="11" t="s">
        <v>176</v>
      </c>
      <c r="S22" s="26">
        <v>46104.0</v>
      </c>
      <c r="T22" s="20">
        <v>46106.0</v>
      </c>
      <c r="U22" s="8" t="s">
        <v>85</v>
      </c>
      <c r="V22" s="13" t="s">
        <v>153</v>
      </c>
      <c r="W22" s="13" t="s">
        <v>177</v>
      </c>
      <c r="X22" s="13"/>
      <c r="Z22" s="13"/>
    </row>
    <row r="23" ht="21.75" customHeight="1">
      <c r="A23" s="25" t="str">
        <f>IF(B23="","","CAN-"&amp;TEXT(20,"000"))</f>
        <v>CAN-020</v>
      </c>
      <c r="B23" s="15" t="s">
        <v>178</v>
      </c>
      <c r="C23" s="15" t="s">
        <v>147</v>
      </c>
      <c r="D23" s="16">
        <v>8.975185523E9</v>
      </c>
      <c r="E23" s="15" t="s">
        <v>179</v>
      </c>
      <c r="F23" s="15" t="s">
        <v>179</v>
      </c>
      <c r="G23" s="23"/>
      <c r="H23" s="23"/>
      <c r="I23" s="15" t="s">
        <v>76</v>
      </c>
      <c r="J23" s="15" t="s">
        <v>31</v>
      </c>
      <c r="K23" s="16" t="s">
        <v>32</v>
      </c>
      <c r="L23" s="15" t="s">
        <v>33</v>
      </c>
      <c r="M23" s="15" t="s">
        <v>34</v>
      </c>
      <c r="N23" s="15" t="s">
        <v>35</v>
      </c>
      <c r="O23" s="17"/>
      <c r="P23" s="17"/>
      <c r="Q23" s="15" t="s">
        <v>180</v>
      </c>
      <c r="R23" s="22" t="s">
        <v>181</v>
      </c>
      <c r="S23" s="18">
        <v>46104.0</v>
      </c>
      <c r="T23" s="19"/>
      <c r="U23" s="17"/>
      <c r="V23" s="13" t="s">
        <v>182</v>
      </c>
      <c r="W23" s="13" t="s">
        <v>42</v>
      </c>
      <c r="X23" s="13"/>
      <c r="Z23" s="13"/>
    </row>
    <row r="24" ht="21.75" customHeight="1">
      <c r="A24" s="27" t="str">
        <f>IF(B24="","","CAN-"&amp;TEXT(21,"000"))</f>
        <v>CAN-021</v>
      </c>
      <c r="B24" s="8" t="s">
        <v>183</v>
      </c>
      <c r="C24" s="8" t="s">
        <v>184</v>
      </c>
      <c r="D24" s="9">
        <v>7.03913704E8</v>
      </c>
      <c r="E24" s="8" t="s">
        <v>98</v>
      </c>
      <c r="F24" s="10"/>
      <c r="G24" s="9" t="s">
        <v>102</v>
      </c>
      <c r="H24" s="9" t="s">
        <v>132</v>
      </c>
      <c r="I24" s="8" t="s">
        <v>39</v>
      </c>
      <c r="J24" s="8" t="s">
        <v>185</v>
      </c>
      <c r="K24" s="9" t="s">
        <v>92</v>
      </c>
      <c r="L24" s="8" t="s">
        <v>61</v>
      </c>
      <c r="M24" s="8" t="s">
        <v>34</v>
      </c>
      <c r="N24" s="8" t="s">
        <v>45</v>
      </c>
      <c r="O24" s="10"/>
      <c r="P24" s="10"/>
      <c r="Q24" s="10"/>
      <c r="R24" s="11" t="s">
        <v>186</v>
      </c>
      <c r="S24" s="20">
        <v>46104.0</v>
      </c>
      <c r="T24" s="21"/>
      <c r="U24" s="8" t="s">
        <v>125</v>
      </c>
      <c r="V24" s="13" t="s">
        <v>187</v>
      </c>
      <c r="W24" s="13" t="s">
        <v>188</v>
      </c>
      <c r="X24" s="13"/>
      <c r="Z24" s="13"/>
    </row>
    <row r="25" ht="21.75" customHeight="1">
      <c r="A25" s="25" t="str">
        <f>IF(B25="","","CAN-"&amp;TEXT(22,"000"))</f>
        <v>CAN-022</v>
      </c>
      <c r="B25" s="15" t="s">
        <v>189</v>
      </c>
      <c r="C25" s="15" t="s">
        <v>147</v>
      </c>
      <c r="D25" s="16" t="s">
        <v>190</v>
      </c>
      <c r="E25" s="15" t="s">
        <v>191</v>
      </c>
      <c r="F25" s="15" t="s">
        <v>192</v>
      </c>
      <c r="G25" s="23"/>
      <c r="H25" s="23"/>
      <c r="I25" s="15" t="s">
        <v>39</v>
      </c>
      <c r="J25" s="15" t="s">
        <v>193</v>
      </c>
      <c r="K25" s="16" t="s">
        <v>32</v>
      </c>
      <c r="L25" s="15" t="s">
        <v>194</v>
      </c>
      <c r="M25" s="15" t="s">
        <v>195</v>
      </c>
      <c r="N25" s="15" t="s">
        <v>48</v>
      </c>
      <c r="O25" s="17"/>
      <c r="P25" s="17"/>
      <c r="Q25" s="15" t="s">
        <v>196</v>
      </c>
      <c r="R25" s="22" t="s">
        <v>197</v>
      </c>
      <c r="S25" s="18">
        <v>46104.0</v>
      </c>
      <c r="T25" s="18">
        <v>46105.0</v>
      </c>
      <c r="U25" s="15" t="s">
        <v>198</v>
      </c>
      <c r="V25" s="13" t="s">
        <v>161</v>
      </c>
      <c r="W25" s="13" t="s">
        <v>199</v>
      </c>
      <c r="X25" s="13"/>
      <c r="Z25" s="13"/>
    </row>
    <row r="26" ht="21.75" customHeight="1">
      <c r="A26" s="27" t="str">
        <f>IF(B26="","","CAN-"&amp;TEXT(23,"000"))</f>
        <v>CAN-023</v>
      </c>
      <c r="B26" s="8" t="s">
        <v>200</v>
      </c>
      <c r="C26" s="8" t="s">
        <v>24</v>
      </c>
      <c r="D26" s="24"/>
      <c r="E26" s="8" t="s">
        <v>42</v>
      </c>
      <c r="F26" s="8" t="s">
        <v>90</v>
      </c>
      <c r="G26" s="9" t="s">
        <v>122</v>
      </c>
      <c r="H26" s="9" t="s">
        <v>201</v>
      </c>
      <c r="I26" s="8" t="s">
        <v>83</v>
      </c>
      <c r="J26" s="8" t="s">
        <v>31</v>
      </c>
      <c r="K26" s="9" t="s">
        <v>32</v>
      </c>
      <c r="L26" s="8" t="s">
        <v>134</v>
      </c>
      <c r="M26" s="8" t="s">
        <v>34</v>
      </c>
      <c r="N26" s="8" t="s">
        <v>35</v>
      </c>
      <c r="O26" s="10"/>
      <c r="P26" s="10"/>
      <c r="Q26" s="8" t="s">
        <v>202</v>
      </c>
      <c r="R26" s="10"/>
      <c r="S26" s="18">
        <v>46104.0</v>
      </c>
      <c r="T26" s="18">
        <v>46105.0</v>
      </c>
      <c r="U26" s="8" t="s">
        <v>85</v>
      </c>
      <c r="V26" s="13" t="s">
        <v>203</v>
      </c>
      <c r="W26" s="13" t="s">
        <v>148</v>
      </c>
      <c r="X26" s="13"/>
      <c r="Z26" s="13"/>
    </row>
    <row r="27" ht="21.75" customHeight="1">
      <c r="A27" s="25" t="str">
        <f>IF(B27="","","CAN-"&amp;TEXT(24,"000"))</f>
        <v>CAN-024</v>
      </c>
      <c r="B27" s="15" t="s">
        <v>204</v>
      </c>
      <c r="C27" s="15" t="s">
        <v>147</v>
      </c>
      <c r="D27" s="16">
        <v>9.152070753E9</v>
      </c>
      <c r="E27" s="15" t="s">
        <v>205</v>
      </c>
      <c r="F27" s="15" t="s">
        <v>120</v>
      </c>
      <c r="G27" s="16" t="s">
        <v>44</v>
      </c>
      <c r="H27" s="23"/>
      <c r="I27" s="15" t="s">
        <v>39</v>
      </c>
      <c r="J27" s="15" t="s">
        <v>206</v>
      </c>
      <c r="K27" s="16" t="s">
        <v>32</v>
      </c>
      <c r="L27" s="15" t="s">
        <v>207</v>
      </c>
      <c r="M27" s="15" t="s">
        <v>34</v>
      </c>
      <c r="N27" s="15" t="s">
        <v>48</v>
      </c>
      <c r="O27" s="17"/>
      <c r="P27" s="17"/>
      <c r="Q27" s="17"/>
      <c r="R27" s="22" t="s">
        <v>208</v>
      </c>
      <c r="S27" s="18">
        <v>46105.0</v>
      </c>
      <c r="T27" s="19"/>
      <c r="U27" s="15" t="s">
        <v>125</v>
      </c>
      <c r="V27" s="13" t="s">
        <v>209</v>
      </c>
      <c r="W27" s="13" t="s">
        <v>210</v>
      </c>
      <c r="X27" s="13"/>
      <c r="Z27" s="13"/>
    </row>
    <row r="28" ht="21.75" customHeight="1">
      <c r="A28" s="27" t="str">
        <f>IF(B28="","","CAN-"&amp;TEXT(25,"000"))</f>
        <v>CAN-025</v>
      </c>
      <c r="B28" s="8" t="s">
        <v>211</v>
      </c>
      <c r="C28" s="8" t="s">
        <v>147</v>
      </c>
      <c r="D28" s="9">
        <v>9.226378468E9</v>
      </c>
      <c r="E28" s="8" t="s">
        <v>191</v>
      </c>
      <c r="F28" s="8" t="s">
        <v>192</v>
      </c>
      <c r="G28" s="24"/>
      <c r="H28" s="24"/>
      <c r="I28" s="8" t="s">
        <v>39</v>
      </c>
      <c r="J28" s="8" t="s">
        <v>212</v>
      </c>
      <c r="K28" s="9" t="s">
        <v>92</v>
      </c>
      <c r="L28" s="8" t="s">
        <v>194</v>
      </c>
      <c r="M28" s="8" t="s">
        <v>195</v>
      </c>
      <c r="N28" s="8" t="s">
        <v>31</v>
      </c>
      <c r="O28" s="10"/>
      <c r="P28" s="10"/>
      <c r="Q28" s="10"/>
      <c r="R28" s="11" t="s">
        <v>213</v>
      </c>
      <c r="S28" s="26">
        <v>46105.0</v>
      </c>
      <c r="T28" s="21"/>
      <c r="U28" s="10"/>
      <c r="V28" s="13" t="s">
        <v>214</v>
      </c>
      <c r="W28" s="13" t="s">
        <v>215</v>
      </c>
      <c r="X28" s="13"/>
      <c r="Z28" s="13"/>
    </row>
    <row r="29" ht="21.75" customHeight="1">
      <c r="A29" s="25" t="str">
        <f>IF(B29="","","CAN-"&amp;TEXT(26,"000"))</f>
        <v>CAN-026</v>
      </c>
      <c r="B29" s="15" t="s">
        <v>216</v>
      </c>
      <c r="C29" s="15" t="s">
        <v>147</v>
      </c>
      <c r="D29" s="16">
        <v>9.930534577E9</v>
      </c>
      <c r="E29" s="15" t="s">
        <v>148</v>
      </c>
      <c r="F29" s="15" t="s">
        <v>217</v>
      </c>
      <c r="G29" s="16" t="s">
        <v>218</v>
      </c>
      <c r="H29" s="23"/>
      <c r="I29" s="15" t="s">
        <v>39</v>
      </c>
      <c r="J29" s="15" t="s">
        <v>219</v>
      </c>
      <c r="K29" s="16" t="s">
        <v>92</v>
      </c>
      <c r="L29" s="15" t="s">
        <v>220</v>
      </c>
      <c r="M29" s="15" t="s">
        <v>94</v>
      </c>
      <c r="N29" s="15" t="s">
        <v>35</v>
      </c>
      <c r="O29" s="17"/>
      <c r="P29" s="17"/>
      <c r="Q29" s="17"/>
      <c r="R29" s="22" t="s">
        <v>221</v>
      </c>
      <c r="S29" s="18">
        <v>46105.0</v>
      </c>
      <c r="T29" s="19"/>
      <c r="U29" s="17"/>
      <c r="V29" s="13" t="s">
        <v>222</v>
      </c>
      <c r="W29" s="13" t="s">
        <v>223</v>
      </c>
      <c r="X29" s="13"/>
      <c r="Z29" s="13"/>
    </row>
    <row r="30" ht="21.75" customHeight="1">
      <c r="A30" s="27" t="str">
        <f>IF(B30="","","CAN-"&amp;TEXT(27,"000"))</f>
        <v>CAN-027</v>
      </c>
      <c r="B30" s="8" t="s">
        <v>224</v>
      </c>
      <c r="C30" s="8" t="s">
        <v>147</v>
      </c>
      <c r="D30" s="9">
        <v>8.794512436E9</v>
      </c>
      <c r="E30" s="8" t="s">
        <v>225</v>
      </c>
      <c r="F30" s="8" t="s">
        <v>225</v>
      </c>
      <c r="G30" s="9" t="s">
        <v>226</v>
      </c>
      <c r="H30" s="24"/>
      <c r="I30" s="8" t="s">
        <v>39</v>
      </c>
      <c r="J30" s="10"/>
      <c r="K30" s="9" t="s">
        <v>92</v>
      </c>
      <c r="L30" s="8" t="s">
        <v>207</v>
      </c>
      <c r="M30" s="8" t="s">
        <v>34</v>
      </c>
      <c r="N30" s="8" t="s">
        <v>35</v>
      </c>
      <c r="O30" s="10"/>
      <c r="P30" s="10"/>
      <c r="Q30" s="10"/>
      <c r="R30" s="11" t="s">
        <v>227</v>
      </c>
      <c r="S30" s="26">
        <v>46105.0</v>
      </c>
      <c r="T30" s="21"/>
      <c r="U30" s="8" t="s">
        <v>125</v>
      </c>
      <c r="V30" s="13" t="s">
        <v>228</v>
      </c>
      <c r="W30" s="13" t="s">
        <v>229</v>
      </c>
      <c r="X30" s="13"/>
      <c r="Z30" s="13"/>
    </row>
    <row r="31" ht="21.75" customHeight="1">
      <c r="A31" s="25" t="str">
        <f>IF(B31="","","CAN-"&amp;TEXT(28,"000"))</f>
        <v>CAN-028</v>
      </c>
      <c r="B31" s="28" t="s">
        <v>230</v>
      </c>
      <c r="C31" s="15" t="s">
        <v>147</v>
      </c>
      <c r="D31" s="29">
        <v>6.20046725E9</v>
      </c>
      <c r="E31" s="15" t="s">
        <v>42</v>
      </c>
      <c r="F31" s="15" t="s">
        <v>42</v>
      </c>
      <c r="G31" s="16" t="s">
        <v>122</v>
      </c>
      <c r="H31" s="23"/>
      <c r="I31" s="15" t="s">
        <v>31</v>
      </c>
      <c r="J31" s="15"/>
      <c r="K31" s="16" t="s">
        <v>32</v>
      </c>
      <c r="L31" s="15" t="s">
        <v>220</v>
      </c>
      <c r="M31" s="15" t="s">
        <v>34</v>
      </c>
      <c r="N31" s="15" t="s">
        <v>87</v>
      </c>
      <c r="O31" s="17"/>
      <c r="P31" s="17"/>
      <c r="Q31" s="15" t="s">
        <v>231</v>
      </c>
      <c r="R31" s="22" t="s">
        <v>232</v>
      </c>
      <c r="S31" s="18">
        <v>46105.0</v>
      </c>
      <c r="T31" s="19"/>
      <c r="U31" s="15" t="s">
        <v>182</v>
      </c>
      <c r="V31" s="13" t="s">
        <v>233</v>
      </c>
      <c r="W31" s="13" t="s">
        <v>234</v>
      </c>
      <c r="X31" s="13"/>
      <c r="Z31" s="13"/>
    </row>
    <row r="32" ht="21.75" customHeight="1">
      <c r="A32" s="27" t="str">
        <f>IF(B32="","","CAN-"&amp;TEXT(29,"000"))</f>
        <v>CAN-029</v>
      </c>
      <c r="B32" s="8" t="s">
        <v>235</v>
      </c>
      <c r="C32" s="8" t="s">
        <v>147</v>
      </c>
      <c r="D32" s="9">
        <v>9.14978785E9</v>
      </c>
      <c r="E32" s="8" t="s">
        <v>120</v>
      </c>
      <c r="F32" s="8" t="s">
        <v>236</v>
      </c>
      <c r="G32" s="9" t="s">
        <v>43</v>
      </c>
      <c r="H32" s="24"/>
      <c r="I32" s="8" t="s">
        <v>30</v>
      </c>
      <c r="J32" s="10"/>
      <c r="K32" s="9" t="s">
        <v>32</v>
      </c>
      <c r="L32" s="8" t="s">
        <v>61</v>
      </c>
      <c r="M32" s="8" t="s">
        <v>34</v>
      </c>
      <c r="N32" s="8" t="s">
        <v>48</v>
      </c>
      <c r="O32" s="10"/>
      <c r="P32" s="10"/>
      <c r="Q32" s="10"/>
      <c r="R32" s="11" t="s">
        <v>237</v>
      </c>
      <c r="S32" s="26">
        <v>46105.0</v>
      </c>
      <c r="T32" s="21"/>
      <c r="U32" s="8" t="s">
        <v>182</v>
      </c>
      <c r="V32" s="13" t="s">
        <v>238</v>
      </c>
      <c r="W32" s="13" t="s">
        <v>239</v>
      </c>
      <c r="X32" s="13"/>
      <c r="Z32" s="13"/>
    </row>
    <row r="33" ht="21.75" customHeight="1">
      <c r="A33" s="25" t="str">
        <f>IF(B33="","","CAN-"&amp;TEXT(30,"000"))</f>
        <v>CAN-030</v>
      </c>
      <c r="B33" s="15" t="s">
        <v>240</v>
      </c>
      <c r="C33" s="15" t="s">
        <v>147</v>
      </c>
      <c r="D33" s="16">
        <v>8.689885539E9</v>
      </c>
      <c r="E33" s="15" t="s">
        <v>241</v>
      </c>
      <c r="F33" s="15" t="s">
        <v>242</v>
      </c>
      <c r="G33" s="16" t="s">
        <v>243</v>
      </c>
      <c r="H33" s="23"/>
      <c r="I33" s="15" t="s">
        <v>39</v>
      </c>
      <c r="J33" s="17"/>
      <c r="K33" s="16" t="s">
        <v>32</v>
      </c>
      <c r="L33" s="15" t="s">
        <v>220</v>
      </c>
      <c r="M33" s="15" t="s">
        <v>34</v>
      </c>
      <c r="N33" s="15" t="s">
        <v>45</v>
      </c>
      <c r="O33" s="17"/>
      <c r="P33" s="15" t="s">
        <v>244</v>
      </c>
      <c r="Q33" s="17"/>
      <c r="R33" s="22" t="s">
        <v>245</v>
      </c>
      <c r="S33" s="18">
        <v>46105.0</v>
      </c>
      <c r="T33" s="19"/>
      <c r="U33" s="15" t="s">
        <v>246</v>
      </c>
      <c r="V33" s="13" t="s">
        <v>247</v>
      </c>
      <c r="W33" s="13" t="s">
        <v>248</v>
      </c>
      <c r="X33" s="13"/>
      <c r="Z33" s="13"/>
    </row>
    <row r="34" ht="21.75" customHeight="1">
      <c r="A34" s="27" t="str">
        <f>IF(B34="","","CAN-"&amp;TEXT(31,"000"))</f>
        <v>CAN-031</v>
      </c>
      <c r="B34" s="8" t="s">
        <v>249</v>
      </c>
      <c r="C34" s="8" t="s">
        <v>147</v>
      </c>
      <c r="D34" s="9">
        <v>8.291034856E9</v>
      </c>
      <c r="E34" s="8" t="s">
        <v>191</v>
      </c>
      <c r="F34" s="8" t="s">
        <v>192</v>
      </c>
      <c r="G34" s="9" t="s">
        <v>43</v>
      </c>
      <c r="H34" s="24"/>
      <c r="I34" s="8" t="s">
        <v>39</v>
      </c>
      <c r="J34" s="8" t="s">
        <v>250</v>
      </c>
      <c r="K34" s="9" t="s">
        <v>92</v>
      </c>
      <c r="L34" s="8" t="s">
        <v>194</v>
      </c>
      <c r="M34" s="8" t="s">
        <v>34</v>
      </c>
      <c r="N34" s="8" t="s">
        <v>31</v>
      </c>
      <c r="O34" s="10"/>
      <c r="P34" s="10"/>
      <c r="Q34" s="10"/>
      <c r="R34" s="11" t="s">
        <v>251</v>
      </c>
      <c r="S34" s="26">
        <v>46105.0</v>
      </c>
      <c r="T34" s="21"/>
      <c r="U34" s="8" t="s">
        <v>252</v>
      </c>
      <c r="V34" s="13" t="s">
        <v>97</v>
      </c>
      <c r="W34" s="13" t="s">
        <v>253</v>
      </c>
      <c r="X34" s="13"/>
      <c r="Z34" s="13"/>
    </row>
    <row r="35" ht="21.75" customHeight="1">
      <c r="A35" s="25" t="str">
        <f>IF(B35="","","CAN-"&amp;TEXT(32,"000"))</f>
        <v>CAN-032</v>
      </c>
      <c r="B35" s="15" t="s">
        <v>254</v>
      </c>
      <c r="C35" s="15" t="s">
        <v>184</v>
      </c>
      <c r="D35" s="16" t="s">
        <v>255</v>
      </c>
      <c r="E35" s="15" t="s">
        <v>42</v>
      </c>
      <c r="F35" s="15" t="s">
        <v>42</v>
      </c>
      <c r="G35" s="16" t="s">
        <v>43</v>
      </c>
      <c r="H35" s="16" t="s">
        <v>44</v>
      </c>
      <c r="I35" s="15" t="s">
        <v>118</v>
      </c>
      <c r="J35" s="17"/>
      <c r="K35" s="16" t="s">
        <v>32</v>
      </c>
      <c r="L35" s="15" t="s">
        <v>33</v>
      </c>
      <c r="M35" s="15" t="s">
        <v>34</v>
      </c>
      <c r="N35" s="15" t="s">
        <v>45</v>
      </c>
      <c r="O35" s="17"/>
      <c r="P35" s="17"/>
      <c r="Q35" s="17"/>
      <c r="R35" s="22" t="s">
        <v>256</v>
      </c>
      <c r="S35" s="18">
        <v>46106.0</v>
      </c>
      <c r="T35" s="19"/>
      <c r="U35" s="17"/>
      <c r="V35" s="13" t="s">
        <v>257</v>
      </c>
      <c r="W35" s="13" t="s">
        <v>258</v>
      </c>
      <c r="X35" s="13"/>
      <c r="Z35" s="13"/>
    </row>
    <row r="36" ht="21.75" customHeight="1">
      <c r="A36" s="27" t="str">
        <f>IF(B36="","","CAN-"&amp;TEXT(33,"000"))</f>
        <v>CAN-033</v>
      </c>
      <c r="B36" s="8" t="s">
        <v>259</v>
      </c>
      <c r="C36" s="8" t="s">
        <v>89</v>
      </c>
      <c r="D36" s="9">
        <v>8.879194006E9</v>
      </c>
      <c r="E36" s="8" t="s">
        <v>260</v>
      </c>
      <c r="F36" s="10"/>
      <c r="G36" s="9" t="s">
        <v>201</v>
      </c>
      <c r="H36" s="9" t="s">
        <v>261</v>
      </c>
      <c r="I36" s="8" t="s">
        <v>39</v>
      </c>
      <c r="J36" s="8" t="s">
        <v>262</v>
      </c>
      <c r="K36" s="9" t="s">
        <v>32</v>
      </c>
      <c r="L36" s="8" t="s">
        <v>61</v>
      </c>
      <c r="M36" s="8" t="s">
        <v>34</v>
      </c>
      <c r="N36" s="8" t="s">
        <v>45</v>
      </c>
      <c r="O36" s="10"/>
      <c r="P36" s="10"/>
      <c r="Q36" s="8"/>
      <c r="R36" s="11" t="s">
        <v>263</v>
      </c>
      <c r="S36" s="20">
        <v>46106.0</v>
      </c>
      <c r="T36" s="21"/>
      <c r="U36" s="8" t="s">
        <v>104</v>
      </c>
      <c r="V36" s="13" t="s">
        <v>264</v>
      </c>
      <c r="W36" s="13" t="s">
        <v>265</v>
      </c>
      <c r="X36" s="13"/>
      <c r="Z36" s="13"/>
    </row>
    <row r="37" ht="21.75" customHeight="1">
      <c r="A37" s="25" t="str">
        <f>IF(B37="","","CAN-"&amp;TEXT(34,"000"))</f>
        <v>CAN-034</v>
      </c>
      <c r="B37" s="15" t="s">
        <v>266</v>
      </c>
      <c r="C37" s="15" t="s">
        <v>24</v>
      </c>
      <c r="D37" s="30">
        <v>7.709783625E9</v>
      </c>
      <c r="E37" s="15" t="s">
        <v>50</v>
      </c>
      <c r="F37" s="15" t="s">
        <v>90</v>
      </c>
      <c r="G37" s="16" t="s">
        <v>267</v>
      </c>
      <c r="H37" s="16" t="s">
        <v>121</v>
      </c>
      <c r="I37" s="15" t="s">
        <v>39</v>
      </c>
      <c r="J37" s="15" t="s">
        <v>268</v>
      </c>
      <c r="K37" s="16" t="s">
        <v>32</v>
      </c>
      <c r="L37" s="15" t="s">
        <v>134</v>
      </c>
      <c r="M37" s="15" t="s">
        <v>34</v>
      </c>
      <c r="N37" s="15" t="s">
        <v>35</v>
      </c>
      <c r="O37" s="17"/>
      <c r="P37" s="17"/>
      <c r="Q37" s="17"/>
      <c r="R37" s="17"/>
      <c r="S37" s="20">
        <v>46106.0</v>
      </c>
      <c r="T37" s="20">
        <v>46108.0</v>
      </c>
      <c r="U37" s="15" t="s">
        <v>222</v>
      </c>
      <c r="V37" s="13" t="s">
        <v>104</v>
      </c>
      <c r="W37" s="13" t="s">
        <v>269</v>
      </c>
      <c r="X37" s="13"/>
      <c r="Z37" s="13"/>
    </row>
    <row r="38" ht="21.75" customHeight="1">
      <c r="A38" s="27" t="str">
        <f>IF(B38="","","CAN-"&amp;TEXT(35,"000"))</f>
        <v>CAN-035</v>
      </c>
      <c r="B38" s="8" t="s">
        <v>270</v>
      </c>
      <c r="C38" s="8" t="s">
        <v>184</v>
      </c>
      <c r="D38" s="9" t="s">
        <v>271</v>
      </c>
      <c r="E38" s="8" t="s">
        <v>272</v>
      </c>
      <c r="F38" s="8" t="s">
        <v>90</v>
      </c>
      <c r="G38" s="9" t="s">
        <v>122</v>
      </c>
      <c r="H38" s="9" t="s">
        <v>44</v>
      </c>
      <c r="I38" s="8" t="s">
        <v>30</v>
      </c>
      <c r="J38" s="10"/>
      <c r="K38" s="9" t="s">
        <v>32</v>
      </c>
      <c r="L38" s="8" t="s">
        <v>61</v>
      </c>
      <c r="M38" s="8" t="s">
        <v>72</v>
      </c>
      <c r="N38" s="8" t="s">
        <v>45</v>
      </c>
      <c r="O38" s="10"/>
      <c r="P38" s="10"/>
      <c r="Q38" s="10"/>
      <c r="R38" s="11" t="s">
        <v>273</v>
      </c>
      <c r="S38" s="21"/>
      <c r="T38" s="21"/>
      <c r="U38" s="10"/>
      <c r="V38" s="13" t="s">
        <v>274</v>
      </c>
      <c r="W38" s="13" t="s">
        <v>275</v>
      </c>
      <c r="X38" s="13"/>
      <c r="Z38" s="13"/>
    </row>
    <row r="39" ht="21.75" customHeight="1">
      <c r="A39" s="25" t="str">
        <f>IF(B39="","","CAN-"&amp;TEXT(36,"000"))</f>
        <v>CAN-036</v>
      </c>
      <c r="B39" s="15" t="s">
        <v>276</v>
      </c>
      <c r="C39" s="15" t="s">
        <v>24</v>
      </c>
      <c r="D39" s="16" t="s">
        <v>277</v>
      </c>
      <c r="E39" s="15" t="s">
        <v>275</v>
      </c>
      <c r="F39" s="15" t="s">
        <v>108</v>
      </c>
      <c r="G39" s="16" t="s">
        <v>278</v>
      </c>
      <c r="H39" s="16" t="s">
        <v>279</v>
      </c>
      <c r="I39" s="15" t="s">
        <v>30</v>
      </c>
      <c r="J39" s="15" t="s">
        <v>31</v>
      </c>
      <c r="K39" s="16" t="s">
        <v>32</v>
      </c>
      <c r="L39" s="15" t="s">
        <v>134</v>
      </c>
      <c r="M39" s="15" t="s">
        <v>34</v>
      </c>
      <c r="N39" s="15" t="s">
        <v>35</v>
      </c>
      <c r="O39" s="17"/>
      <c r="P39" s="17"/>
      <c r="Q39" s="17"/>
      <c r="R39" s="17"/>
      <c r="S39" s="20">
        <v>46106.0</v>
      </c>
      <c r="T39" s="20">
        <v>46108.0</v>
      </c>
      <c r="U39" s="15" t="s">
        <v>280</v>
      </c>
      <c r="V39" s="13" t="s">
        <v>281</v>
      </c>
      <c r="W39" s="13" t="s">
        <v>179</v>
      </c>
      <c r="X39" s="13"/>
      <c r="Z39" s="13"/>
    </row>
    <row r="40" ht="21.75" customHeight="1">
      <c r="A40" s="27" t="str">
        <f>IF(B40="","","CAN-"&amp;TEXT(37,"000"))</f>
        <v>CAN-037</v>
      </c>
      <c r="B40" s="8" t="s">
        <v>282</v>
      </c>
      <c r="C40" s="8" t="s">
        <v>89</v>
      </c>
      <c r="D40" s="9">
        <v>9.819862357E9</v>
      </c>
      <c r="E40" s="8" t="s">
        <v>166</v>
      </c>
      <c r="F40" s="8" t="s">
        <v>90</v>
      </c>
      <c r="G40" s="9" t="s">
        <v>44</v>
      </c>
      <c r="H40" s="9" t="s">
        <v>132</v>
      </c>
      <c r="I40" s="8" t="s">
        <v>64</v>
      </c>
      <c r="J40" s="8" t="s">
        <v>83</v>
      </c>
      <c r="K40" s="9" t="s">
        <v>32</v>
      </c>
      <c r="L40" s="8" t="s">
        <v>61</v>
      </c>
      <c r="M40" s="8" t="s">
        <v>34</v>
      </c>
      <c r="N40" s="8" t="s">
        <v>48</v>
      </c>
      <c r="O40" s="10"/>
      <c r="P40" s="10"/>
      <c r="Q40" s="10"/>
      <c r="R40" s="11" t="s">
        <v>283</v>
      </c>
      <c r="S40" s="20">
        <v>46106.0</v>
      </c>
      <c r="T40" s="20">
        <v>46107.0</v>
      </c>
      <c r="U40" s="8" t="s">
        <v>104</v>
      </c>
      <c r="V40" s="13" t="s">
        <v>284</v>
      </c>
      <c r="W40" s="13" t="s">
        <v>285</v>
      </c>
      <c r="X40" s="13"/>
      <c r="Z40" s="13"/>
    </row>
    <row r="41" ht="21.75" customHeight="1">
      <c r="A41" s="25" t="str">
        <f>IF(B41="","","CAN-"&amp;TEXT(38,"000"))</f>
        <v>CAN-038</v>
      </c>
      <c r="B41" s="15" t="s">
        <v>286</v>
      </c>
      <c r="C41" s="15" t="s">
        <v>184</v>
      </c>
      <c r="D41" s="16" t="s">
        <v>287</v>
      </c>
      <c r="E41" s="15" t="s">
        <v>210</v>
      </c>
      <c r="F41" s="15" t="s">
        <v>108</v>
      </c>
      <c r="G41" s="16" t="s">
        <v>43</v>
      </c>
      <c r="H41" s="16" t="s">
        <v>44</v>
      </c>
      <c r="I41" s="15" t="s">
        <v>39</v>
      </c>
      <c r="J41" s="15" t="s">
        <v>288</v>
      </c>
      <c r="K41" s="16" t="s">
        <v>32</v>
      </c>
      <c r="L41" s="15" t="s">
        <v>33</v>
      </c>
      <c r="M41" s="15" t="s">
        <v>34</v>
      </c>
      <c r="N41" s="15" t="s">
        <v>48</v>
      </c>
      <c r="O41" s="17"/>
      <c r="P41" s="17"/>
      <c r="Q41" s="17"/>
      <c r="R41" s="22" t="s">
        <v>289</v>
      </c>
      <c r="S41" s="19"/>
      <c r="T41" s="19"/>
      <c r="U41" s="17"/>
      <c r="V41" s="13" t="s">
        <v>171</v>
      </c>
      <c r="W41" s="13" t="s">
        <v>290</v>
      </c>
      <c r="X41" s="13"/>
      <c r="Z41" s="13"/>
    </row>
    <row r="42" ht="21.75" customHeight="1">
      <c r="A42" s="27" t="str">
        <f>IF(B42="","","CAN-"&amp;TEXT(39,"000"))</f>
        <v>CAN-039</v>
      </c>
      <c r="B42" s="8" t="s">
        <v>291</v>
      </c>
      <c r="C42" s="8" t="s">
        <v>184</v>
      </c>
      <c r="D42" s="9" t="s">
        <v>292</v>
      </c>
      <c r="E42" s="8" t="s">
        <v>115</v>
      </c>
      <c r="F42" s="8" t="s">
        <v>90</v>
      </c>
      <c r="G42" s="9" t="s">
        <v>43</v>
      </c>
      <c r="H42" s="9" t="s">
        <v>44</v>
      </c>
      <c r="I42" s="8" t="s">
        <v>39</v>
      </c>
      <c r="J42" s="8" t="s">
        <v>293</v>
      </c>
      <c r="K42" s="9" t="s">
        <v>92</v>
      </c>
      <c r="L42" s="8" t="s">
        <v>61</v>
      </c>
      <c r="M42" s="8" t="s">
        <v>34</v>
      </c>
      <c r="N42" s="8" t="s">
        <v>45</v>
      </c>
      <c r="O42" s="10"/>
      <c r="P42" s="10"/>
      <c r="Q42" s="10"/>
      <c r="R42" s="11" t="s">
        <v>294</v>
      </c>
      <c r="S42" s="21"/>
      <c r="T42" s="21"/>
      <c r="U42" s="10"/>
      <c r="V42" s="13" t="s">
        <v>295</v>
      </c>
      <c r="W42" s="13" t="s">
        <v>296</v>
      </c>
      <c r="X42" s="13"/>
      <c r="Z42" s="13"/>
    </row>
    <row r="43" ht="21.75" customHeight="1">
      <c r="A43" s="27" t="str">
        <f>IF(B43="","","CAN-"&amp;TEXT(40,"000"))</f>
        <v>CAN-040</v>
      </c>
      <c r="B43" s="15" t="s">
        <v>297</v>
      </c>
      <c r="C43" s="15" t="s">
        <v>89</v>
      </c>
      <c r="D43" s="30" t="s">
        <v>298</v>
      </c>
      <c r="E43" s="15" t="s">
        <v>299</v>
      </c>
      <c r="F43" s="15" t="s">
        <v>108</v>
      </c>
      <c r="G43" s="16" t="s">
        <v>143</v>
      </c>
      <c r="H43" s="16" t="s">
        <v>29</v>
      </c>
      <c r="I43" s="15" t="s">
        <v>83</v>
      </c>
      <c r="J43" s="15" t="s">
        <v>31</v>
      </c>
      <c r="K43" s="16" t="s">
        <v>32</v>
      </c>
      <c r="L43" s="15" t="s">
        <v>134</v>
      </c>
      <c r="M43" s="15" t="s">
        <v>72</v>
      </c>
      <c r="N43" s="15" t="s">
        <v>35</v>
      </c>
      <c r="O43" s="17"/>
      <c r="P43" s="17"/>
      <c r="Q43" s="17"/>
      <c r="R43" s="17"/>
      <c r="S43" s="18">
        <v>46106.0</v>
      </c>
      <c r="T43" s="18">
        <v>46109.0</v>
      </c>
      <c r="U43" s="17"/>
      <c r="V43" s="13" t="s">
        <v>300</v>
      </c>
      <c r="W43" s="13" t="s">
        <v>301</v>
      </c>
      <c r="X43" s="13"/>
      <c r="Z43" s="13"/>
    </row>
    <row r="44" ht="21.75" customHeight="1">
      <c r="A44" s="27" t="str">
        <f>IF(B44="","","CAN-"&amp;TEXT(41,"000"))</f>
        <v>CAN-041</v>
      </c>
      <c r="B44" s="8" t="s">
        <v>302</v>
      </c>
      <c r="C44" s="8" t="s">
        <v>184</v>
      </c>
      <c r="D44" s="9" t="s">
        <v>303</v>
      </c>
      <c r="E44" s="8" t="s">
        <v>42</v>
      </c>
      <c r="F44" s="8" t="s">
        <v>90</v>
      </c>
      <c r="G44" s="9" t="s">
        <v>43</v>
      </c>
      <c r="H44" s="9" t="s">
        <v>44</v>
      </c>
      <c r="I44" s="8" t="s">
        <v>39</v>
      </c>
      <c r="J44" s="8" t="s">
        <v>304</v>
      </c>
      <c r="K44" s="9" t="s">
        <v>32</v>
      </c>
      <c r="L44" s="8" t="s">
        <v>61</v>
      </c>
      <c r="M44" s="8" t="s">
        <v>72</v>
      </c>
      <c r="N44" s="8" t="s">
        <v>45</v>
      </c>
      <c r="O44" s="10"/>
      <c r="P44" s="10"/>
      <c r="Q44" s="10"/>
      <c r="R44" s="11" t="s">
        <v>305</v>
      </c>
      <c r="S44" s="20">
        <v>46106.0</v>
      </c>
      <c r="T44" s="21"/>
      <c r="U44" s="10"/>
      <c r="V44" s="13" t="s">
        <v>306</v>
      </c>
      <c r="W44" s="13" t="s">
        <v>307</v>
      </c>
      <c r="X44" s="13"/>
      <c r="Z44" s="13"/>
    </row>
    <row r="45" ht="21.75" customHeight="1">
      <c r="A45" s="25" t="str">
        <f>IF(B45="","","CAN-"&amp;TEXT(42,"000"))</f>
        <v>CAN-042</v>
      </c>
      <c r="B45" s="15" t="s">
        <v>308</v>
      </c>
      <c r="C45" s="15" t="s">
        <v>184</v>
      </c>
      <c r="D45" s="16" t="s">
        <v>309</v>
      </c>
      <c r="E45" s="15" t="s">
        <v>310</v>
      </c>
      <c r="F45" s="15" t="s">
        <v>101</v>
      </c>
      <c r="G45" s="16" t="s">
        <v>122</v>
      </c>
      <c r="H45" s="16" t="s">
        <v>44</v>
      </c>
      <c r="I45" s="15" t="s">
        <v>39</v>
      </c>
      <c r="J45" s="15" t="s">
        <v>311</v>
      </c>
      <c r="K45" s="16" t="s">
        <v>32</v>
      </c>
      <c r="L45" s="15" t="s">
        <v>61</v>
      </c>
      <c r="M45" s="15" t="s">
        <v>34</v>
      </c>
      <c r="N45" s="15" t="s">
        <v>45</v>
      </c>
      <c r="O45" s="17"/>
      <c r="P45" s="17"/>
      <c r="Q45" s="17"/>
      <c r="R45" s="22" t="s">
        <v>312</v>
      </c>
      <c r="S45" s="19"/>
      <c r="T45" s="19"/>
      <c r="U45" s="17"/>
      <c r="V45" s="13" t="s">
        <v>85</v>
      </c>
      <c r="W45" s="13" t="s">
        <v>313</v>
      </c>
      <c r="X45" s="13"/>
      <c r="Z45" s="13"/>
    </row>
    <row r="46" ht="21.75" customHeight="1">
      <c r="A46" s="27" t="str">
        <f>IF(B46="","","CAN-"&amp;TEXT(43,"000"))</f>
        <v>CAN-043</v>
      </c>
      <c r="B46" s="8" t="s">
        <v>314</v>
      </c>
      <c r="C46" s="8" t="s">
        <v>184</v>
      </c>
      <c r="D46" s="9" t="s">
        <v>315</v>
      </c>
      <c r="E46" s="8" t="s">
        <v>248</v>
      </c>
      <c r="F46" s="8" t="s">
        <v>108</v>
      </c>
      <c r="G46" s="9" t="s">
        <v>44</v>
      </c>
      <c r="H46" s="9" t="s">
        <v>102</v>
      </c>
      <c r="I46" s="8" t="s">
        <v>39</v>
      </c>
      <c r="J46" s="8" t="s">
        <v>311</v>
      </c>
      <c r="K46" s="9" t="s">
        <v>32</v>
      </c>
      <c r="L46" s="8" t="s">
        <v>220</v>
      </c>
      <c r="M46" s="8" t="s">
        <v>72</v>
      </c>
      <c r="N46" s="8" t="s">
        <v>45</v>
      </c>
      <c r="O46" s="10"/>
      <c r="P46" s="10"/>
      <c r="Q46" s="10"/>
      <c r="R46" s="11" t="s">
        <v>316</v>
      </c>
      <c r="S46" s="21"/>
      <c r="T46" s="21"/>
      <c r="U46" s="10"/>
      <c r="V46" s="13" t="s">
        <v>317</v>
      </c>
      <c r="W46" s="13" t="s">
        <v>115</v>
      </c>
      <c r="X46" s="13"/>
      <c r="Z46" s="13"/>
    </row>
    <row r="47" ht="21.75" customHeight="1">
      <c r="A47" s="25" t="str">
        <f>IF(B47="","","CAN-"&amp;TEXT(44,"000"))</f>
        <v>CAN-044</v>
      </c>
      <c r="B47" s="15" t="s">
        <v>318</v>
      </c>
      <c r="C47" s="15" t="s">
        <v>147</v>
      </c>
      <c r="D47" s="16">
        <v>7.667651509E9</v>
      </c>
      <c r="E47" s="15" t="s">
        <v>42</v>
      </c>
      <c r="F47" s="15" t="s">
        <v>90</v>
      </c>
      <c r="G47" s="16" t="s">
        <v>132</v>
      </c>
      <c r="H47" s="23"/>
      <c r="I47" s="15" t="s">
        <v>31</v>
      </c>
      <c r="J47" s="17"/>
      <c r="K47" s="16" t="s">
        <v>32</v>
      </c>
      <c r="L47" s="15" t="s">
        <v>207</v>
      </c>
      <c r="M47" s="15" t="s">
        <v>34</v>
      </c>
      <c r="N47" s="15" t="s">
        <v>48</v>
      </c>
      <c r="O47" s="17"/>
      <c r="P47" s="17"/>
      <c r="Q47" s="17"/>
      <c r="R47" s="22" t="s">
        <v>319</v>
      </c>
      <c r="S47" s="18">
        <v>46106.0</v>
      </c>
      <c r="T47" s="19"/>
      <c r="U47" s="15" t="s">
        <v>104</v>
      </c>
      <c r="V47" s="13" t="s">
        <v>320</v>
      </c>
      <c r="W47" s="13" t="s">
        <v>321</v>
      </c>
      <c r="X47" s="13"/>
      <c r="Z47" s="13"/>
    </row>
    <row r="48" ht="21.75" customHeight="1">
      <c r="A48" s="27" t="str">
        <f>IF(B48="","","CAN-"&amp;TEXT(45,"000"))</f>
        <v>CAN-045</v>
      </c>
      <c r="B48" s="8" t="s">
        <v>322</v>
      </c>
      <c r="C48" s="8" t="s">
        <v>41</v>
      </c>
      <c r="D48" s="9">
        <v>9.372011204E9</v>
      </c>
      <c r="E48" s="8" t="s">
        <v>205</v>
      </c>
      <c r="F48" s="8" t="s">
        <v>90</v>
      </c>
      <c r="G48" s="9" t="s">
        <v>323</v>
      </c>
      <c r="H48" s="9" t="s">
        <v>324</v>
      </c>
      <c r="I48" s="8" t="s">
        <v>39</v>
      </c>
      <c r="J48" s="8" t="s">
        <v>325</v>
      </c>
      <c r="K48" s="9" t="s">
        <v>32</v>
      </c>
      <c r="L48" s="8" t="s">
        <v>220</v>
      </c>
      <c r="M48" s="8" t="s">
        <v>34</v>
      </c>
      <c r="N48" s="8" t="s">
        <v>45</v>
      </c>
      <c r="O48" s="10"/>
      <c r="P48" s="10"/>
      <c r="Q48" s="10"/>
      <c r="R48" s="11" t="s">
        <v>326</v>
      </c>
      <c r="S48" s="20">
        <v>46106.0</v>
      </c>
      <c r="T48" s="20">
        <v>46107.0</v>
      </c>
      <c r="U48" s="8" t="s">
        <v>125</v>
      </c>
      <c r="V48" s="13" t="s">
        <v>327</v>
      </c>
      <c r="W48" s="13" t="s">
        <v>26</v>
      </c>
      <c r="X48" s="13"/>
      <c r="Z48" s="13"/>
    </row>
    <row r="49" ht="21.75" customHeight="1">
      <c r="A49" s="25" t="str">
        <f>IF(B49="","","CAN-"&amp;TEXT(46,"000"))</f>
        <v>CAN-046</v>
      </c>
      <c r="B49" s="15" t="s">
        <v>328</v>
      </c>
      <c r="C49" s="15" t="s">
        <v>41</v>
      </c>
      <c r="D49" s="16">
        <v>8.76706974E9</v>
      </c>
      <c r="E49" s="15" t="s">
        <v>120</v>
      </c>
      <c r="F49" s="15" t="s">
        <v>90</v>
      </c>
      <c r="G49" s="16" t="s">
        <v>168</v>
      </c>
      <c r="H49" s="16" t="s">
        <v>102</v>
      </c>
      <c r="I49" s="15" t="s">
        <v>39</v>
      </c>
      <c r="J49" s="15" t="s">
        <v>325</v>
      </c>
      <c r="K49" s="16" t="s">
        <v>32</v>
      </c>
      <c r="L49" s="15" t="s">
        <v>93</v>
      </c>
      <c r="M49" s="15" t="s">
        <v>34</v>
      </c>
      <c r="N49" s="15" t="s">
        <v>45</v>
      </c>
      <c r="O49" s="17"/>
      <c r="P49" s="17"/>
      <c r="Q49" s="17"/>
      <c r="R49" s="22" t="s">
        <v>329</v>
      </c>
      <c r="S49" s="18">
        <v>46106.0</v>
      </c>
      <c r="T49" s="18">
        <v>46107.0</v>
      </c>
      <c r="U49" s="15" t="s">
        <v>125</v>
      </c>
      <c r="V49" s="13" t="s">
        <v>330</v>
      </c>
      <c r="W49" s="13" t="s">
        <v>331</v>
      </c>
      <c r="X49" s="13"/>
      <c r="Z49" s="13"/>
    </row>
    <row r="50" ht="21.75" customHeight="1">
      <c r="A50" s="27" t="str">
        <f>IF(B50="","","CAN-"&amp;TEXT(47,"000"))</f>
        <v>CAN-047</v>
      </c>
      <c r="B50" s="8" t="s">
        <v>332</v>
      </c>
      <c r="C50" s="8" t="s">
        <v>41</v>
      </c>
      <c r="D50" s="24"/>
      <c r="E50" s="10"/>
      <c r="F50" s="10"/>
      <c r="G50" s="24"/>
      <c r="H50" s="24"/>
      <c r="I50" s="10"/>
      <c r="J50" s="10"/>
      <c r="K50" s="24"/>
      <c r="L50" s="10"/>
      <c r="M50" s="10"/>
      <c r="N50" s="10"/>
      <c r="O50" s="10"/>
      <c r="P50" s="10"/>
      <c r="Q50" s="10"/>
      <c r="R50" s="10"/>
      <c r="S50" s="21"/>
      <c r="T50" s="21"/>
      <c r="U50" s="10"/>
      <c r="V50" s="13" t="s">
        <v>333</v>
      </c>
      <c r="W50" s="13" t="s">
        <v>334</v>
      </c>
      <c r="X50" s="13"/>
      <c r="Z50" s="13"/>
    </row>
    <row r="51" ht="21.75" customHeight="1">
      <c r="A51" s="25" t="str">
        <f>IF(B51="","","CAN-"&amp;TEXT(48,"000"))</f>
        <v>CAN-048</v>
      </c>
      <c r="B51" s="15" t="s">
        <v>335</v>
      </c>
      <c r="C51" s="15" t="s">
        <v>89</v>
      </c>
      <c r="D51" s="16">
        <v>9.047780946E9</v>
      </c>
      <c r="E51" s="15" t="s">
        <v>42</v>
      </c>
      <c r="F51" s="15" t="s">
        <v>90</v>
      </c>
      <c r="G51" s="16" t="s">
        <v>336</v>
      </c>
      <c r="H51" s="16" t="s">
        <v>132</v>
      </c>
      <c r="I51" s="15" t="s">
        <v>64</v>
      </c>
      <c r="J51" s="15" t="s">
        <v>337</v>
      </c>
      <c r="K51" s="16" t="s">
        <v>32</v>
      </c>
      <c r="L51" s="15" t="s">
        <v>220</v>
      </c>
      <c r="M51" s="15" t="s">
        <v>72</v>
      </c>
      <c r="N51" s="15" t="s">
        <v>48</v>
      </c>
      <c r="O51" s="17"/>
      <c r="P51" s="17"/>
      <c r="Q51" s="17"/>
      <c r="R51" s="22" t="s">
        <v>338</v>
      </c>
      <c r="S51" s="18">
        <v>46107.0</v>
      </c>
      <c r="T51" s="19"/>
      <c r="U51" s="15" t="s">
        <v>104</v>
      </c>
      <c r="V51" s="13" t="s">
        <v>339</v>
      </c>
      <c r="W51" s="13" t="s">
        <v>340</v>
      </c>
      <c r="X51" s="13"/>
      <c r="Z51" s="13"/>
    </row>
    <row r="52" ht="21.75" customHeight="1">
      <c r="A52" s="27" t="str">
        <f>IF(B52="","","CAN-"&amp;TEXT(49,"000"))</f>
        <v>CAN-049</v>
      </c>
      <c r="B52" s="8" t="s">
        <v>341</v>
      </c>
      <c r="C52" s="8" t="s">
        <v>89</v>
      </c>
      <c r="D52" s="9">
        <v>9.870624156E9</v>
      </c>
      <c r="E52" s="8" t="s">
        <v>79</v>
      </c>
      <c r="F52" s="8" t="s">
        <v>90</v>
      </c>
      <c r="G52" s="9" t="s">
        <v>342</v>
      </c>
      <c r="H52" s="9" t="s">
        <v>343</v>
      </c>
      <c r="I52" s="8" t="s">
        <v>39</v>
      </c>
      <c r="J52" s="8" t="s">
        <v>344</v>
      </c>
      <c r="K52" s="9" t="s">
        <v>32</v>
      </c>
      <c r="L52" s="8" t="s">
        <v>33</v>
      </c>
      <c r="M52" s="8" t="s">
        <v>72</v>
      </c>
      <c r="N52" s="8" t="s">
        <v>75</v>
      </c>
      <c r="O52" s="10"/>
      <c r="P52" s="10"/>
      <c r="Q52" s="10"/>
      <c r="R52" s="11" t="s">
        <v>345</v>
      </c>
      <c r="S52" s="20">
        <v>46107.0</v>
      </c>
      <c r="T52" s="21"/>
      <c r="U52" s="8" t="s">
        <v>104</v>
      </c>
      <c r="V52" s="13" t="s">
        <v>346</v>
      </c>
      <c r="W52" s="13" t="s">
        <v>347</v>
      </c>
      <c r="X52" s="13"/>
      <c r="Z52" s="13"/>
    </row>
    <row r="53" ht="21.75" customHeight="1">
      <c r="A53" s="25" t="str">
        <f>IF(B53="","","CAN-"&amp;TEXT(50,"000"))</f>
        <v>CAN-050</v>
      </c>
      <c r="B53" s="15" t="s">
        <v>348</v>
      </c>
      <c r="C53" s="15" t="s">
        <v>89</v>
      </c>
      <c r="D53" s="16">
        <v>6.909546057E9</v>
      </c>
      <c r="E53" s="15" t="s">
        <v>42</v>
      </c>
      <c r="F53" s="31" t="s">
        <v>90</v>
      </c>
      <c r="G53" s="16" t="s">
        <v>168</v>
      </c>
      <c r="H53" s="16" t="s">
        <v>132</v>
      </c>
      <c r="I53" s="15" t="s">
        <v>64</v>
      </c>
      <c r="J53" s="17"/>
      <c r="K53" s="16" t="s">
        <v>32</v>
      </c>
      <c r="L53" s="15" t="s">
        <v>33</v>
      </c>
      <c r="M53" s="15" t="s">
        <v>72</v>
      </c>
      <c r="N53" s="15" t="s">
        <v>45</v>
      </c>
      <c r="O53" s="17"/>
      <c r="P53" s="17"/>
      <c r="Q53" s="17"/>
      <c r="R53" s="22" t="s">
        <v>349</v>
      </c>
      <c r="S53" s="18">
        <v>46107.0</v>
      </c>
      <c r="T53" s="19"/>
      <c r="U53" s="15" t="s">
        <v>104</v>
      </c>
      <c r="V53" s="13" t="s">
        <v>350</v>
      </c>
      <c r="W53" s="13" t="s">
        <v>299</v>
      </c>
      <c r="X53" s="13"/>
      <c r="Z53" s="13"/>
    </row>
    <row r="54" ht="21.75" customHeight="1">
      <c r="A54" s="27" t="str">
        <f>IF(B54="","","CAN-"&amp;TEXT(51,"000"))</f>
        <v>CAN-051</v>
      </c>
      <c r="B54" s="8" t="s">
        <v>351</v>
      </c>
      <c r="C54" s="8" t="s">
        <v>89</v>
      </c>
      <c r="D54" s="9">
        <v>8.779044953E9</v>
      </c>
      <c r="E54" s="8" t="s">
        <v>31</v>
      </c>
      <c r="F54" s="8" t="s">
        <v>108</v>
      </c>
      <c r="G54" s="9" t="s">
        <v>168</v>
      </c>
      <c r="H54" s="9" t="s">
        <v>168</v>
      </c>
      <c r="I54" s="8" t="s">
        <v>39</v>
      </c>
      <c r="J54" s="8" t="s">
        <v>60</v>
      </c>
      <c r="K54" s="9" t="s">
        <v>92</v>
      </c>
      <c r="L54" s="8" t="s">
        <v>33</v>
      </c>
      <c r="M54" s="8" t="s">
        <v>72</v>
      </c>
      <c r="N54" s="8" t="s">
        <v>45</v>
      </c>
      <c r="O54" s="10"/>
      <c r="P54" s="10"/>
      <c r="Q54" s="10"/>
      <c r="R54" s="11" t="s">
        <v>352</v>
      </c>
      <c r="S54" s="20">
        <v>46107.0</v>
      </c>
      <c r="T54" s="21"/>
      <c r="U54" s="8" t="s">
        <v>350</v>
      </c>
      <c r="V54" s="13" t="s">
        <v>353</v>
      </c>
      <c r="W54" s="13" t="s">
        <v>67</v>
      </c>
      <c r="X54" s="13"/>
      <c r="Z54" s="13"/>
    </row>
    <row r="55" ht="21.75" customHeight="1">
      <c r="A55" s="25" t="str">
        <f>IF(B55="","","CAN-"&amp;TEXT(52,"000"))</f>
        <v>CAN-052</v>
      </c>
      <c r="B55" s="15" t="s">
        <v>354</v>
      </c>
      <c r="C55" s="15" t="s">
        <v>24</v>
      </c>
      <c r="D55" s="16" t="s">
        <v>355</v>
      </c>
      <c r="E55" s="15" t="s">
        <v>299</v>
      </c>
      <c r="F55" s="15" t="s">
        <v>108</v>
      </c>
      <c r="G55" s="16" t="s">
        <v>70</v>
      </c>
      <c r="H55" s="16" t="s">
        <v>143</v>
      </c>
      <c r="I55" s="15" t="s">
        <v>83</v>
      </c>
      <c r="J55" s="15" t="s">
        <v>83</v>
      </c>
      <c r="K55" s="16" t="s">
        <v>32</v>
      </c>
      <c r="L55" s="15" t="s">
        <v>33</v>
      </c>
      <c r="M55" s="15" t="s">
        <v>34</v>
      </c>
      <c r="N55" s="15" t="s">
        <v>35</v>
      </c>
      <c r="O55" s="17"/>
      <c r="P55" s="17"/>
      <c r="Q55" s="17"/>
      <c r="R55" s="22" t="s">
        <v>356</v>
      </c>
      <c r="S55" s="18">
        <v>46107.0</v>
      </c>
      <c r="T55" s="18">
        <v>46111.0</v>
      </c>
      <c r="U55" s="15" t="s">
        <v>85</v>
      </c>
      <c r="V55" s="13" t="s">
        <v>357</v>
      </c>
      <c r="W55" s="13" t="s">
        <v>358</v>
      </c>
      <c r="X55" s="13"/>
      <c r="Z55" s="13"/>
    </row>
    <row r="56" ht="21.75" customHeight="1">
      <c r="A56" s="27" t="str">
        <f>IF(B56="","","CAN-"&amp;TEXT(53,"000"))</f>
        <v>CAN-053</v>
      </c>
      <c r="B56" s="8" t="s">
        <v>359</v>
      </c>
      <c r="C56" s="15" t="s">
        <v>41</v>
      </c>
      <c r="D56" s="9">
        <v>9.082016887E9</v>
      </c>
      <c r="E56" s="8" t="s">
        <v>173</v>
      </c>
      <c r="F56" s="8" t="s">
        <v>90</v>
      </c>
      <c r="G56" s="9" t="s">
        <v>360</v>
      </c>
      <c r="H56" s="9" t="s">
        <v>361</v>
      </c>
      <c r="I56" s="8" t="s">
        <v>39</v>
      </c>
      <c r="J56" s="8" t="s">
        <v>185</v>
      </c>
      <c r="K56" s="9" t="s">
        <v>32</v>
      </c>
      <c r="L56" s="8" t="s">
        <v>93</v>
      </c>
      <c r="M56" s="8" t="s">
        <v>72</v>
      </c>
      <c r="N56" s="8" t="s">
        <v>45</v>
      </c>
      <c r="O56" s="10"/>
      <c r="P56" s="10"/>
      <c r="Q56" s="10"/>
      <c r="R56" s="11" t="s">
        <v>362</v>
      </c>
      <c r="S56" s="20">
        <v>46107.0</v>
      </c>
      <c r="T56" s="21"/>
      <c r="U56" s="8" t="s">
        <v>97</v>
      </c>
      <c r="V56" s="13" t="s">
        <v>363</v>
      </c>
      <c r="W56" s="13" t="s">
        <v>225</v>
      </c>
      <c r="X56" s="13"/>
      <c r="Z56" s="13"/>
    </row>
    <row r="57" ht="21.75" customHeight="1">
      <c r="A57" s="25" t="str">
        <f>IF(B57="","","CAN-"&amp;TEXT(54,"000"))</f>
        <v>CAN-054</v>
      </c>
      <c r="B57" s="15" t="s">
        <v>364</v>
      </c>
      <c r="C57" s="15" t="s">
        <v>24</v>
      </c>
      <c r="D57" s="30">
        <v>9.354896567E9</v>
      </c>
      <c r="E57" s="15" t="s">
        <v>365</v>
      </c>
      <c r="F57" s="31" t="s">
        <v>90</v>
      </c>
      <c r="G57" s="16" t="s">
        <v>44</v>
      </c>
      <c r="H57" s="16" t="s">
        <v>102</v>
      </c>
      <c r="I57" s="15" t="s">
        <v>83</v>
      </c>
      <c r="J57" s="15" t="s">
        <v>366</v>
      </c>
      <c r="K57" s="16" t="s">
        <v>32</v>
      </c>
      <c r="L57" s="15" t="s">
        <v>134</v>
      </c>
      <c r="M57" s="15" t="s">
        <v>34</v>
      </c>
      <c r="N57" s="15" t="s">
        <v>35</v>
      </c>
      <c r="O57" s="17"/>
      <c r="P57" s="17"/>
      <c r="Q57" s="17"/>
      <c r="R57" s="22" t="s">
        <v>367</v>
      </c>
      <c r="S57" s="18">
        <v>46107.0</v>
      </c>
      <c r="T57" s="18">
        <v>46107.0</v>
      </c>
      <c r="U57" s="15" t="s">
        <v>85</v>
      </c>
      <c r="V57" s="13" t="s">
        <v>368</v>
      </c>
      <c r="W57" s="13" t="s">
        <v>310</v>
      </c>
      <c r="X57" s="13"/>
      <c r="Z57" s="13"/>
    </row>
    <row r="58" ht="21.75" customHeight="1">
      <c r="A58" s="25" t="str">
        <f>IF(B58="","","CAN-"&amp;TEXT(55,"000"))</f>
        <v>CAN-055</v>
      </c>
      <c r="B58" s="8" t="s">
        <v>369</v>
      </c>
      <c r="C58" s="8" t="s">
        <v>41</v>
      </c>
      <c r="D58" s="9">
        <v>7.715812893E9</v>
      </c>
      <c r="E58" s="8" t="s">
        <v>370</v>
      </c>
      <c r="F58" s="8" t="s">
        <v>90</v>
      </c>
      <c r="G58" s="9" t="s">
        <v>132</v>
      </c>
      <c r="H58" s="9" t="s">
        <v>361</v>
      </c>
      <c r="I58" s="8" t="s">
        <v>39</v>
      </c>
      <c r="J58" s="8" t="s">
        <v>371</v>
      </c>
      <c r="K58" s="9" t="s">
        <v>32</v>
      </c>
      <c r="L58" s="8" t="s">
        <v>220</v>
      </c>
      <c r="M58" s="8" t="s">
        <v>34</v>
      </c>
      <c r="N58" s="8" t="s">
        <v>45</v>
      </c>
      <c r="O58" s="10"/>
      <c r="P58" s="10"/>
      <c r="Q58" s="10"/>
      <c r="R58" s="11" t="s">
        <v>372</v>
      </c>
      <c r="S58" s="20">
        <v>46107.0</v>
      </c>
      <c r="T58" s="21"/>
      <c r="U58" s="8" t="s">
        <v>171</v>
      </c>
      <c r="V58" s="13" t="s">
        <v>373</v>
      </c>
      <c r="W58" s="13" t="s">
        <v>241</v>
      </c>
      <c r="X58" s="13"/>
      <c r="Z58" s="13"/>
    </row>
    <row r="59" ht="21.75" customHeight="1">
      <c r="A59" s="25" t="str">
        <f>IF(B59="","","CAN-"&amp;TEXT(56,"000"))</f>
        <v>CAN-056</v>
      </c>
      <c r="B59" s="15" t="s">
        <v>374</v>
      </c>
      <c r="C59" s="15" t="s">
        <v>184</v>
      </c>
      <c r="D59" s="16" t="s">
        <v>375</v>
      </c>
      <c r="E59" s="17"/>
      <c r="F59" s="17"/>
      <c r="G59" s="23"/>
      <c r="H59" s="23"/>
      <c r="I59" s="17"/>
      <c r="J59" s="17"/>
      <c r="K59" s="23"/>
      <c r="L59" s="17"/>
      <c r="M59" s="17"/>
      <c r="N59" s="17"/>
      <c r="O59" s="17"/>
      <c r="P59" s="17"/>
      <c r="Q59" s="17"/>
      <c r="R59" s="15"/>
      <c r="S59" s="19"/>
      <c r="T59" s="19"/>
      <c r="U59" s="17"/>
      <c r="V59" s="13" t="s">
        <v>376</v>
      </c>
      <c r="W59" s="13" t="s">
        <v>191</v>
      </c>
      <c r="X59" s="13"/>
      <c r="Z59" s="13"/>
    </row>
    <row r="60" ht="21.75" customHeight="1">
      <c r="A60" s="27" t="str">
        <f>IF(B60="","","CAN-"&amp;TEXT(57,"000"))</f>
        <v>CAN-057</v>
      </c>
      <c r="B60" s="8" t="s">
        <v>377</v>
      </c>
      <c r="C60" s="8" t="s">
        <v>41</v>
      </c>
      <c r="D60" s="9">
        <v>8.766891728E9</v>
      </c>
      <c r="E60" s="8" t="s">
        <v>188</v>
      </c>
      <c r="F60" s="8" t="s">
        <v>90</v>
      </c>
      <c r="G60" s="9" t="s">
        <v>323</v>
      </c>
      <c r="H60" s="9" t="s">
        <v>324</v>
      </c>
      <c r="I60" s="8" t="s">
        <v>39</v>
      </c>
      <c r="J60" s="8" t="s">
        <v>325</v>
      </c>
      <c r="K60" s="9" t="s">
        <v>32</v>
      </c>
      <c r="L60" s="8" t="s">
        <v>93</v>
      </c>
      <c r="M60" s="8" t="s">
        <v>34</v>
      </c>
      <c r="N60" s="8" t="s">
        <v>45</v>
      </c>
      <c r="O60" s="10"/>
      <c r="P60" s="10"/>
      <c r="Q60" s="10"/>
      <c r="R60" s="11" t="s">
        <v>378</v>
      </c>
      <c r="S60" s="20">
        <v>46107.0</v>
      </c>
      <c r="T60" s="21"/>
      <c r="U60" s="10"/>
      <c r="V60" s="13" t="s">
        <v>379</v>
      </c>
      <c r="W60" s="13" t="s">
        <v>380</v>
      </c>
      <c r="X60" s="13"/>
      <c r="Z60" s="13"/>
    </row>
    <row r="61" ht="21.75" customHeight="1">
      <c r="A61" s="25" t="str">
        <f>IF(B61="","","CAN-"&amp;TEXT(58,"000"))</f>
        <v>CAN-058</v>
      </c>
      <c r="B61" s="15" t="s">
        <v>381</v>
      </c>
      <c r="C61" s="15" t="s">
        <v>147</v>
      </c>
      <c r="D61" s="16">
        <v>8.369929582E9</v>
      </c>
      <c r="E61" s="15" t="s">
        <v>42</v>
      </c>
      <c r="F61" s="15" t="s">
        <v>382</v>
      </c>
      <c r="G61" s="16" t="s">
        <v>168</v>
      </c>
      <c r="H61" s="16" t="s">
        <v>102</v>
      </c>
      <c r="I61" s="15" t="s">
        <v>39</v>
      </c>
      <c r="J61" s="15" t="s">
        <v>52</v>
      </c>
      <c r="K61" s="16" t="s">
        <v>32</v>
      </c>
      <c r="L61" s="15" t="s">
        <v>33</v>
      </c>
      <c r="M61" s="15" t="s">
        <v>54</v>
      </c>
      <c r="N61" s="15" t="s">
        <v>75</v>
      </c>
      <c r="O61" s="17"/>
      <c r="P61" s="17"/>
      <c r="Q61" s="17"/>
      <c r="R61" s="22" t="s">
        <v>383</v>
      </c>
      <c r="S61" s="18">
        <v>46107.0</v>
      </c>
      <c r="T61" s="19"/>
      <c r="U61" s="15" t="s">
        <v>125</v>
      </c>
      <c r="V61" s="13" t="s">
        <v>384</v>
      </c>
      <c r="W61" s="13" t="s">
        <v>385</v>
      </c>
      <c r="X61" s="13"/>
      <c r="Z61" s="13"/>
    </row>
    <row r="62" ht="21.75" customHeight="1">
      <c r="A62" s="27" t="str">
        <f>IF(B62="","","CAN-"&amp;TEXT(59,"000"))</f>
        <v>CAN-059</v>
      </c>
      <c r="B62" s="8" t="s">
        <v>386</v>
      </c>
      <c r="C62" s="8" t="s">
        <v>147</v>
      </c>
      <c r="D62" s="9">
        <v>7.385452322E9</v>
      </c>
      <c r="E62" s="8" t="s">
        <v>307</v>
      </c>
      <c r="F62" s="8" t="s">
        <v>307</v>
      </c>
      <c r="G62" s="9" t="s">
        <v>387</v>
      </c>
      <c r="H62" s="24"/>
      <c r="I62" s="8" t="s">
        <v>39</v>
      </c>
      <c r="J62" s="8" t="s">
        <v>388</v>
      </c>
      <c r="K62" s="9" t="s">
        <v>32</v>
      </c>
      <c r="L62" s="8" t="s">
        <v>194</v>
      </c>
      <c r="M62" s="8" t="s">
        <v>34</v>
      </c>
      <c r="N62" s="8" t="s">
        <v>48</v>
      </c>
      <c r="O62" s="10"/>
      <c r="P62" s="10"/>
      <c r="Q62" s="10"/>
      <c r="R62" s="11" t="s">
        <v>389</v>
      </c>
      <c r="S62" s="20">
        <v>46107.0</v>
      </c>
      <c r="T62" s="21"/>
      <c r="U62" s="10"/>
      <c r="V62" s="13" t="s">
        <v>390</v>
      </c>
      <c r="W62" s="13" t="s">
        <v>391</v>
      </c>
      <c r="X62" s="13"/>
      <c r="Z62" s="13"/>
    </row>
    <row r="63" ht="21.75" customHeight="1">
      <c r="A63" s="25" t="str">
        <f>IF(B63="","","CAN-"&amp;TEXT(60,"000"))</f>
        <v>CAN-060</v>
      </c>
      <c r="B63" s="15" t="s">
        <v>392</v>
      </c>
      <c r="C63" s="15" t="s">
        <v>89</v>
      </c>
      <c r="D63" s="16">
        <v>7.506973573E9</v>
      </c>
      <c r="E63" s="15" t="s">
        <v>365</v>
      </c>
      <c r="F63" s="17"/>
      <c r="G63" s="16" t="s">
        <v>43</v>
      </c>
      <c r="H63" s="16" t="s">
        <v>44</v>
      </c>
      <c r="I63" s="15" t="s">
        <v>39</v>
      </c>
      <c r="J63" s="15" t="s">
        <v>393</v>
      </c>
      <c r="K63" s="16" t="s">
        <v>32</v>
      </c>
      <c r="L63" s="15" t="s">
        <v>134</v>
      </c>
      <c r="M63" s="15" t="s">
        <v>72</v>
      </c>
      <c r="N63" s="15" t="s">
        <v>45</v>
      </c>
      <c r="O63" s="17"/>
      <c r="P63" s="17"/>
      <c r="Q63" s="17"/>
      <c r="R63" s="22" t="s">
        <v>394</v>
      </c>
      <c r="S63" s="18">
        <v>46107.0</v>
      </c>
      <c r="T63" s="18">
        <v>46106.0</v>
      </c>
      <c r="U63" s="15" t="s">
        <v>153</v>
      </c>
      <c r="V63" s="13" t="s">
        <v>138</v>
      </c>
      <c r="W63" s="13" t="s">
        <v>370</v>
      </c>
      <c r="X63" s="13"/>
      <c r="Z63" s="13"/>
    </row>
    <row r="64" ht="21.75" customHeight="1">
      <c r="A64" s="27" t="str">
        <f>IF(B64="","","CAN-"&amp;TEXT(61,"000"))</f>
        <v>CAN-061</v>
      </c>
      <c r="B64" s="8" t="s">
        <v>395</v>
      </c>
      <c r="C64" s="8" t="s">
        <v>89</v>
      </c>
      <c r="D64" s="9">
        <v>8.850041086E9</v>
      </c>
      <c r="E64" s="8" t="s">
        <v>26</v>
      </c>
      <c r="F64" s="8" t="s">
        <v>396</v>
      </c>
      <c r="G64" s="24"/>
      <c r="H64" s="24"/>
      <c r="I64" s="8" t="s">
        <v>39</v>
      </c>
      <c r="J64" s="10"/>
      <c r="K64" s="9" t="s">
        <v>32</v>
      </c>
      <c r="L64" s="8" t="s">
        <v>33</v>
      </c>
      <c r="M64" s="8" t="s">
        <v>72</v>
      </c>
      <c r="N64" s="8" t="s">
        <v>45</v>
      </c>
      <c r="O64" s="10"/>
      <c r="P64" s="8" t="s">
        <v>397</v>
      </c>
      <c r="Q64" s="10"/>
      <c r="R64" s="11" t="s">
        <v>398</v>
      </c>
      <c r="S64" s="18">
        <v>46108.0</v>
      </c>
      <c r="T64" s="21"/>
      <c r="U64" s="8" t="s">
        <v>399</v>
      </c>
      <c r="V64" s="13" t="s">
        <v>37</v>
      </c>
      <c r="W64" s="13" t="s">
        <v>400</v>
      </c>
      <c r="X64" s="13"/>
      <c r="Z64" s="13"/>
    </row>
    <row r="65" ht="21.75" customHeight="1">
      <c r="A65" s="25" t="str">
        <f>IF(B65="","","CAN-"&amp;TEXT(62,"000"))</f>
        <v>CAN-062</v>
      </c>
      <c r="B65" s="15" t="s">
        <v>401</v>
      </c>
      <c r="C65" s="15" t="s">
        <v>89</v>
      </c>
      <c r="D65" s="16">
        <v>9.819361801E9</v>
      </c>
      <c r="E65" s="15" t="s">
        <v>42</v>
      </c>
      <c r="F65" s="15" t="s">
        <v>42</v>
      </c>
      <c r="G65" s="16" t="s">
        <v>402</v>
      </c>
      <c r="H65" s="16" t="s">
        <v>44</v>
      </c>
      <c r="I65" s="15" t="s">
        <v>39</v>
      </c>
      <c r="J65" s="15" t="s">
        <v>403</v>
      </c>
      <c r="K65" s="16" t="s">
        <v>92</v>
      </c>
      <c r="L65" s="15" t="s">
        <v>33</v>
      </c>
      <c r="M65" s="17"/>
      <c r="N65" s="17"/>
      <c r="O65" s="17"/>
      <c r="P65" s="17"/>
      <c r="Q65" s="17"/>
      <c r="R65" s="22" t="s">
        <v>404</v>
      </c>
      <c r="S65" s="18">
        <v>46108.0</v>
      </c>
      <c r="T65" s="19"/>
      <c r="U65" s="15" t="s">
        <v>171</v>
      </c>
      <c r="V65" s="13" t="s">
        <v>405</v>
      </c>
      <c r="W65" s="13" t="s">
        <v>406</v>
      </c>
      <c r="X65" s="13"/>
      <c r="Z65" s="13"/>
    </row>
    <row r="66" ht="21.75" customHeight="1">
      <c r="A66" s="27" t="str">
        <f>IF(B66="","","CAN-"&amp;TEXT(63,"000"))</f>
        <v>CAN-063</v>
      </c>
      <c r="B66" s="8" t="s">
        <v>407</v>
      </c>
      <c r="C66" s="8" t="s">
        <v>147</v>
      </c>
      <c r="D66" s="9">
        <v>8.850199653E9</v>
      </c>
      <c r="E66" s="8" t="s">
        <v>210</v>
      </c>
      <c r="F66" s="8" t="s">
        <v>408</v>
      </c>
      <c r="G66" s="9" t="s">
        <v>44</v>
      </c>
      <c r="H66" s="9" t="s">
        <v>102</v>
      </c>
      <c r="I66" s="8" t="s">
        <v>39</v>
      </c>
      <c r="J66" s="10"/>
      <c r="K66" s="9" t="s">
        <v>32</v>
      </c>
      <c r="L66" s="8" t="s">
        <v>33</v>
      </c>
      <c r="M66" s="8" t="s">
        <v>34</v>
      </c>
      <c r="N66" s="8" t="s">
        <v>35</v>
      </c>
      <c r="O66" s="10"/>
      <c r="P66" s="10"/>
      <c r="Q66" s="8" t="s">
        <v>409</v>
      </c>
      <c r="R66" s="11" t="s">
        <v>410</v>
      </c>
      <c r="S66" s="20">
        <v>46108.0</v>
      </c>
      <c r="T66" s="21"/>
      <c r="U66" s="10"/>
      <c r="V66" s="13" t="s">
        <v>411</v>
      </c>
      <c r="W66" s="13" t="s">
        <v>412</v>
      </c>
      <c r="X66" s="13"/>
      <c r="Z66" s="13"/>
    </row>
    <row r="67" ht="21.75" customHeight="1">
      <c r="A67" s="25" t="str">
        <f>IF(B67="","","CAN-"&amp;TEXT(64,"000"))</f>
        <v>CAN-064</v>
      </c>
      <c r="B67" s="15" t="s">
        <v>413</v>
      </c>
      <c r="C67" s="15" t="s">
        <v>147</v>
      </c>
      <c r="D67" s="16" t="s">
        <v>414</v>
      </c>
      <c r="E67" s="15" t="s">
        <v>50</v>
      </c>
      <c r="F67" s="15" t="s">
        <v>90</v>
      </c>
      <c r="G67" s="16" t="s">
        <v>415</v>
      </c>
      <c r="H67" s="23"/>
      <c r="I67" s="15" t="s">
        <v>39</v>
      </c>
      <c r="J67" s="15" t="s">
        <v>388</v>
      </c>
      <c r="K67" s="16" t="s">
        <v>32</v>
      </c>
      <c r="L67" s="15" t="s">
        <v>207</v>
      </c>
      <c r="M67" s="15" t="s">
        <v>54</v>
      </c>
      <c r="N67" s="15" t="s">
        <v>48</v>
      </c>
      <c r="O67" s="17"/>
      <c r="P67" s="17"/>
      <c r="Q67" s="17"/>
      <c r="R67" s="22" t="s">
        <v>416</v>
      </c>
      <c r="S67" s="18">
        <v>46108.0</v>
      </c>
      <c r="T67" s="18">
        <v>46111.0</v>
      </c>
      <c r="U67" s="15" t="s">
        <v>417</v>
      </c>
      <c r="V67" s="13" t="s">
        <v>418</v>
      </c>
      <c r="W67" s="13" t="s">
        <v>31</v>
      </c>
      <c r="X67" s="13"/>
      <c r="Z67" s="13"/>
    </row>
    <row r="68" ht="21.75" customHeight="1">
      <c r="A68" s="27" t="str">
        <f>IF(B68="","","CAN-"&amp;TEXT(65,"000"))</f>
        <v>CAN-065</v>
      </c>
      <c r="B68" s="8" t="s">
        <v>419</v>
      </c>
      <c r="C68" s="8" t="s">
        <v>147</v>
      </c>
      <c r="D68" s="9">
        <v>9.405051202E9</v>
      </c>
      <c r="E68" s="8" t="s">
        <v>50</v>
      </c>
      <c r="F68" s="8" t="s">
        <v>90</v>
      </c>
      <c r="G68" s="9" t="s">
        <v>122</v>
      </c>
      <c r="H68" s="9" t="s">
        <v>44</v>
      </c>
      <c r="I68" s="8" t="s">
        <v>39</v>
      </c>
      <c r="J68" s="8" t="s">
        <v>185</v>
      </c>
      <c r="K68" s="9" t="s">
        <v>32</v>
      </c>
      <c r="L68" s="8" t="s">
        <v>194</v>
      </c>
      <c r="M68" s="8" t="s">
        <v>72</v>
      </c>
      <c r="N68" s="8" t="s">
        <v>48</v>
      </c>
      <c r="O68" s="10"/>
      <c r="P68" s="10"/>
      <c r="Q68" s="8" t="s">
        <v>420</v>
      </c>
      <c r="R68" s="11" t="s">
        <v>421</v>
      </c>
      <c r="S68" s="20">
        <v>46108.0</v>
      </c>
      <c r="T68" s="20"/>
      <c r="U68" s="10"/>
      <c r="V68" s="13" t="s">
        <v>422</v>
      </c>
      <c r="W68" s="13" t="s">
        <v>423</v>
      </c>
      <c r="X68" s="13"/>
      <c r="Z68" s="13"/>
    </row>
    <row r="69" ht="21.75" customHeight="1">
      <c r="A69" s="25" t="str">
        <f>IF(B69="","","CAN-"&amp;TEXT(66,"000"))</f>
        <v>CAN-066</v>
      </c>
      <c r="B69" s="15" t="s">
        <v>424</v>
      </c>
      <c r="C69" s="15" t="s">
        <v>147</v>
      </c>
      <c r="D69" s="16">
        <v>9.819113882E9</v>
      </c>
      <c r="E69" s="15" t="s">
        <v>223</v>
      </c>
      <c r="F69" s="15" t="s">
        <v>425</v>
      </c>
      <c r="G69" s="16" t="s">
        <v>267</v>
      </c>
      <c r="H69" s="16" t="s">
        <v>121</v>
      </c>
      <c r="I69" s="15" t="s">
        <v>39</v>
      </c>
      <c r="J69" s="15" t="s">
        <v>426</v>
      </c>
      <c r="K69" s="16" t="s">
        <v>92</v>
      </c>
      <c r="L69" s="15" t="s">
        <v>220</v>
      </c>
      <c r="M69" s="15" t="s">
        <v>54</v>
      </c>
      <c r="N69" s="15" t="s">
        <v>35</v>
      </c>
      <c r="O69" s="17"/>
      <c r="P69" s="17"/>
      <c r="Q69" s="17"/>
      <c r="R69" s="22" t="s">
        <v>427</v>
      </c>
      <c r="S69" s="18">
        <v>46108.0</v>
      </c>
      <c r="T69" s="18">
        <v>46111.0</v>
      </c>
      <c r="U69" s="15" t="s">
        <v>295</v>
      </c>
      <c r="V69" s="13" t="s">
        <v>428</v>
      </c>
      <c r="W69" s="13" t="s">
        <v>429</v>
      </c>
      <c r="X69" s="13"/>
      <c r="Z69" s="13"/>
    </row>
    <row r="70" ht="21.75" customHeight="1">
      <c r="A70" s="27" t="str">
        <f>IF(B70="","","CAN-"&amp;TEXT(67,"000"))</f>
        <v>CAN-067</v>
      </c>
      <c r="B70" s="8" t="s">
        <v>430</v>
      </c>
      <c r="C70" s="8" t="s">
        <v>147</v>
      </c>
      <c r="D70" s="9">
        <v>8.767402391E9</v>
      </c>
      <c r="E70" s="8" t="s">
        <v>42</v>
      </c>
      <c r="F70" s="8" t="s">
        <v>431</v>
      </c>
      <c r="G70" s="9" t="s">
        <v>218</v>
      </c>
      <c r="H70" s="9" t="s">
        <v>44</v>
      </c>
      <c r="I70" s="8" t="s">
        <v>31</v>
      </c>
      <c r="J70" s="8" t="s">
        <v>432</v>
      </c>
      <c r="K70" s="9" t="s">
        <v>32</v>
      </c>
      <c r="L70" s="8" t="s">
        <v>220</v>
      </c>
      <c r="M70" s="8" t="s">
        <v>54</v>
      </c>
      <c r="N70" s="8" t="s">
        <v>48</v>
      </c>
      <c r="O70" s="10"/>
      <c r="P70" s="10"/>
      <c r="Q70" s="10"/>
      <c r="R70" s="11" t="s">
        <v>433</v>
      </c>
      <c r="S70" s="20">
        <v>46108.0</v>
      </c>
      <c r="T70" s="21"/>
      <c r="U70" s="8" t="s">
        <v>37</v>
      </c>
      <c r="V70" s="13" t="s">
        <v>434</v>
      </c>
      <c r="W70" s="13" t="s">
        <v>435</v>
      </c>
      <c r="X70" s="13"/>
      <c r="Z70" s="13"/>
    </row>
    <row r="71" ht="21.75" customHeight="1">
      <c r="A71" s="25" t="str">
        <f>IF(B71="","","CAN-"&amp;TEXT(68,"000"))</f>
        <v>CAN-068</v>
      </c>
      <c r="B71" s="15" t="s">
        <v>436</v>
      </c>
      <c r="C71" s="15" t="s">
        <v>184</v>
      </c>
      <c r="D71" s="16" t="s">
        <v>437</v>
      </c>
      <c r="E71" s="15" t="s">
        <v>148</v>
      </c>
      <c r="F71" s="15" t="s">
        <v>108</v>
      </c>
      <c r="G71" s="16" t="s">
        <v>43</v>
      </c>
      <c r="H71" s="16" t="s">
        <v>44</v>
      </c>
      <c r="I71" s="15" t="s">
        <v>39</v>
      </c>
      <c r="J71" s="15" t="s">
        <v>39</v>
      </c>
      <c r="K71" s="16" t="s">
        <v>92</v>
      </c>
      <c r="L71" s="15" t="s">
        <v>33</v>
      </c>
      <c r="M71" s="15" t="s">
        <v>195</v>
      </c>
      <c r="N71" s="15" t="s">
        <v>45</v>
      </c>
      <c r="O71" s="15" t="s">
        <v>438</v>
      </c>
      <c r="P71" s="15"/>
      <c r="Q71" s="17"/>
      <c r="R71" s="22" t="s">
        <v>439</v>
      </c>
      <c r="S71" s="19"/>
      <c r="T71" s="19"/>
      <c r="U71" s="17"/>
      <c r="V71" s="13" t="s">
        <v>440</v>
      </c>
      <c r="W71" s="13" t="s">
        <v>441</v>
      </c>
      <c r="X71" s="13"/>
      <c r="Z71" s="13"/>
    </row>
    <row r="72" ht="21.75" customHeight="1">
      <c r="A72" s="27" t="str">
        <f>IF(B72="","","CAN-"&amp;TEXT(69,"000"))</f>
        <v>CAN-069</v>
      </c>
      <c r="B72" s="8" t="s">
        <v>442</v>
      </c>
      <c r="C72" s="8" t="s">
        <v>184</v>
      </c>
      <c r="D72" s="9" t="s">
        <v>443</v>
      </c>
      <c r="E72" s="8" t="s">
        <v>86</v>
      </c>
      <c r="F72" s="8" t="s">
        <v>90</v>
      </c>
      <c r="G72" s="9" t="s">
        <v>102</v>
      </c>
      <c r="H72" s="9" t="s">
        <v>132</v>
      </c>
      <c r="I72" s="8" t="s">
        <v>39</v>
      </c>
      <c r="J72" s="8" t="s">
        <v>444</v>
      </c>
      <c r="K72" s="9" t="s">
        <v>32</v>
      </c>
      <c r="L72" s="8" t="s">
        <v>445</v>
      </c>
      <c r="M72" s="8" t="s">
        <v>72</v>
      </c>
      <c r="N72" s="8" t="s">
        <v>45</v>
      </c>
      <c r="O72" s="10"/>
      <c r="P72" s="10"/>
      <c r="Q72" s="8" t="s">
        <v>446</v>
      </c>
      <c r="R72" s="11" t="s">
        <v>447</v>
      </c>
      <c r="S72" s="21"/>
      <c r="T72" s="21"/>
      <c r="U72" s="10"/>
      <c r="V72" s="13" t="s">
        <v>448</v>
      </c>
      <c r="W72" s="13" t="s">
        <v>449</v>
      </c>
      <c r="X72" s="13"/>
      <c r="Z72" s="13"/>
    </row>
    <row r="73" ht="21.75" customHeight="1">
      <c r="A73" s="25" t="str">
        <f>IF(B73="","","CAN-"&amp;TEXT(70,"000"))</f>
        <v>CAN-070</v>
      </c>
      <c r="B73" s="15" t="s">
        <v>450</v>
      </c>
      <c r="C73" s="15" t="s">
        <v>184</v>
      </c>
      <c r="D73" s="16" t="s">
        <v>451</v>
      </c>
      <c r="E73" s="15" t="s">
        <v>301</v>
      </c>
      <c r="F73" s="15" t="s">
        <v>90</v>
      </c>
      <c r="G73" s="16" t="s">
        <v>452</v>
      </c>
      <c r="H73" s="16" t="s">
        <v>453</v>
      </c>
      <c r="I73" s="15" t="s">
        <v>39</v>
      </c>
      <c r="J73" s="15" t="s">
        <v>39</v>
      </c>
      <c r="K73" s="16" t="s">
        <v>32</v>
      </c>
      <c r="L73" s="15" t="s">
        <v>33</v>
      </c>
      <c r="M73" s="15" t="s">
        <v>34</v>
      </c>
      <c r="N73" s="15" t="s">
        <v>45</v>
      </c>
      <c r="O73" s="17"/>
      <c r="P73" s="17"/>
      <c r="Q73" s="15" t="s">
        <v>454</v>
      </c>
      <c r="R73" s="22" t="s">
        <v>455</v>
      </c>
      <c r="S73" s="19"/>
      <c r="T73" s="19"/>
      <c r="U73" s="15" t="s">
        <v>379</v>
      </c>
      <c r="V73" s="13" t="s">
        <v>456</v>
      </c>
      <c r="W73" s="13" t="s">
        <v>457</v>
      </c>
      <c r="X73" s="13"/>
      <c r="Z73" s="13"/>
    </row>
    <row r="74" ht="21.75" customHeight="1">
      <c r="A74" s="27" t="str">
        <f>IF(B74="","","CAN-"&amp;TEXT(71,"000"))</f>
        <v>CAN-071</v>
      </c>
      <c r="B74" s="8" t="s">
        <v>458</v>
      </c>
      <c r="C74" s="8" t="s">
        <v>184</v>
      </c>
      <c r="D74" s="9" t="s">
        <v>459</v>
      </c>
      <c r="E74" s="8" t="s">
        <v>299</v>
      </c>
      <c r="F74" s="8" t="s">
        <v>108</v>
      </c>
      <c r="G74" s="9" t="s">
        <v>460</v>
      </c>
      <c r="H74" s="9" t="s">
        <v>461</v>
      </c>
      <c r="I74" s="8" t="s">
        <v>39</v>
      </c>
      <c r="J74" s="8" t="s">
        <v>462</v>
      </c>
      <c r="K74" s="9" t="s">
        <v>32</v>
      </c>
      <c r="L74" s="8" t="s">
        <v>33</v>
      </c>
      <c r="M74" s="8" t="s">
        <v>34</v>
      </c>
      <c r="N74" s="8" t="s">
        <v>45</v>
      </c>
      <c r="O74" s="10"/>
      <c r="P74" s="10"/>
      <c r="Q74" s="10"/>
      <c r="R74" s="11" t="s">
        <v>463</v>
      </c>
      <c r="S74" s="21"/>
      <c r="T74" s="21"/>
      <c r="U74" s="8" t="s">
        <v>125</v>
      </c>
      <c r="V74" s="13" t="s">
        <v>464</v>
      </c>
      <c r="W74" s="13" t="s">
        <v>465</v>
      </c>
      <c r="X74" s="13"/>
      <c r="Z74" s="13"/>
    </row>
    <row r="75" ht="21.75" customHeight="1">
      <c r="A75" s="25" t="str">
        <f>IF(B75="","","CAN-"&amp;TEXT(72,"000"))</f>
        <v>CAN-072</v>
      </c>
      <c r="B75" s="15" t="s">
        <v>466</v>
      </c>
      <c r="C75" s="15" t="s">
        <v>184</v>
      </c>
      <c r="D75" s="16" t="s">
        <v>467</v>
      </c>
      <c r="E75" s="15" t="s">
        <v>112</v>
      </c>
      <c r="F75" s="15" t="s">
        <v>90</v>
      </c>
      <c r="G75" s="16" t="s">
        <v>361</v>
      </c>
      <c r="H75" s="16" t="s">
        <v>468</v>
      </c>
      <c r="I75" s="15" t="s">
        <v>39</v>
      </c>
      <c r="J75" s="15" t="s">
        <v>469</v>
      </c>
      <c r="K75" s="16" t="s">
        <v>32</v>
      </c>
      <c r="L75" s="15" t="s">
        <v>220</v>
      </c>
      <c r="M75" s="15" t="s">
        <v>34</v>
      </c>
      <c r="N75" s="15" t="s">
        <v>45</v>
      </c>
      <c r="O75" s="17"/>
      <c r="P75" s="17"/>
      <c r="Q75" s="17"/>
      <c r="R75" s="22" t="s">
        <v>470</v>
      </c>
      <c r="S75" s="19"/>
      <c r="T75" s="19"/>
      <c r="U75" s="15" t="s">
        <v>125</v>
      </c>
      <c r="V75" s="13" t="s">
        <v>471</v>
      </c>
      <c r="W75" s="13" t="s">
        <v>472</v>
      </c>
      <c r="X75" s="13"/>
      <c r="Z75" s="13"/>
    </row>
    <row r="76" ht="21.75" customHeight="1">
      <c r="A76" s="27" t="str">
        <f>IF(B76="","","CAN-"&amp;TEXT(73,"000"))</f>
        <v>CAN-073</v>
      </c>
      <c r="B76" s="8" t="s">
        <v>473</v>
      </c>
      <c r="C76" s="8" t="s">
        <v>184</v>
      </c>
      <c r="D76" s="9" t="s">
        <v>474</v>
      </c>
      <c r="E76" s="8" t="s">
        <v>290</v>
      </c>
      <c r="F76" s="8" t="s">
        <v>90</v>
      </c>
      <c r="G76" s="9" t="s">
        <v>44</v>
      </c>
      <c r="H76" s="9" t="s">
        <v>169</v>
      </c>
      <c r="I76" s="8" t="s">
        <v>39</v>
      </c>
      <c r="J76" s="8" t="s">
        <v>469</v>
      </c>
      <c r="K76" s="9" t="s">
        <v>92</v>
      </c>
      <c r="L76" s="8" t="s">
        <v>445</v>
      </c>
      <c r="M76" s="8" t="s">
        <v>34</v>
      </c>
      <c r="N76" s="8" t="s">
        <v>45</v>
      </c>
      <c r="O76" s="10"/>
      <c r="P76" s="10"/>
      <c r="Q76" s="8" t="s">
        <v>454</v>
      </c>
      <c r="R76" s="11" t="s">
        <v>475</v>
      </c>
      <c r="S76" s="21"/>
      <c r="T76" s="21"/>
      <c r="U76" s="8" t="s">
        <v>154</v>
      </c>
      <c r="V76" s="32" t="s">
        <v>476</v>
      </c>
      <c r="W76" s="13" t="s">
        <v>79</v>
      </c>
      <c r="X76" s="13"/>
      <c r="Z76" s="13"/>
    </row>
    <row r="77" ht="21.75" customHeight="1">
      <c r="A77" s="25" t="str">
        <f>IF(B77="","","CAN-"&amp;TEXT(74,"000"))</f>
        <v>CAN-074</v>
      </c>
      <c r="B77" s="15" t="s">
        <v>477</v>
      </c>
      <c r="C77" s="15" t="s">
        <v>184</v>
      </c>
      <c r="D77" s="16" t="s">
        <v>478</v>
      </c>
      <c r="E77" s="15" t="s">
        <v>412</v>
      </c>
      <c r="F77" s="15" t="s">
        <v>90</v>
      </c>
      <c r="G77" s="16" t="s">
        <v>468</v>
      </c>
      <c r="H77" s="16" t="s">
        <v>129</v>
      </c>
      <c r="I77" s="15" t="s">
        <v>39</v>
      </c>
      <c r="J77" s="15" t="s">
        <v>469</v>
      </c>
      <c r="K77" s="16" t="s">
        <v>92</v>
      </c>
      <c r="L77" s="15" t="s">
        <v>220</v>
      </c>
      <c r="M77" s="15" t="s">
        <v>34</v>
      </c>
      <c r="N77" s="15" t="s">
        <v>45</v>
      </c>
      <c r="O77" s="17"/>
      <c r="P77" s="17"/>
      <c r="Q77" s="17"/>
      <c r="R77" s="22" t="s">
        <v>479</v>
      </c>
      <c r="S77" s="19"/>
      <c r="T77" s="19"/>
      <c r="U77" s="15" t="s">
        <v>284</v>
      </c>
      <c r="V77" s="32" t="s">
        <v>480</v>
      </c>
      <c r="W77" s="13" t="s">
        <v>481</v>
      </c>
      <c r="X77" s="13"/>
      <c r="Z77" s="13"/>
    </row>
    <row r="78" ht="21.75" customHeight="1">
      <c r="A78" s="27" t="str">
        <f>IF(B78="","","CAN-"&amp;TEXT(75,"000"))</f>
        <v>CAN-075</v>
      </c>
      <c r="B78" s="8" t="s">
        <v>482</v>
      </c>
      <c r="C78" s="8" t="s">
        <v>184</v>
      </c>
      <c r="D78" s="9" t="s">
        <v>483</v>
      </c>
      <c r="E78" s="8" t="s">
        <v>290</v>
      </c>
      <c r="F78" s="8" t="s">
        <v>90</v>
      </c>
      <c r="G78" s="9" t="s">
        <v>452</v>
      </c>
      <c r="H78" s="9" t="s">
        <v>484</v>
      </c>
      <c r="I78" s="8" t="s">
        <v>39</v>
      </c>
      <c r="J78" s="8" t="s">
        <v>462</v>
      </c>
      <c r="K78" s="9" t="s">
        <v>32</v>
      </c>
      <c r="L78" s="8" t="s">
        <v>33</v>
      </c>
      <c r="M78" s="8" t="s">
        <v>34</v>
      </c>
      <c r="N78" s="8" t="s">
        <v>45</v>
      </c>
      <c r="O78" s="10"/>
      <c r="P78" s="10"/>
      <c r="Q78" s="8" t="s">
        <v>454</v>
      </c>
      <c r="R78" s="10"/>
      <c r="S78" s="21"/>
      <c r="T78" s="21"/>
      <c r="U78" s="8" t="s">
        <v>154</v>
      </c>
      <c r="V78" s="32" t="s">
        <v>198</v>
      </c>
      <c r="W78" s="13" t="s">
        <v>485</v>
      </c>
      <c r="X78" s="13"/>
      <c r="Z78" s="13"/>
    </row>
    <row r="79" ht="21.75" customHeight="1">
      <c r="A79" s="25" t="str">
        <f>IF(B79="","","CAN-"&amp;TEXT(76,"000"))</f>
        <v>CAN-076</v>
      </c>
      <c r="B79" s="15" t="s">
        <v>486</v>
      </c>
      <c r="C79" s="15" t="s">
        <v>184</v>
      </c>
      <c r="D79" s="16" t="s">
        <v>487</v>
      </c>
      <c r="E79" s="15" t="s">
        <v>135</v>
      </c>
      <c r="F79" s="15" t="s">
        <v>90</v>
      </c>
      <c r="G79" s="16" t="s">
        <v>452</v>
      </c>
      <c r="H79" s="16" t="s">
        <v>453</v>
      </c>
      <c r="I79" s="15" t="s">
        <v>39</v>
      </c>
      <c r="J79" s="15" t="s">
        <v>488</v>
      </c>
      <c r="K79" s="16" t="s">
        <v>32</v>
      </c>
      <c r="L79" s="15" t="s">
        <v>445</v>
      </c>
      <c r="M79" s="15" t="s">
        <v>34</v>
      </c>
      <c r="N79" s="15" t="s">
        <v>45</v>
      </c>
      <c r="O79" s="17"/>
      <c r="P79" s="17"/>
      <c r="Q79" s="17"/>
      <c r="R79" s="22" t="s">
        <v>489</v>
      </c>
      <c r="S79" s="19"/>
      <c r="T79" s="19"/>
      <c r="U79" s="15" t="s">
        <v>154</v>
      </c>
      <c r="V79" s="32" t="s">
        <v>490</v>
      </c>
      <c r="W79" s="13" t="s">
        <v>491</v>
      </c>
      <c r="X79" s="13"/>
      <c r="Z79" s="13"/>
    </row>
    <row r="80" ht="21.75" customHeight="1">
      <c r="A80" s="27" t="str">
        <f>IF(B80="","","CAN-"&amp;TEXT(77,"000"))</f>
        <v>CAN-077</v>
      </c>
      <c r="B80" s="8" t="s">
        <v>492</v>
      </c>
      <c r="C80" s="8" t="s">
        <v>184</v>
      </c>
      <c r="D80" s="9">
        <v>8.857921859E9</v>
      </c>
      <c r="E80" s="8" t="s">
        <v>400</v>
      </c>
      <c r="F80" s="8" t="s">
        <v>108</v>
      </c>
      <c r="G80" s="9" t="s">
        <v>493</v>
      </c>
      <c r="H80" s="9" t="s">
        <v>494</v>
      </c>
      <c r="I80" s="8" t="s">
        <v>39</v>
      </c>
      <c r="J80" s="8" t="s">
        <v>469</v>
      </c>
      <c r="K80" s="9" t="s">
        <v>92</v>
      </c>
      <c r="L80" s="8" t="s">
        <v>445</v>
      </c>
      <c r="M80" s="8" t="s">
        <v>72</v>
      </c>
      <c r="N80" s="8" t="s">
        <v>45</v>
      </c>
      <c r="O80" s="10"/>
      <c r="P80" s="10"/>
      <c r="Q80" s="10"/>
      <c r="R80" s="11" t="s">
        <v>495</v>
      </c>
      <c r="S80" s="21"/>
      <c r="T80" s="21"/>
      <c r="U80" s="8" t="s">
        <v>284</v>
      </c>
      <c r="V80" s="32" t="s">
        <v>496</v>
      </c>
      <c r="W80" s="13" t="s">
        <v>128</v>
      </c>
      <c r="X80" s="13"/>
      <c r="Z80" s="13"/>
    </row>
    <row r="81" ht="21.75" customHeight="1">
      <c r="A81" s="25" t="str">
        <f>IF(B81="","","CAN-"&amp;TEXT(78,"000"))</f>
        <v>CAN-078</v>
      </c>
      <c r="B81" s="15" t="s">
        <v>497</v>
      </c>
      <c r="C81" s="15" t="s">
        <v>89</v>
      </c>
      <c r="D81" s="16">
        <v>7.64083381E9</v>
      </c>
      <c r="E81" s="15" t="s">
        <v>101</v>
      </c>
      <c r="F81" s="15" t="s">
        <v>90</v>
      </c>
      <c r="G81" s="16" t="s">
        <v>122</v>
      </c>
      <c r="H81" s="16" t="s">
        <v>169</v>
      </c>
      <c r="I81" s="15" t="s">
        <v>58</v>
      </c>
      <c r="J81" s="15" t="s">
        <v>498</v>
      </c>
      <c r="K81" s="16" t="s">
        <v>32</v>
      </c>
      <c r="L81" s="15" t="s">
        <v>61</v>
      </c>
      <c r="M81" s="15" t="s">
        <v>72</v>
      </c>
      <c r="N81" s="15" t="s">
        <v>48</v>
      </c>
      <c r="O81" s="17"/>
      <c r="P81" s="17"/>
      <c r="Q81" s="17"/>
      <c r="R81" s="22" t="s">
        <v>499</v>
      </c>
      <c r="S81" s="18">
        <v>46110.0</v>
      </c>
      <c r="T81" s="19"/>
      <c r="U81" s="15" t="s">
        <v>145</v>
      </c>
      <c r="V81" s="32" t="s">
        <v>252</v>
      </c>
      <c r="W81" s="13" t="s">
        <v>205</v>
      </c>
      <c r="X81" s="13"/>
      <c r="Z81" s="13"/>
    </row>
    <row r="82" ht="21.75" customHeight="1">
      <c r="A82" s="27" t="str">
        <f>IF(B82="","","CAN-"&amp;TEXT(79,"000"))</f>
        <v>CAN-079</v>
      </c>
      <c r="B82" s="8" t="s">
        <v>500</v>
      </c>
      <c r="C82" s="8" t="s">
        <v>89</v>
      </c>
      <c r="D82" s="9">
        <v>8.073174505E9</v>
      </c>
      <c r="E82" s="8" t="s">
        <v>365</v>
      </c>
      <c r="F82" s="15" t="s">
        <v>90</v>
      </c>
      <c r="G82" s="9" t="s">
        <v>169</v>
      </c>
      <c r="H82" s="9" t="s">
        <v>501</v>
      </c>
      <c r="I82" s="8" t="s">
        <v>58</v>
      </c>
      <c r="J82" s="15" t="s">
        <v>498</v>
      </c>
      <c r="K82" s="9" t="s">
        <v>32</v>
      </c>
      <c r="L82" s="8" t="s">
        <v>220</v>
      </c>
      <c r="M82" s="8" t="s">
        <v>72</v>
      </c>
      <c r="N82" s="8" t="s">
        <v>48</v>
      </c>
      <c r="O82" s="10"/>
      <c r="P82" s="10"/>
      <c r="Q82" s="10"/>
      <c r="R82" s="11" t="s">
        <v>502</v>
      </c>
      <c r="S82" s="20">
        <v>46110.0</v>
      </c>
      <c r="T82" s="21"/>
      <c r="U82" s="8" t="s">
        <v>145</v>
      </c>
      <c r="V82" s="13"/>
      <c r="W82" s="13" t="s">
        <v>166</v>
      </c>
      <c r="X82" s="13"/>
      <c r="Z82" s="13"/>
    </row>
    <row r="83" ht="21.75" customHeight="1">
      <c r="A83" s="25" t="str">
        <f>IF(B83="","","CAN-"&amp;TEXT(80,"000"))</f>
        <v>CAN-080</v>
      </c>
      <c r="B83" s="15" t="s">
        <v>503</v>
      </c>
      <c r="C83" s="15" t="s">
        <v>89</v>
      </c>
      <c r="D83" s="16">
        <v>7.478712491E9</v>
      </c>
      <c r="E83" s="8" t="s">
        <v>365</v>
      </c>
      <c r="F83" s="15" t="s">
        <v>90</v>
      </c>
      <c r="G83" s="16" t="s">
        <v>169</v>
      </c>
      <c r="H83" s="16" t="s">
        <v>501</v>
      </c>
      <c r="I83" s="15" t="s">
        <v>58</v>
      </c>
      <c r="J83" s="15" t="s">
        <v>498</v>
      </c>
      <c r="K83" s="16" t="s">
        <v>32</v>
      </c>
      <c r="L83" s="15" t="s">
        <v>445</v>
      </c>
      <c r="M83" s="15" t="s">
        <v>72</v>
      </c>
      <c r="N83" s="15" t="s">
        <v>48</v>
      </c>
      <c r="O83" s="17"/>
      <c r="P83" s="17"/>
      <c r="Q83" s="17"/>
      <c r="R83" s="22" t="s">
        <v>504</v>
      </c>
      <c r="S83" s="18">
        <v>46110.0</v>
      </c>
      <c r="T83" s="19"/>
      <c r="U83" s="15" t="s">
        <v>145</v>
      </c>
      <c r="V83" s="13"/>
      <c r="W83" s="13" t="s">
        <v>137</v>
      </c>
      <c r="X83" s="13"/>
      <c r="Z83" s="13"/>
    </row>
    <row r="84" ht="21.75" customHeight="1">
      <c r="A84" s="27" t="str">
        <f>IF(B84="","","CAN-"&amp;TEXT(81,"000"))</f>
        <v>CAN-081</v>
      </c>
      <c r="B84" s="8" t="s">
        <v>505</v>
      </c>
      <c r="C84" s="8" t="s">
        <v>89</v>
      </c>
      <c r="D84" s="9">
        <v>9.833100262E9</v>
      </c>
      <c r="E84" s="8" t="s">
        <v>210</v>
      </c>
      <c r="F84" s="8" t="s">
        <v>506</v>
      </c>
      <c r="G84" s="9" t="s">
        <v>218</v>
      </c>
      <c r="H84" s="9" t="s">
        <v>201</v>
      </c>
      <c r="I84" s="8" t="s">
        <v>39</v>
      </c>
      <c r="J84" s="8" t="s">
        <v>507</v>
      </c>
      <c r="K84" s="9" t="s">
        <v>32</v>
      </c>
      <c r="L84" s="8" t="s">
        <v>220</v>
      </c>
      <c r="M84" s="8" t="s">
        <v>72</v>
      </c>
      <c r="N84" s="8" t="s">
        <v>75</v>
      </c>
      <c r="O84" s="10"/>
      <c r="P84" s="10"/>
      <c r="Q84" s="10"/>
      <c r="R84" s="11" t="s">
        <v>508</v>
      </c>
      <c r="S84" s="20">
        <v>46110.0</v>
      </c>
      <c r="T84" s="21"/>
      <c r="U84" s="8" t="s">
        <v>171</v>
      </c>
      <c r="V84" s="13"/>
      <c r="W84" s="13" t="s">
        <v>365</v>
      </c>
      <c r="X84" s="13"/>
      <c r="Z84" s="13"/>
    </row>
    <row r="85" ht="21.75" customHeight="1">
      <c r="A85" s="25" t="str">
        <f>IF(B85="","","CAN-"&amp;TEXT(82,"000"))</f>
        <v>CAN-082</v>
      </c>
      <c r="B85" s="15" t="s">
        <v>509</v>
      </c>
      <c r="C85" s="15" t="s">
        <v>147</v>
      </c>
      <c r="D85" s="16">
        <v>7.061453968E9</v>
      </c>
      <c r="E85" s="15" t="s">
        <v>155</v>
      </c>
      <c r="F85" s="15" t="s">
        <v>506</v>
      </c>
      <c r="G85" s="16" t="s">
        <v>102</v>
      </c>
      <c r="H85" s="16" t="s">
        <v>132</v>
      </c>
      <c r="I85" s="15" t="s">
        <v>39</v>
      </c>
      <c r="J85" s="15" t="s">
        <v>31</v>
      </c>
      <c r="K85" s="16" t="s">
        <v>32</v>
      </c>
      <c r="L85" s="15" t="s">
        <v>220</v>
      </c>
      <c r="M85" s="15" t="s">
        <v>34</v>
      </c>
      <c r="N85" s="15" t="s">
        <v>35</v>
      </c>
      <c r="O85" s="17"/>
      <c r="P85" s="17"/>
      <c r="Q85" s="17"/>
      <c r="R85" s="22" t="s">
        <v>510</v>
      </c>
      <c r="S85" s="18">
        <v>46111.0</v>
      </c>
      <c r="T85" s="19"/>
      <c r="U85" s="15" t="s">
        <v>511</v>
      </c>
      <c r="V85" s="13"/>
      <c r="W85" s="13" t="s">
        <v>260</v>
      </c>
      <c r="X85" s="13"/>
      <c r="Z85" s="13"/>
    </row>
    <row r="86" ht="21.75" customHeight="1">
      <c r="A86" s="27" t="str">
        <f>IF(B86="","","CAN-"&amp;TEXT(83,"000"))</f>
        <v>CAN-083</v>
      </c>
      <c r="B86" s="8" t="s">
        <v>512</v>
      </c>
      <c r="C86" s="8" t="s">
        <v>24</v>
      </c>
      <c r="D86" s="30">
        <v>8.45187515E9</v>
      </c>
      <c r="E86" s="8" t="s">
        <v>112</v>
      </c>
      <c r="F86" s="8" t="s">
        <v>90</v>
      </c>
      <c r="G86" s="9" t="s">
        <v>513</v>
      </c>
      <c r="H86" s="9" t="s">
        <v>514</v>
      </c>
      <c r="I86" s="8" t="s">
        <v>83</v>
      </c>
      <c r="J86" s="8" t="s">
        <v>31</v>
      </c>
      <c r="K86" s="9" t="s">
        <v>32</v>
      </c>
      <c r="L86" s="8" t="s">
        <v>33</v>
      </c>
      <c r="M86" s="8" t="s">
        <v>34</v>
      </c>
      <c r="N86" s="8" t="s">
        <v>35</v>
      </c>
      <c r="O86" s="10"/>
      <c r="P86" s="10"/>
      <c r="Q86" s="10"/>
      <c r="R86" s="10"/>
      <c r="S86" s="20">
        <v>46112.0</v>
      </c>
      <c r="T86" s="21"/>
      <c r="U86" s="8" t="s">
        <v>496</v>
      </c>
      <c r="V86" s="13"/>
      <c r="W86" s="13" t="s">
        <v>515</v>
      </c>
      <c r="X86" s="13"/>
      <c r="Z86" s="13"/>
    </row>
    <row r="87" ht="21.75" customHeight="1">
      <c r="A87" s="25" t="str">
        <f>IF(B87="","","CAN-"&amp;TEXT(84,"000"))</f>
        <v>CAN-084</v>
      </c>
      <c r="B87" s="15" t="s">
        <v>516</v>
      </c>
      <c r="C87" s="15" t="s">
        <v>24</v>
      </c>
      <c r="D87" s="16">
        <v>8.137034129E9</v>
      </c>
      <c r="E87" s="15" t="s">
        <v>101</v>
      </c>
      <c r="F87" s="15" t="s">
        <v>90</v>
      </c>
      <c r="G87" s="16" t="s">
        <v>517</v>
      </c>
      <c r="H87" s="16" t="s">
        <v>518</v>
      </c>
      <c r="I87" s="15" t="s">
        <v>83</v>
      </c>
      <c r="J87" s="15" t="s">
        <v>31</v>
      </c>
      <c r="K87" s="16" t="s">
        <v>32</v>
      </c>
      <c r="L87" s="15" t="s">
        <v>33</v>
      </c>
      <c r="M87" s="15" t="s">
        <v>94</v>
      </c>
      <c r="N87" s="15" t="s">
        <v>35</v>
      </c>
      <c r="O87" s="17"/>
      <c r="P87" s="17"/>
      <c r="Q87" s="15"/>
      <c r="R87" s="17"/>
      <c r="S87" s="18">
        <v>46112.0</v>
      </c>
      <c r="T87" s="19"/>
      <c r="U87" s="15" t="s">
        <v>496</v>
      </c>
      <c r="V87" s="13"/>
      <c r="W87" s="13" t="s">
        <v>519</v>
      </c>
      <c r="X87" s="13"/>
      <c r="Z87" s="13"/>
    </row>
    <row r="88" ht="21.75" customHeight="1">
      <c r="A88" s="27" t="str">
        <f>IF(B88="","","CAN-"&amp;TEXT(85,"000"))</f>
        <v>CAN-085</v>
      </c>
      <c r="B88" s="8" t="s">
        <v>520</v>
      </c>
      <c r="C88" s="8" t="s">
        <v>24</v>
      </c>
      <c r="D88" s="9">
        <v>9.326677029E9</v>
      </c>
      <c r="E88" s="8" t="s">
        <v>210</v>
      </c>
      <c r="F88" s="8" t="s">
        <v>108</v>
      </c>
      <c r="G88" s="9" t="s">
        <v>521</v>
      </c>
      <c r="H88" s="9" t="s">
        <v>522</v>
      </c>
      <c r="I88" s="8" t="s">
        <v>39</v>
      </c>
      <c r="J88" s="8" t="s">
        <v>293</v>
      </c>
      <c r="K88" s="9" t="s">
        <v>32</v>
      </c>
      <c r="L88" s="8" t="s">
        <v>33</v>
      </c>
      <c r="M88" s="8" t="s">
        <v>34</v>
      </c>
      <c r="N88" s="8" t="s">
        <v>35</v>
      </c>
      <c r="O88" s="10"/>
      <c r="P88" s="10"/>
      <c r="Q88" s="10"/>
      <c r="R88" s="10"/>
      <c r="S88" s="20">
        <v>46112.0</v>
      </c>
      <c r="T88" s="21"/>
      <c r="U88" s="8" t="s">
        <v>511</v>
      </c>
      <c r="V88" s="13"/>
      <c r="W88" s="13" t="s">
        <v>523</v>
      </c>
      <c r="X88" s="13"/>
      <c r="Z88" s="13"/>
    </row>
    <row r="89" ht="21.75" customHeight="1">
      <c r="A89" s="25" t="str">
        <f>IF(B89="","","CAN-"&amp;TEXT(86,"000"))</f>
        <v>CAN-086</v>
      </c>
      <c r="B89" s="15" t="s">
        <v>524</v>
      </c>
      <c r="C89" s="15" t="s">
        <v>24</v>
      </c>
      <c r="D89" s="16">
        <v>9.289398517E9</v>
      </c>
      <c r="E89" s="15" t="s">
        <v>525</v>
      </c>
      <c r="F89" s="15" t="s">
        <v>108</v>
      </c>
      <c r="G89" s="16" t="s">
        <v>526</v>
      </c>
      <c r="H89" s="16" t="s">
        <v>243</v>
      </c>
      <c r="I89" s="15" t="s">
        <v>30</v>
      </c>
      <c r="J89" s="15" t="s">
        <v>527</v>
      </c>
      <c r="K89" s="16" t="s">
        <v>32</v>
      </c>
      <c r="L89" s="15" t="s">
        <v>151</v>
      </c>
      <c r="M89" s="15" t="s">
        <v>34</v>
      </c>
      <c r="N89" s="15" t="s">
        <v>35</v>
      </c>
      <c r="O89" s="17"/>
      <c r="P89" s="17"/>
      <c r="Q89" s="17"/>
      <c r="R89" s="17"/>
      <c r="S89" s="18">
        <v>46112.0</v>
      </c>
      <c r="T89" s="19"/>
      <c r="U89" s="15" t="s">
        <v>37</v>
      </c>
      <c r="V89" s="13"/>
      <c r="W89" s="13" t="s">
        <v>528</v>
      </c>
      <c r="X89" s="13"/>
      <c r="Z89" s="13"/>
    </row>
    <row r="90" ht="21.75" customHeight="1">
      <c r="A90" s="27" t="str">
        <f>IF(B90="","","CAN-"&amp;TEXT(87,"000"))</f>
        <v>CAN-087</v>
      </c>
      <c r="B90" s="8" t="s">
        <v>529</v>
      </c>
      <c r="C90" s="8" t="s">
        <v>24</v>
      </c>
      <c r="D90" s="9">
        <v>9.309545357E9</v>
      </c>
      <c r="E90" s="8" t="s">
        <v>307</v>
      </c>
      <c r="F90" s="8" t="s">
        <v>90</v>
      </c>
      <c r="G90" s="9" t="s">
        <v>387</v>
      </c>
      <c r="H90" s="9" t="s">
        <v>530</v>
      </c>
      <c r="I90" s="8" t="s">
        <v>39</v>
      </c>
      <c r="J90" s="8" t="s">
        <v>304</v>
      </c>
      <c r="K90" s="9" t="s">
        <v>32</v>
      </c>
      <c r="L90" s="8" t="s">
        <v>33</v>
      </c>
      <c r="M90" s="8" t="s">
        <v>34</v>
      </c>
      <c r="N90" s="8" t="s">
        <v>35</v>
      </c>
      <c r="O90" s="10"/>
      <c r="P90" s="10"/>
      <c r="Q90" s="10"/>
      <c r="R90" s="10"/>
      <c r="S90" s="20">
        <v>46112.0</v>
      </c>
      <c r="T90" s="21"/>
      <c r="U90" s="8" t="s">
        <v>171</v>
      </c>
      <c r="V90" s="13"/>
      <c r="W90" s="13" t="s">
        <v>525</v>
      </c>
      <c r="X90" s="13"/>
      <c r="Z90" s="13"/>
    </row>
    <row r="91" ht="21.75" customHeight="1">
      <c r="A91" s="25" t="str">
        <f>IF(B91="","","CAN-"&amp;TEXT(88,"000"))</f>
        <v>CAN-088</v>
      </c>
      <c r="B91" s="15" t="s">
        <v>531</v>
      </c>
      <c r="C91" s="15" t="s">
        <v>147</v>
      </c>
      <c r="D91" s="16">
        <v>7.021421546E9</v>
      </c>
      <c r="E91" s="15" t="s">
        <v>120</v>
      </c>
      <c r="F91" s="15" t="s">
        <v>90</v>
      </c>
      <c r="G91" s="23"/>
      <c r="H91" s="23"/>
      <c r="I91" s="15" t="s">
        <v>39</v>
      </c>
      <c r="J91" s="15" t="s">
        <v>532</v>
      </c>
      <c r="K91" s="16" t="s">
        <v>32</v>
      </c>
      <c r="L91" s="15" t="s">
        <v>61</v>
      </c>
      <c r="M91" s="15" t="s">
        <v>195</v>
      </c>
      <c r="N91" s="15" t="s">
        <v>48</v>
      </c>
      <c r="O91" s="17"/>
      <c r="P91" s="17"/>
      <c r="Q91" s="17"/>
      <c r="R91" s="22" t="s">
        <v>533</v>
      </c>
      <c r="S91" s="18">
        <v>46111.0</v>
      </c>
      <c r="T91" s="19"/>
      <c r="U91" s="17"/>
      <c r="V91" s="13"/>
      <c r="W91" s="13" t="s">
        <v>534</v>
      </c>
      <c r="X91" s="13"/>
      <c r="Z91" s="13"/>
    </row>
    <row r="92" ht="21.75" customHeight="1">
      <c r="A92" s="27" t="str">
        <f>IF(B92="","","CAN-"&amp;TEXT(89,"000"))</f>
        <v>CAN-089</v>
      </c>
      <c r="B92" s="8" t="s">
        <v>535</v>
      </c>
      <c r="C92" s="8" t="s">
        <v>147</v>
      </c>
      <c r="D92" s="33" t="s">
        <v>536</v>
      </c>
      <c r="E92" s="8" t="s">
        <v>334</v>
      </c>
      <c r="F92" s="8" t="s">
        <v>385</v>
      </c>
      <c r="G92" s="9" t="s">
        <v>537</v>
      </c>
      <c r="H92" s="9" t="s">
        <v>538</v>
      </c>
      <c r="I92" s="8" t="s">
        <v>39</v>
      </c>
      <c r="J92" s="10"/>
      <c r="K92" s="9" t="s">
        <v>92</v>
      </c>
      <c r="L92" s="8" t="s">
        <v>539</v>
      </c>
      <c r="M92" s="8" t="s">
        <v>34</v>
      </c>
      <c r="N92" s="8" t="s">
        <v>48</v>
      </c>
      <c r="O92" s="10"/>
      <c r="P92" s="10"/>
      <c r="Q92" s="10"/>
      <c r="R92" s="11" t="s">
        <v>540</v>
      </c>
      <c r="S92" s="20">
        <v>46112.0</v>
      </c>
      <c r="T92" s="20">
        <v>46120.0</v>
      </c>
      <c r="U92" s="8" t="s">
        <v>541</v>
      </c>
      <c r="V92" s="13"/>
      <c r="W92" s="13" t="s">
        <v>50</v>
      </c>
      <c r="X92" s="13"/>
      <c r="Z92" s="13"/>
    </row>
    <row r="93" ht="21.75" customHeight="1">
      <c r="A93" s="25" t="str">
        <f>IF(B93="","","CAN-"&amp;TEXT(90,"000"))</f>
        <v>CAN-090</v>
      </c>
      <c r="B93" s="15" t="s">
        <v>542</v>
      </c>
      <c r="C93" s="15" t="s">
        <v>24</v>
      </c>
      <c r="D93" s="23"/>
      <c r="E93" s="15" t="s">
        <v>248</v>
      </c>
      <c r="F93" s="15" t="s">
        <v>543</v>
      </c>
      <c r="G93" s="16" t="s">
        <v>226</v>
      </c>
      <c r="H93" s="16" t="s">
        <v>544</v>
      </c>
      <c r="I93" s="15" t="s">
        <v>76</v>
      </c>
      <c r="J93" s="15" t="s">
        <v>545</v>
      </c>
      <c r="K93" s="16" t="s">
        <v>32</v>
      </c>
      <c r="L93" s="17"/>
      <c r="M93" s="17"/>
      <c r="N93" s="17"/>
      <c r="O93" s="17"/>
      <c r="P93" s="17"/>
      <c r="Q93" s="17"/>
      <c r="R93" s="17"/>
      <c r="S93" s="19"/>
      <c r="T93" s="19"/>
      <c r="U93" s="17"/>
      <c r="V93" s="13"/>
      <c r="W93" s="13" t="s">
        <v>546</v>
      </c>
      <c r="X93" s="13"/>
      <c r="Z93" s="13"/>
    </row>
    <row r="94" ht="21.75" customHeight="1">
      <c r="A94" s="27" t="str">
        <f>IF(B94="","","CAN-"&amp;TEXT(91,"000"))</f>
        <v>CAN-091</v>
      </c>
      <c r="B94" s="8" t="s">
        <v>547</v>
      </c>
      <c r="C94" s="8" t="s">
        <v>147</v>
      </c>
      <c r="D94" s="9">
        <v>7.208533236E9</v>
      </c>
      <c r="E94" s="8" t="s">
        <v>334</v>
      </c>
      <c r="F94" s="8" t="s">
        <v>457</v>
      </c>
      <c r="G94" s="9" t="s">
        <v>44</v>
      </c>
      <c r="H94" s="9" t="s">
        <v>548</v>
      </c>
      <c r="I94" s="8" t="s">
        <v>39</v>
      </c>
      <c r="J94" s="8" t="s">
        <v>403</v>
      </c>
      <c r="K94" s="9" t="s">
        <v>32</v>
      </c>
      <c r="L94" s="8" t="s">
        <v>445</v>
      </c>
      <c r="M94" s="8" t="s">
        <v>34</v>
      </c>
      <c r="N94" s="8" t="s">
        <v>48</v>
      </c>
      <c r="O94" s="10"/>
      <c r="P94" s="10"/>
      <c r="Q94" s="10"/>
      <c r="R94" s="11" t="s">
        <v>549</v>
      </c>
      <c r="S94" s="20">
        <v>46111.0</v>
      </c>
      <c r="T94" s="20">
        <v>46115.0</v>
      </c>
      <c r="U94" s="8" t="s">
        <v>541</v>
      </c>
      <c r="V94" s="13"/>
      <c r="W94" s="13" t="s">
        <v>550</v>
      </c>
      <c r="X94" s="13"/>
      <c r="Z94" s="13"/>
    </row>
    <row r="95" ht="21.75" customHeight="1">
      <c r="A95" s="25" t="str">
        <f>IF(B95="","","CAN-"&amp;TEXT(92,"000"))</f>
        <v>CAN-092</v>
      </c>
      <c r="B95" s="15" t="s">
        <v>551</v>
      </c>
      <c r="C95" s="15" t="s">
        <v>41</v>
      </c>
      <c r="D95" s="16">
        <v>8.219091443E9</v>
      </c>
      <c r="E95" s="15" t="s">
        <v>210</v>
      </c>
      <c r="F95" s="15" t="s">
        <v>108</v>
      </c>
      <c r="G95" s="16" t="s">
        <v>544</v>
      </c>
      <c r="H95" s="16" t="s">
        <v>324</v>
      </c>
      <c r="I95" s="15" t="s">
        <v>39</v>
      </c>
      <c r="J95" s="15" t="s">
        <v>293</v>
      </c>
      <c r="K95" s="16" t="s">
        <v>32</v>
      </c>
      <c r="L95" s="15" t="s">
        <v>220</v>
      </c>
      <c r="M95" s="15" t="s">
        <v>34</v>
      </c>
      <c r="N95" s="15" t="s">
        <v>45</v>
      </c>
      <c r="O95" s="17"/>
      <c r="P95" s="17"/>
      <c r="Q95" s="17"/>
      <c r="R95" s="22" t="s">
        <v>552</v>
      </c>
      <c r="S95" s="18">
        <v>46111.0</v>
      </c>
      <c r="T95" s="19"/>
      <c r="U95" s="15" t="s">
        <v>295</v>
      </c>
      <c r="V95" s="13"/>
      <c r="W95" s="13" t="s">
        <v>553</v>
      </c>
      <c r="X95" s="13"/>
      <c r="Z95" s="13"/>
    </row>
    <row r="96" ht="21.75" customHeight="1">
      <c r="A96" s="27" t="str">
        <f>IF(B96="","","CAN-"&amp;TEXT(93,"000"))</f>
        <v>CAN-093</v>
      </c>
      <c r="B96" s="8" t="s">
        <v>554</v>
      </c>
      <c r="C96" s="8" t="s">
        <v>41</v>
      </c>
      <c r="D96" s="9">
        <v>9.029865492E9</v>
      </c>
      <c r="E96" s="8" t="s">
        <v>481</v>
      </c>
      <c r="F96" s="8" t="s">
        <v>108</v>
      </c>
      <c r="G96" s="9" t="s">
        <v>43</v>
      </c>
      <c r="H96" s="9" t="s">
        <v>44</v>
      </c>
      <c r="I96" s="8" t="s">
        <v>39</v>
      </c>
      <c r="J96" s="8" t="s">
        <v>325</v>
      </c>
      <c r="K96" s="9" t="s">
        <v>92</v>
      </c>
      <c r="L96" s="8" t="s">
        <v>445</v>
      </c>
      <c r="M96" s="8" t="s">
        <v>54</v>
      </c>
      <c r="N96" s="8" t="s">
        <v>45</v>
      </c>
      <c r="O96" s="10"/>
      <c r="P96" s="10"/>
      <c r="Q96" s="10"/>
      <c r="R96" s="11" t="s">
        <v>555</v>
      </c>
      <c r="S96" s="20">
        <v>46111.0</v>
      </c>
      <c r="T96" s="21"/>
      <c r="U96" s="8" t="s">
        <v>295</v>
      </c>
      <c r="V96" s="13"/>
      <c r="W96" s="13" t="s">
        <v>556</v>
      </c>
      <c r="X96" s="13"/>
      <c r="Z96" s="13"/>
    </row>
    <row r="97" ht="21.75" customHeight="1">
      <c r="A97" s="25" t="str">
        <f>IF(B97="","","CAN-"&amp;TEXT(94,"000"))</f>
        <v>CAN-094</v>
      </c>
      <c r="B97" s="15" t="s">
        <v>557</v>
      </c>
      <c r="C97" s="15" t="s">
        <v>41</v>
      </c>
      <c r="D97" s="16">
        <v>7.50665581E9</v>
      </c>
      <c r="E97" s="15" t="s">
        <v>101</v>
      </c>
      <c r="F97" s="15" t="s">
        <v>90</v>
      </c>
      <c r="G97" s="16" t="s">
        <v>453</v>
      </c>
      <c r="H97" s="23"/>
      <c r="I97" s="15" t="s">
        <v>39</v>
      </c>
      <c r="J97" s="15" t="s">
        <v>558</v>
      </c>
      <c r="K97" s="16" t="s">
        <v>32</v>
      </c>
      <c r="L97" s="15" t="s">
        <v>207</v>
      </c>
      <c r="M97" s="15" t="s">
        <v>34</v>
      </c>
      <c r="N97" s="15" t="s">
        <v>45</v>
      </c>
      <c r="O97" s="17"/>
      <c r="P97" s="17"/>
      <c r="Q97" s="17"/>
      <c r="R97" s="22" t="s">
        <v>559</v>
      </c>
      <c r="S97" s="18">
        <v>46111.0</v>
      </c>
      <c r="T97" s="19"/>
      <c r="U97" s="15" t="s">
        <v>560</v>
      </c>
      <c r="V97" s="13"/>
      <c r="W97" s="13" t="s">
        <v>561</v>
      </c>
      <c r="X97" s="13"/>
      <c r="Z97" s="13"/>
    </row>
    <row r="98" ht="21.75" customHeight="1">
      <c r="A98" s="27" t="str">
        <f>IF(B98="","","CAN-"&amp;TEXT(95,"000"))</f>
        <v>CAN-095</v>
      </c>
      <c r="B98" s="8" t="s">
        <v>562</v>
      </c>
      <c r="C98" s="8" t="s">
        <v>41</v>
      </c>
      <c r="D98" s="9">
        <v>7.021028934E9</v>
      </c>
      <c r="E98" s="8" t="s">
        <v>205</v>
      </c>
      <c r="F98" s="8" t="s">
        <v>90</v>
      </c>
      <c r="G98" s="9" t="s">
        <v>324</v>
      </c>
      <c r="H98" s="9" t="s">
        <v>361</v>
      </c>
      <c r="I98" s="8" t="s">
        <v>39</v>
      </c>
      <c r="J98" s="8" t="s">
        <v>563</v>
      </c>
      <c r="K98" s="9" t="s">
        <v>92</v>
      </c>
      <c r="L98" s="8" t="s">
        <v>220</v>
      </c>
      <c r="M98" s="8" t="s">
        <v>34</v>
      </c>
      <c r="N98" s="8" t="s">
        <v>45</v>
      </c>
      <c r="O98" s="10"/>
      <c r="P98" s="10"/>
      <c r="Q98" s="10"/>
      <c r="R98" s="11" t="s">
        <v>564</v>
      </c>
      <c r="S98" s="20">
        <v>46111.0</v>
      </c>
      <c r="T98" s="21"/>
      <c r="U98" s="8" t="s">
        <v>125</v>
      </c>
      <c r="V98" s="13"/>
      <c r="W98" s="13" t="s">
        <v>565</v>
      </c>
      <c r="X98" s="13"/>
      <c r="Z98" s="13"/>
    </row>
    <row r="99" ht="21.75" customHeight="1">
      <c r="A99" s="25" t="str">
        <f>IF(B99="","","CAN-"&amp;TEXT(96,"000"))</f>
        <v>CAN-096</v>
      </c>
      <c r="B99" s="15" t="s">
        <v>566</v>
      </c>
      <c r="C99" s="15" t="s">
        <v>41</v>
      </c>
      <c r="D99" s="16">
        <v>8.879190802E9</v>
      </c>
      <c r="E99" s="15" t="s">
        <v>299</v>
      </c>
      <c r="F99" s="15" t="s">
        <v>108</v>
      </c>
      <c r="G99" s="16" t="s">
        <v>567</v>
      </c>
      <c r="H99" s="16" t="s">
        <v>460</v>
      </c>
      <c r="I99" s="15" t="s">
        <v>39</v>
      </c>
      <c r="J99" s="15" t="s">
        <v>39</v>
      </c>
      <c r="K99" s="16" t="s">
        <v>32</v>
      </c>
      <c r="L99" s="15" t="s">
        <v>220</v>
      </c>
      <c r="M99" s="15" t="s">
        <v>34</v>
      </c>
      <c r="N99" s="15" t="s">
        <v>45</v>
      </c>
      <c r="O99" s="17"/>
      <c r="P99" s="17"/>
      <c r="Q99" s="17"/>
      <c r="R99" s="22" t="s">
        <v>568</v>
      </c>
      <c r="S99" s="18">
        <v>46111.0</v>
      </c>
      <c r="T99" s="19"/>
      <c r="U99" s="15" t="s">
        <v>125</v>
      </c>
      <c r="V99" s="13"/>
      <c r="W99" s="13" t="s">
        <v>569</v>
      </c>
      <c r="X99" s="13"/>
      <c r="Z99" s="13"/>
    </row>
    <row r="100" ht="21.75" customHeight="1">
      <c r="A100" s="27" t="str">
        <f>IF(B100="","","CAN-"&amp;TEXT(97,"000"))</f>
        <v>CAN-097</v>
      </c>
      <c r="B100" s="8" t="s">
        <v>570</v>
      </c>
      <c r="C100" s="8" t="s">
        <v>41</v>
      </c>
      <c r="D100" s="9">
        <v>6.205002736E9</v>
      </c>
      <c r="E100" s="8" t="s">
        <v>465</v>
      </c>
      <c r="F100" s="8" t="s">
        <v>108</v>
      </c>
      <c r="G100" s="9" t="s">
        <v>571</v>
      </c>
      <c r="H100" s="9" t="s">
        <v>121</v>
      </c>
      <c r="I100" s="8" t="s">
        <v>39</v>
      </c>
      <c r="J100" s="8" t="s">
        <v>532</v>
      </c>
      <c r="K100" s="9" t="s">
        <v>32</v>
      </c>
      <c r="L100" s="8" t="s">
        <v>220</v>
      </c>
      <c r="M100" s="8" t="s">
        <v>34</v>
      </c>
      <c r="N100" s="8" t="s">
        <v>45</v>
      </c>
      <c r="O100" s="10"/>
      <c r="P100" s="10"/>
      <c r="Q100" s="10"/>
      <c r="R100" s="11" t="s">
        <v>572</v>
      </c>
      <c r="S100" s="20">
        <v>46111.0</v>
      </c>
      <c r="T100" s="21"/>
      <c r="U100" s="8" t="s">
        <v>153</v>
      </c>
      <c r="V100" s="13"/>
      <c r="W100" s="13" t="s">
        <v>573</v>
      </c>
      <c r="X100" s="13"/>
      <c r="Z100" s="13"/>
    </row>
    <row r="101" ht="21.75" customHeight="1">
      <c r="A101" s="25" t="str">
        <f>IF(B101="","","CAN-"&amp;TEXT(98,"000"))</f>
        <v>CAN-098</v>
      </c>
      <c r="B101" s="15" t="s">
        <v>574</v>
      </c>
      <c r="C101" s="15" t="s">
        <v>147</v>
      </c>
      <c r="D101" s="16">
        <v>7.710936415E9</v>
      </c>
      <c r="E101" s="15" t="s">
        <v>334</v>
      </c>
      <c r="F101" s="15" t="s">
        <v>575</v>
      </c>
      <c r="G101" s="16" t="s">
        <v>361</v>
      </c>
      <c r="H101" s="23"/>
      <c r="I101" s="15" t="s">
        <v>39</v>
      </c>
      <c r="J101" s="15" t="s">
        <v>52</v>
      </c>
      <c r="K101" s="16" t="s">
        <v>92</v>
      </c>
      <c r="L101" s="15" t="s">
        <v>61</v>
      </c>
      <c r="M101" s="15" t="s">
        <v>34</v>
      </c>
      <c r="N101" s="15" t="s">
        <v>35</v>
      </c>
      <c r="O101" s="17"/>
      <c r="P101" s="17"/>
      <c r="Q101" s="17"/>
      <c r="R101" s="22" t="s">
        <v>576</v>
      </c>
      <c r="S101" s="18">
        <v>46111.0</v>
      </c>
      <c r="T101" s="19"/>
      <c r="U101" s="15" t="s">
        <v>480</v>
      </c>
      <c r="V101" s="13"/>
      <c r="W101" s="13"/>
      <c r="X101" s="13"/>
      <c r="Z101" s="13"/>
    </row>
    <row r="102" ht="21.75" customHeight="1">
      <c r="A102" s="27" t="str">
        <f>IF(B102="","","CAN-"&amp;TEXT(99,"000"))</f>
        <v>CAN-099</v>
      </c>
      <c r="B102" s="8" t="s">
        <v>577</v>
      </c>
      <c r="C102" s="15" t="s">
        <v>147</v>
      </c>
      <c r="D102" s="9">
        <v>8.097223679E9</v>
      </c>
      <c r="E102" s="8" t="s">
        <v>120</v>
      </c>
      <c r="F102" s="8" t="s">
        <v>90</v>
      </c>
      <c r="G102" s="9" t="s">
        <v>122</v>
      </c>
      <c r="H102" s="24"/>
      <c r="I102" s="8" t="s">
        <v>39</v>
      </c>
      <c r="J102" s="8" t="s">
        <v>262</v>
      </c>
      <c r="K102" s="9" t="s">
        <v>32</v>
      </c>
      <c r="L102" s="8" t="s">
        <v>194</v>
      </c>
      <c r="M102" s="8" t="s">
        <v>54</v>
      </c>
      <c r="N102" s="8" t="s">
        <v>48</v>
      </c>
      <c r="O102" s="10"/>
      <c r="P102" s="10"/>
      <c r="Q102" s="10"/>
      <c r="R102" s="11" t="s">
        <v>578</v>
      </c>
      <c r="S102" s="20">
        <v>46111.0</v>
      </c>
      <c r="T102" s="21"/>
      <c r="U102" s="8" t="s">
        <v>125</v>
      </c>
      <c r="V102" s="13"/>
      <c r="W102" s="13"/>
      <c r="X102" s="13"/>
      <c r="Z102" s="13"/>
    </row>
    <row r="103" ht="21.75" customHeight="1">
      <c r="A103" s="25" t="str">
        <f>IF(B103="","","CAN-"&amp;TEXT(100,"000"))</f>
        <v>CAN-100</v>
      </c>
      <c r="B103" s="15" t="s">
        <v>579</v>
      </c>
      <c r="C103" s="15" t="s">
        <v>147</v>
      </c>
      <c r="D103" s="16">
        <v>7.039079142E9</v>
      </c>
      <c r="E103" s="15" t="s">
        <v>42</v>
      </c>
      <c r="F103" s="15" t="s">
        <v>90</v>
      </c>
      <c r="G103" s="16" t="s">
        <v>43</v>
      </c>
      <c r="H103" s="16" t="s">
        <v>201</v>
      </c>
      <c r="I103" s="15" t="s">
        <v>39</v>
      </c>
      <c r="J103" s="15" t="s">
        <v>580</v>
      </c>
      <c r="K103" s="16" t="s">
        <v>32</v>
      </c>
      <c r="L103" s="15" t="s">
        <v>33</v>
      </c>
      <c r="M103" s="15" t="s">
        <v>34</v>
      </c>
      <c r="N103" s="15" t="s">
        <v>48</v>
      </c>
      <c r="O103" s="17"/>
      <c r="P103" s="17"/>
      <c r="Q103" s="15" t="s">
        <v>581</v>
      </c>
      <c r="R103" s="22" t="s">
        <v>582</v>
      </c>
      <c r="S103" s="18">
        <v>46112.0</v>
      </c>
      <c r="T103" s="18">
        <v>46113.0</v>
      </c>
      <c r="U103" s="15" t="s">
        <v>480</v>
      </c>
      <c r="V103" s="13"/>
      <c r="W103" s="13"/>
      <c r="X103" s="13"/>
      <c r="Z103" s="13"/>
    </row>
    <row r="104" ht="21.75" customHeight="1">
      <c r="A104" s="27" t="str">
        <f>IF(B104="","","CAN-"&amp;TEXT(101,"000"))</f>
        <v>CAN-101</v>
      </c>
      <c r="B104" s="8" t="s">
        <v>583</v>
      </c>
      <c r="C104" s="15" t="s">
        <v>41</v>
      </c>
      <c r="D104" s="9">
        <v>8.898371443E9</v>
      </c>
      <c r="E104" s="8" t="s">
        <v>365</v>
      </c>
      <c r="F104" s="8" t="s">
        <v>90</v>
      </c>
      <c r="G104" s="9" t="s">
        <v>453</v>
      </c>
      <c r="H104" s="9" t="s">
        <v>484</v>
      </c>
      <c r="I104" s="8" t="s">
        <v>39</v>
      </c>
      <c r="J104" s="8" t="s">
        <v>507</v>
      </c>
      <c r="K104" s="9">
        <v>9.366732166E9</v>
      </c>
      <c r="L104" s="8" t="s">
        <v>61</v>
      </c>
      <c r="M104" s="8" t="s">
        <v>34</v>
      </c>
      <c r="N104" s="8" t="s">
        <v>45</v>
      </c>
      <c r="O104" s="10"/>
      <c r="P104" s="10"/>
      <c r="Q104" s="10"/>
      <c r="R104" s="34" t="s">
        <v>584</v>
      </c>
      <c r="S104" s="18">
        <v>46112.0</v>
      </c>
      <c r="T104" s="21"/>
      <c r="U104" s="8" t="s">
        <v>125</v>
      </c>
      <c r="V104" s="13"/>
      <c r="W104" s="13"/>
      <c r="X104" s="13"/>
      <c r="Z104" s="13"/>
    </row>
    <row r="105" ht="21.75" customHeight="1">
      <c r="A105" s="25" t="str">
        <f>IF(B105="","","CAN-"&amp;TEXT(102,"000"))</f>
        <v>CAN-102</v>
      </c>
      <c r="B105" s="15" t="s">
        <v>585</v>
      </c>
      <c r="C105" s="8" t="s">
        <v>41</v>
      </c>
      <c r="D105" s="16">
        <v>9.321427378E9</v>
      </c>
      <c r="E105" s="15" t="s">
        <v>179</v>
      </c>
      <c r="F105" s="15" t="s">
        <v>90</v>
      </c>
      <c r="G105" s="16" t="s">
        <v>586</v>
      </c>
      <c r="H105" s="16" t="s">
        <v>586</v>
      </c>
      <c r="I105" s="15" t="s">
        <v>39</v>
      </c>
      <c r="J105" s="15" t="s">
        <v>587</v>
      </c>
      <c r="K105" s="16" t="s">
        <v>32</v>
      </c>
      <c r="L105" s="15" t="s">
        <v>33</v>
      </c>
      <c r="M105" s="15" t="s">
        <v>586</v>
      </c>
      <c r="N105" s="15" t="s">
        <v>45</v>
      </c>
      <c r="O105" s="17"/>
      <c r="P105" s="17"/>
      <c r="Q105" s="17"/>
      <c r="R105" s="22" t="s">
        <v>588</v>
      </c>
      <c r="S105" s="18">
        <v>46112.0</v>
      </c>
      <c r="T105" s="19"/>
      <c r="U105" s="15" t="s">
        <v>97</v>
      </c>
      <c r="V105" s="13"/>
      <c r="W105" s="13"/>
      <c r="X105" s="13"/>
      <c r="Z105" s="13"/>
    </row>
    <row r="106" ht="21.75" customHeight="1">
      <c r="A106" s="27" t="str">
        <f>IF(B106="","","CAN-"&amp;TEXT(103,"000"))</f>
        <v>CAN-103</v>
      </c>
      <c r="B106" s="8" t="s">
        <v>589</v>
      </c>
      <c r="C106" s="8" t="s">
        <v>147</v>
      </c>
      <c r="D106" s="35">
        <v>8.097650679E9</v>
      </c>
      <c r="E106" s="8" t="s">
        <v>191</v>
      </c>
      <c r="F106" s="8" t="s">
        <v>108</v>
      </c>
      <c r="G106" s="9" t="s">
        <v>121</v>
      </c>
      <c r="H106" s="24"/>
      <c r="I106" s="8" t="s">
        <v>39</v>
      </c>
      <c r="J106" s="8" t="s">
        <v>590</v>
      </c>
      <c r="K106" s="16" t="s">
        <v>32</v>
      </c>
      <c r="L106" s="8" t="s">
        <v>194</v>
      </c>
      <c r="M106" s="15" t="s">
        <v>34</v>
      </c>
      <c r="N106" s="8" t="s">
        <v>31</v>
      </c>
      <c r="O106" s="10"/>
      <c r="P106" s="10"/>
      <c r="Q106" s="10"/>
      <c r="R106" s="11" t="s">
        <v>591</v>
      </c>
      <c r="S106" s="20">
        <v>46112.0</v>
      </c>
      <c r="T106" s="21"/>
      <c r="U106" s="8" t="s">
        <v>252</v>
      </c>
      <c r="V106" s="13"/>
      <c r="W106" s="13"/>
      <c r="X106" s="13"/>
      <c r="Z106" s="13"/>
    </row>
    <row r="107" ht="21.75" customHeight="1">
      <c r="A107" s="25" t="str">
        <f>IF(B107="","","CAN-"&amp;TEXT(104,"000"))</f>
        <v>CAN-104</v>
      </c>
      <c r="B107" s="15" t="s">
        <v>592</v>
      </c>
      <c r="C107" s="8" t="s">
        <v>147</v>
      </c>
      <c r="D107" s="16">
        <v>9.863476323E9</v>
      </c>
      <c r="E107" s="15" t="s">
        <v>50</v>
      </c>
      <c r="F107" s="15" t="s">
        <v>90</v>
      </c>
      <c r="G107" s="16" t="s">
        <v>593</v>
      </c>
      <c r="H107" s="16" t="s">
        <v>121</v>
      </c>
      <c r="I107" s="15" t="s">
        <v>39</v>
      </c>
      <c r="J107" s="15" t="s">
        <v>594</v>
      </c>
      <c r="K107" s="16" t="s">
        <v>92</v>
      </c>
      <c r="L107" s="8" t="s">
        <v>194</v>
      </c>
      <c r="M107" s="15" t="s">
        <v>94</v>
      </c>
      <c r="N107" s="15" t="s">
        <v>45</v>
      </c>
      <c r="O107" s="17"/>
      <c r="P107" s="17"/>
      <c r="Q107" s="17"/>
      <c r="R107" s="22" t="s">
        <v>595</v>
      </c>
      <c r="S107" s="18">
        <v>46113.0</v>
      </c>
      <c r="T107" s="18">
        <v>46114.0</v>
      </c>
      <c r="U107" s="15" t="s">
        <v>125</v>
      </c>
      <c r="V107" s="13"/>
      <c r="W107" s="13"/>
      <c r="X107" s="13"/>
      <c r="Z107" s="13"/>
    </row>
    <row r="108" ht="21.75" customHeight="1">
      <c r="A108" s="27" t="str">
        <f>IF(B108="","","CAN-"&amp;TEXT(105,"000"))</f>
        <v>CAN-105</v>
      </c>
      <c r="B108" s="8" t="s">
        <v>596</v>
      </c>
      <c r="C108" s="8" t="s">
        <v>147</v>
      </c>
      <c r="D108" s="9">
        <v>9.366732166E9</v>
      </c>
      <c r="E108" s="8" t="s">
        <v>225</v>
      </c>
      <c r="F108" s="8" t="s">
        <v>90</v>
      </c>
      <c r="G108" s="9" t="s">
        <v>597</v>
      </c>
      <c r="H108" s="9" t="s">
        <v>201</v>
      </c>
      <c r="I108" s="8" t="s">
        <v>39</v>
      </c>
      <c r="J108" s="8" t="s">
        <v>91</v>
      </c>
      <c r="K108" s="16" t="s">
        <v>92</v>
      </c>
      <c r="L108" s="8" t="s">
        <v>194</v>
      </c>
      <c r="M108" s="15" t="s">
        <v>54</v>
      </c>
      <c r="N108" s="8" t="s">
        <v>31</v>
      </c>
      <c r="O108" s="10"/>
      <c r="P108" s="10"/>
      <c r="Q108" s="10"/>
      <c r="R108" s="11" t="s">
        <v>598</v>
      </c>
      <c r="S108" s="20">
        <v>46113.0</v>
      </c>
      <c r="T108" s="20">
        <v>46114.0</v>
      </c>
      <c r="U108" s="8" t="s">
        <v>125</v>
      </c>
      <c r="V108" s="13"/>
      <c r="W108" s="13"/>
      <c r="X108" s="13"/>
      <c r="Z108" s="13"/>
    </row>
    <row r="109" ht="21.75" customHeight="1">
      <c r="A109" s="25" t="str">
        <f>IF(B109="","","CAN-"&amp;TEXT(106,"000"))</f>
        <v>CAN-106</v>
      </c>
      <c r="B109" s="15" t="s">
        <v>599</v>
      </c>
      <c r="C109" s="8" t="s">
        <v>147</v>
      </c>
      <c r="D109" s="16">
        <v>7.628897205E9</v>
      </c>
      <c r="E109" s="15" t="s">
        <v>239</v>
      </c>
      <c r="F109" s="15" t="s">
        <v>128</v>
      </c>
      <c r="G109" s="23"/>
      <c r="H109" s="23"/>
      <c r="I109" s="15" t="s">
        <v>39</v>
      </c>
      <c r="J109" s="15" t="s">
        <v>594</v>
      </c>
      <c r="K109" s="16" t="s">
        <v>92</v>
      </c>
      <c r="L109" s="8" t="s">
        <v>194</v>
      </c>
      <c r="M109" s="15" t="s">
        <v>94</v>
      </c>
      <c r="N109" s="15" t="s">
        <v>31</v>
      </c>
      <c r="O109" s="17"/>
      <c r="P109" s="17"/>
      <c r="Q109" s="17"/>
      <c r="R109" s="22" t="s">
        <v>600</v>
      </c>
      <c r="S109" s="18">
        <v>46113.0</v>
      </c>
      <c r="T109" s="19"/>
      <c r="U109" s="15" t="s">
        <v>154</v>
      </c>
      <c r="V109" s="13"/>
      <c r="W109" s="13"/>
      <c r="X109" s="13"/>
      <c r="Z109" s="13"/>
    </row>
    <row r="110" ht="21.75" customHeight="1">
      <c r="A110" s="27" t="str">
        <f>IF(B110="","","CAN-"&amp;TEXT(107,"000"))</f>
        <v>CAN-107</v>
      </c>
      <c r="B110" s="8" t="s">
        <v>601</v>
      </c>
      <c r="C110" s="8" t="s">
        <v>41</v>
      </c>
      <c r="D110" s="9">
        <v>9.987113148E9</v>
      </c>
      <c r="E110" s="8" t="s">
        <v>115</v>
      </c>
      <c r="F110" s="8" t="s">
        <v>90</v>
      </c>
      <c r="G110" s="9" t="s">
        <v>602</v>
      </c>
      <c r="H110" s="9" t="s">
        <v>226</v>
      </c>
      <c r="I110" s="8" t="s">
        <v>39</v>
      </c>
      <c r="J110" s="8" t="s">
        <v>262</v>
      </c>
      <c r="K110" s="16" t="s">
        <v>92</v>
      </c>
      <c r="L110" s="8" t="s">
        <v>445</v>
      </c>
      <c r="M110" s="15" t="s">
        <v>34</v>
      </c>
      <c r="N110" s="8" t="s">
        <v>45</v>
      </c>
      <c r="O110" s="10"/>
      <c r="P110" s="10"/>
      <c r="Q110" s="10"/>
      <c r="R110" s="11" t="s">
        <v>603</v>
      </c>
      <c r="S110" s="20">
        <v>46114.0</v>
      </c>
      <c r="T110" s="20">
        <v>46115.0</v>
      </c>
      <c r="U110" s="8" t="s">
        <v>604</v>
      </c>
      <c r="V110" s="13"/>
      <c r="W110" s="13"/>
      <c r="X110" s="13"/>
      <c r="Z110" s="13"/>
    </row>
    <row r="111" ht="21.75" customHeight="1">
      <c r="A111" s="25" t="str">
        <f>IF(B111="","","CAN-"&amp;TEXT(108,"000"))</f>
        <v>CAN-108</v>
      </c>
      <c r="B111" s="15" t="s">
        <v>605</v>
      </c>
      <c r="C111" s="8" t="s">
        <v>41</v>
      </c>
      <c r="D111" s="16">
        <v>9.834823664E9</v>
      </c>
      <c r="E111" s="15" t="s">
        <v>50</v>
      </c>
      <c r="F111" s="15" t="s">
        <v>90</v>
      </c>
      <c r="G111" s="16" t="s">
        <v>586</v>
      </c>
      <c r="H111" s="16" t="s">
        <v>586</v>
      </c>
      <c r="I111" s="15" t="s">
        <v>39</v>
      </c>
      <c r="J111" s="15" t="s">
        <v>606</v>
      </c>
      <c r="K111" s="16" t="s">
        <v>92</v>
      </c>
      <c r="L111" s="15" t="s">
        <v>53</v>
      </c>
      <c r="M111" s="15" t="s">
        <v>195</v>
      </c>
      <c r="N111" s="15" t="s">
        <v>45</v>
      </c>
      <c r="O111" s="17"/>
      <c r="P111" s="17"/>
      <c r="Q111" s="17"/>
      <c r="R111" s="22" t="s">
        <v>607</v>
      </c>
      <c r="S111" s="20">
        <v>46114.0</v>
      </c>
      <c r="T111" s="19"/>
      <c r="U111" s="15" t="s">
        <v>608</v>
      </c>
      <c r="V111" s="13"/>
      <c r="W111" s="13"/>
      <c r="X111" s="13"/>
      <c r="Z111" s="13"/>
    </row>
    <row r="112" ht="21.75" customHeight="1">
      <c r="A112" s="27" t="str">
        <f>IF(B112="","","CAN-"&amp;TEXT(109,"000"))</f>
        <v>CAN-109</v>
      </c>
      <c r="B112" s="8" t="s">
        <v>609</v>
      </c>
      <c r="C112" s="8" t="s">
        <v>41</v>
      </c>
      <c r="D112" s="9">
        <v>9.819439924E9</v>
      </c>
      <c r="E112" s="8" t="s">
        <v>38</v>
      </c>
      <c r="F112" s="8" t="s">
        <v>90</v>
      </c>
      <c r="G112" s="24"/>
      <c r="H112" s="24"/>
      <c r="I112" s="8" t="s">
        <v>39</v>
      </c>
      <c r="J112" s="8" t="s">
        <v>610</v>
      </c>
      <c r="K112" s="16" t="s">
        <v>32</v>
      </c>
      <c r="L112" s="8" t="s">
        <v>93</v>
      </c>
      <c r="M112" s="15" t="s">
        <v>34</v>
      </c>
      <c r="N112" s="8" t="s">
        <v>45</v>
      </c>
      <c r="O112" s="10"/>
      <c r="P112" s="10"/>
      <c r="Q112" s="10"/>
      <c r="R112" s="11" t="s">
        <v>611</v>
      </c>
      <c r="S112" s="20">
        <v>46114.0</v>
      </c>
      <c r="T112" s="21"/>
      <c r="U112" s="10"/>
      <c r="V112" s="13"/>
      <c r="W112" s="13"/>
      <c r="X112" s="13"/>
      <c r="Z112" s="13"/>
    </row>
    <row r="113" ht="21.75" customHeight="1">
      <c r="A113" s="25" t="str">
        <f>IF(B113="","","CAN-"&amp;TEXT(110,"000"))</f>
        <v>CAN-110</v>
      </c>
      <c r="B113" s="15" t="s">
        <v>612</v>
      </c>
      <c r="C113" s="8" t="s">
        <v>41</v>
      </c>
      <c r="D113" s="16">
        <v>7.378802218E9</v>
      </c>
      <c r="E113" s="15" t="s">
        <v>42</v>
      </c>
      <c r="F113" s="15" t="s">
        <v>90</v>
      </c>
      <c r="G113" s="16" t="s">
        <v>613</v>
      </c>
      <c r="H113" s="16" t="s">
        <v>44</v>
      </c>
      <c r="I113" s="15" t="s">
        <v>39</v>
      </c>
      <c r="J113" s="15" t="s">
        <v>614</v>
      </c>
      <c r="K113" s="16" t="s">
        <v>32</v>
      </c>
      <c r="L113" s="15" t="s">
        <v>93</v>
      </c>
      <c r="M113" s="15" t="s">
        <v>34</v>
      </c>
      <c r="N113" s="15" t="s">
        <v>45</v>
      </c>
      <c r="O113" s="17"/>
      <c r="P113" s="17"/>
      <c r="Q113" s="17"/>
      <c r="R113" s="22" t="s">
        <v>615</v>
      </c>
      <c r="S113" s="20">
        <v>46114.0</v>
      </c>
      <c r="T113" s="18">
        <v>46115.0</v>
      </c>
      <c r="U113" s="15" t="s">
        <v>125</v>
      </c>
      <c r="V113" s="13"/>
      <c r="W113" s="13"/>
      <c r="X113" s="13"/>
      <c r="Z113" s="13"/>
    </row>
    <row r="114" ht="21.75" customHeight="1">
      <c r="A114" s="27" t="str">
        <f>IF(B114="","","CAN-"&amp;TEXT(111,"000"))</f>
        <v>CAN-111</v>
      </c>
      <c r="B114" s="8" t="s">
        <v>616</v>
      </c>
      <c r="C114" s="8" t="s">
        <v>147</v>
      </c>
      <c r="D114" s="9">
        <v>9.52857785E9</v>
      </c>
      <c r="E114" s="8" t="s">
        <v>215</v>
      </c>
      <c r="F114" s="8" t="s">
        <v>408</v>
      </c>
      <c r="G114" s="9" t="s">
        <v>517</v>
      </c>
      <c r="H114" s="9" t="s">
        <v>44</v>
      </c>
      <c r="I114" s="8" t="s">
        <v>39</v>
      </c>
      <c r="J114" s="8" t="s">
        <v>344</v>
      </c>
      <c r="K114" s="16" t="s">
        <v>32</v>
      </c>
      <c r="L114" s="8" t="s">
        <v>194</v>
      </c>
      <c r="M114" s="15" t="s">
        <v>34</v>
      </c>
      <c r="N114" s="8" t="s">
        <v>35</v>
      </c>
      <c r="O114" s="10"/>
      <c r="P114" s="10"/>
      <c r="Q114" s="10"/>
      <c r="R114" s="11" t="s">
        <v>617</v>
      </c>
      <c r="S114" s="20">
        <v>46114.0</v>
      </c>
      <c r="T114" s="20">
        <v>46115.0</v>
      </c>
      <c r="U114" s="8" t="s">
        <v>560</v>
      </c>
      <c r="V114" s="13"/>
      <c r="W114" s="13"/>
      <c r="X114" s="13"/>
      <c r="Z114" s="13"/>
    </row>
    <row r="115" ht="21.75" customHeight="1">
      <c r="A115" s="25" t="str">
        <f>IF(B115="","","CAN-"&amp;TEXT(112,"000"))</f>
        <v>CAN-112</v>
      </c>
      <c r="B115" s="15" t="s">
        <v>618</v>
      </c>
      <c r="C115" s="8" t="s">
        <v>147</v>
      </c>
      <c r="D115" s="16">
        <v>9.325844023E9</v>
      </c>
      <c r="E115" s="15" t="s">
        <v>215</v>
      </c>
      <c r="F115" s="15" t="s">
        <v>408</v>
      </c>
      <c r="G115" s="16" t="s">
        <v>51</v>
      </c>
      <c r="H115" s="16" t="s">
        <v>43</v>
      </c>
      <c r="I115" s="15" t="s">
        <v>39</v>
      </c>
      <c r="J115" s="17"/>
      <c r="K115" s="16" t="s">
        <v>32</v>
      </c>
      <c r="L115" s="8" t="s">
        <v>207</v>
      </c>
      <c r="M115" s="15" t="s">
        <v>34</v>
      </c>
      <c r="N115" s="15" t="s">
        <v>35</v>
      </c>
      <c r="O115" s="17"/>
      <c r="P115" s="17"/>
      <c r="Q115" s="17"/>
      <c r="R115" s="22" t="s">
        <v>619</v>
      </c>
      <c r="S115" s="20">
        <v>46114.0</v>
      </c>
      <c r="T115" s="20">
        <v>46120.0</v>
      </c>
      <c r="U115" s="15" t="s">
        <v>560</v>
      </c>
      <c r="V115" s="13"/>
      <c r="W115" s="13"/>
      <c r="X115" s="13"/>
      <c r="Z115" s="13"/>
    </row>
    <row r="116" ht="21.75" customHeight="1">
      <c r="A116" s="27" t="str">
        <f>IF(B116="","","CAN-"&amp;TEXT(113,"000"))</f>
        <v>CAN-113</v>
      </c>
      <c r="B116" s="8" t="s">
        <v>620</v>
      </c>
      <c r="C116" s="8" t="s">
        <v>147</v>
      </c>
      <c r="D116" s="9">
        <v>9.373401328E9</v>
      </c>
      <c r="E116" s="8" t="s">
        <v>210</v>
      </c>
      <c r="F116" s="8" t="s">
        <v>408</v>
      </c>
      <c r="G116" s="9" t="s">
        <v>621</v>
      </c>
      <c r="H116" s="24"/>
      <c r="I116" s="8" t="s">
        <v>39</v>
      </c>
      <c r="J116" s="10"/>
      <c r="K116" s="16" t="s">
        <v>32</v>
      </c>
      <c r="L116" s="8" t="s">
        <v>33</v>
      </c>
      <c r="M116" s="15" t="s">
        <v>34</v>
      </c>
      <c r="N116" s="8" t="s">
        <v>35</v>
      </c>
      <c r="O116" s="10"/>
      <c r="P116" s="10"/>
      <c r="Q116" s="10"/>
      <c r="R116" s="11" t="s">
        <v>622</v>
      </c>
      <c r="S116" s="20">
        <v>46114.0</v>
      </c>
      <c r="T116" s="21"/>
      <c r="U116" s="8" t="s">
        <v>560</v>
      </c>
      <c r="V116" s="13"/>
      <c r="W116" s="13"/>
      <c r="X116" s="13"/>
      <c r="Z116" s="13"/>
    </row>
    <row r="117" ht="21.75" customHeight="1">
      <c r="A117" s="25" t="str">
        <f>IF(B117="","","CAN-"&amp;TEXT(114,"000"))</f>
        <v>CAN-114</v>
      </c>
      <c r="B117" s="15" t="s">
        <v>623</v>
      </c>
      <c r="C117" s="8" t="s">
        <v>147</v>
      </c>
      <c r="D117" s="16">
        <v>9.769419905E9</v>
      </c>
      <c r="E117" s="15" t="s">
        <v>42</v>
      </c>
      <c r="F117" s="15" t="s">
        <v>90</v>
      </c>
      <c r="G117" s="16" t="s">
        <v>201</v>
      </c>
      <c r="H117" s="23"/>
      <c r="I117" s="15" t="s">
        <v>39</v>
      </c>
      <c r="J117" s="15" t="s">
        <v>587</v>
      </c>
      <c r="K117" s="16" t="s">
        <v>32</v>
      </c>
      <c r="L117" s="8" t="s">
        <v>33</v>
      </c>
      <c r="M117" s="15" t="s">
        <v>34</v>
      </c>
      <c r="N117" s="15" t="s">
        <v>48</v>
      </c>
      <c r="O117" s="17"/>
      <c r="P117" s="17"/>
      <c r="Q117" s="17"/>
      <c r="R117" s="22" t="s">
        <v>624</v>
      </c>
      <c r="S117" s="20">
        <v>46114.0</v>
      </c>
      <c r="T117" s="19"/>
      <c r="U117" s="15" t="s">
        <v>480</v>
      </c>
      <c r="V117" s="13"/>
      <c r="W117" s="13"/>
      <c r="X117" s="13"/>
      <c r="Z117" s="13"/>
    </row>
    <row r="118" ht="21.75" customHeight="1">
      <c r="A118" s="27" t="str">
        <f>IF(B118="","","CAN-"&amp;TEXT(115,"000"))</f>
        <v>CAN-115</v>
      </c>
      <c r="B118" s="8" t="s">
        <v>625</v>
      </c>
      <c r="C118" s="8" t="s">
        <v>41</v>
      </c>
      <c r="D118" s="9">
        <v>9.136803271E9</v>
      </c>
      <c r="E118" s="15" t="s">
        <v>120</v>
      </c>
      <c r="F118" s="8" t="s">
        <v>90</v>
      </c>
      <c r="G118" s="9" t="s">
        <v>102</v>
      </c>
      <c r="H118" s="9" t="s">
        <v>132</v>
      </c>
      <c r="I118" s="8" t="s">
        <v>39</v>
      </c>
      <c r="J118" s="8" t="s">
        <v>262</v>
      </c>
      <c r="K118" s="16" t="s">
        <v>32</v>
      </c>
      <c r="L118" s="8" t="s">
        <v>33</v>
      </c>
      <c r="M118" s="15" t="s">
        <v>34</v>
      </c>
      <c r="N118" s="8" t="s">
        <v>45</v>
      </c>
      <c r="O118" s="10"/>
      <c r="P118" s="10"/>
      <c r="Q118" s="10"/>
      <c r="R118" s="11" t="s">
        <v>626</v>
      </c>
      <c r="S118" s="20">
        <v>46114.0</v>
      </c>
      <c r="T118" s="21"/>
      <c r="U118" s="8" t="s">
        <v>125</v>
      </c>
      <c r="V118" s="13"/>
      <c r="W118" s="13"/>
      <c r="X118" s="13"/>
      <c r="Z118" s="13"/>
    </row>
    <row r="119" ht="21.75" customHeight="1">
      <c r="A119" s="25" t="str">
        <f>IF(B119="","","CAN-"&amp;TEXT(116,"000"))</f>
        <v>CAN-116</v>
      </c>
      <c r="B119" s="15" t="s">
        <v>627</v>
      </c>
      <c r="C119" s="8" t="s">
        <v>41</v>
      </c>
      <c r="D119" s="16">
        <v>7.506142487E9</v>
      </c>
      <c r="E119" s="15" t="s">
        <v>275</v>
      </c>
      <c r="F119" s="15" t="s">
        <v>108</v>
      </c>
      <c r="G119" s="16" t="s">
        <v>628</v>
      </c>
      <c r="H119" s="16" t="s">
        <v>629</v>
      </c>
      <c r="I119" s="15" t="s">
        <v>39</v>
      </c>
      <c r="J119" s="15" t="s">
        <v>60</v>
      </c>
      <c r="K119" s="16" t="s">
        <v>32</v>
      </c>
      <c r="L119" s="8" t="s">
        <v>33</v>
      </c>
      <c r="M119" s="15" t="s">
        <v>34</v>
      </c>
      <c r="N119" s="15" t="s">
        <v>45</v>
      </c>
      <c r="O119" s="17"/>
      <c r="P119" s="17"/>
      <c r="Q119" s="17"/>
      <c r="R119" s="36" t="s">
        <v>630</v>
      </c>
      <c r="S119" s="20">
        <v>46114.0</v>
      </c>
      <c r="T119" s="19"/>
      <c r="U119" s="15" t="s">
        <v>125</v>
      </c>
      <c r="V119" s="13"/>
      <c r="W119" s="13"/>
      <c r="X119" s="13"/>
      <c r="Z119" s="13"/>
    </row>
    <row r="120" ht="21.75" customHeight="1">
      <c r="A120" s="27" t="str">
        <f>IF(B120="","","CAN-"&amp;TEXT(117,"000"))</f>
        <v>CAN-117</v>
      </c>
      <c r="B120" s="8" t="s">
        <v>631</v>
      </c>
      <c r="C120" s="8" t="s">
        <v>41</v>
      </c>
      <c r="D120" s="9">
        <v>9.93046017E9</v>
      </c>
      <c r="E120" s="8" t="s">
        <v>275</v>
      </c>
      <c r="F120" s="8" t="s">
        <v>108</v>
      </c>
      <c r="G120" s="9" t="s">
        <v>632</v>
      </c>
      <c r="H120" s="9" t="s">
        <v>632</v>
      </c>
      <c r="I120" s="8" t="s">
        <v>39</v>
      </c>
      <c r="J120" s="8" t="s">
        <v>91</v>
      </c>
      <c r="K120" s="16" t="s">
        <v>32</v>
      </c>
      <c r="L120" s="8" t="s">
        <v>33</v>
      </c>
      <c r="M120" s="15" t="s">
        <v>34</v>
      </c>
      <c r="N120" s="8" t="s">
        <v>45</v>
      </c>
      <c r="O120" s="10"/>
      <c r="P120" s="10"/>
      <c r="Q120" s="10"/>
      <c r="R120" s="11" t="s">
        <v>633</v>
      </c>
      <c r="S120" s="20">
        <v>46114.0</v>
      </c>
      <c r="T120" s="21"/>
      <c r="U120" s="8" t="s">
        <v>125</v>
      </c>
      <c r="V120" s="13"/>
      <c r="W120" s="13"/>
      <c r="X120" s="13"/>
      <c r="Z120" s="13"/>
    </row>
    <row r="121" ht="21.75" customHeight="1">
      <c r="A121" s="25" t="str">
        <f>IF(B121="","","CAN-"&amp;TEXT(118,"000"))</f>
        <v>CAN-118</v>
      </c>
      <c r="B121" s="15" t="s">
        <v>634</v>
      </c>
      <c r="C121" s="8" t="s">
        <v>41</v>
      </c>
      <c r="D121" s="16">
        <v>9.604394927E9</v>
      </c>
      <c r="E121" s="15" t="s">
        <v>155</v>
      </c>
      <c r="F121" s="15" t="s">
        <v>108</v>
      </c>
      <c r="G121" s="16" t="s">
        <v>133</v>
      </c>
      <c r="H121" s="16" t="s">
        <v>635</v>
      </c>
      <c r="I121" s="15" t="s">
        <v>39</v>
      </c>
      <c r="J121" s="15" t="s">
        <v>606</v>
      </c>
      <c r="K121" s="16" t="s">
        <v>32</v>
      </c>
      <c r="L121" s="8" t="s">
        <v>33</v>
      </c>
      <c r="M121" s="15" t="s">
        <v>34</v>
      </c>
      <c r="N121" s="15" t="s">
        <v>45</v>
      </c>
      <c r="O121" s="17"/>
      <c r="P121" s="17"/>
      <c r="Q121" s="17"/>
      <c r="R121" s="22" t="s">
        <v>636</v>
      </c>
      <c r="S121" s="18">
        <v>46115.0</v>
      </c>
      <c r="T121" s="19"/>
      <c r="U121" s="17"/>
      <c r="V121" s="13"/>
      <c r="W121" s="13"/>
      <c r="X121" s="13"/>
      <c r="Z121" s="13"/>
    </row>
    <row r="122" ht="21.75" customHeight="1">
      <c r="A122" s="27" t="str">
        <f>IF(B122="","","CAN-"&amp;TEXT(119,"000"))</f>
        <v>CAN-119</v>
      </c>
      <c r="B122" s="8" t="s">
        <v>637</v>
      </c>
      <c r="C122" s="8" t="s">
        <v>147</v>
      </c>
      <c r="D122" s="9">
        <v>9.021094934E9</v>
      </c>
      <c r="E122" s="8" t="s">
        <v>115</v>
      </c>
      <c r="F122" s="8" t="s">
        <v>90</v>
      </c>
      <c r="G122" s="9" t="s">
        <v>132</v>
      </c>
      <c r="H122" s="9" t="s">
        <v>324</v>
      </c>
      <c r="I122" s="8" t="s">
        <v>39</v>
      </c>
      <c r="J122" s="15" t="s">
        <v>325</v>
      </c>
      <c r="K122" s="16" t="s">
        <v>92</v>
      </c>
      <c r="L122" s="8" t="s">
        <v>61</v>
      </c>
      <c r="M122" s="15" t="s">
        <v>34</v>
      </c>
      <c r="N122" s="8" t="s">
        <v>35</v>
      </c>
      <c r="O122" s="10"/>
      <c r="P122" s="10"/>
      <c r="Q122" s="10"/>
      <c r="R122" s="11" t="s">
        <v>638</v>
      </c>
      <c r="S122" s="18">
        <v>46116.0</v>
      </c>
      <c r="T122" s="18">
        <v>46125.0</v>
      </c>
      <c r="U122" s="8" t="s">
        <v>85</v>
      </c>
      <c r="V122" s="13"/>
      <c r="W122" s="13"/>
      <c r="X122" s="13"/>
      <c r="Z122" s="13"/>
    </row>
    <row r="123" ht="21.75" customHeight="1">
      <c r="A123" s="25" t="str">
        <f>IF(B123="","","CAN-"&amp;TEXT(120,"000"))</f>
        <v>CAN-120</v>
      </c>
      <c r="B123" s="15" t="s">
        <v>639</v>
      </c>
      <c r="C123" s="8" t="s">
        <v>184</v>
      </c>
      <c r="D123" s="16" t="s">
        <v>640</v>
      </c>
      <c r="E123" s="15" t="s">
        <v>205</v>
      </c>
      <c r="F123" s="15" t="s">
        <v>90</v>
      </c>
      <c r="G123" s="16" t="s">
        <v>44</v>
      </c>
      <c r="H123" s="16" t="s">
        <v>132</v>
      </c>
      <c r="I123" s="15" t="s">
        <v>39</v>
      </c>
      <c r="J123" s="15" t="s">
        <v>325</v>
      </c>
      <c r="K123" s="16" t="s">
        <v>32</v>
      </c>
      <c r="L123" s="15" t="s">
        <v>33</v>
      </c>
      <c r="M123" s="15" t="s">
        <v>34</v>
      </c>
      <c r="N123" s="15" t="s">
        <v>45</v>
      </c>
      <c r="O123" s="17"/>
      <c r="P123" s="17"/>
      <c r="Q123" s="17"/>
      <c r="R123" s="22" t="s">
        <v>641</v>
      </c>
      <c r="S123" s="19"/>
      <c r="T123" s="19"/>
      <c r="U123" s="17"/>
      <c r="V123" s="13"/>
      <c r="W123" s="13"/>
      <c r="X123" s="13"/>
      <c r="Z123" s="13"/>
    </row>
    <row r="124" ht="21.75" customHeight="1">
      <c r="A124" s="27" t="str">
        <f>IF(B124="","","CAN-"&amp;TEXT(121,"000"))</f>
        <v>CAN-121</v>
      </c>
      <c r="B124" s="8" t="s">
        <v>642</v>
      </c>
      <c r="C124" s="8" t="s">
        <v>184</v>
      </c>
      <c r="D124" s="9" t="s">
        <v>643</v>
      </c>
      <c r="E124" s="8" t="s">
        <v>79</v>
      </c>
      <c r="F124" s="8" t="s">
        <v>90</v>
      </c>
      <c r="G124" s="9" t="s">
        <v>133</v>
      </c>
      <c r="H124" s="9" t="s">
        <v>361</v>
      </c>
      <c r="I124" s="8" t="s">
        <v>39</v>
      </c>
      <c r="J124" s="8" t="s">
        <v>469</v>
      </c>
      <c r="K124" s="9" t="s">
        <v>32</v>
      </c>
      <c r="L124" s="8" t="s">
        <v>33</v>
      </c>
      <c r="M124" s="8" t="s">
        <v>34</v>
      </c>
      <c r="N124" s="8" t="s">
        <v>35</v>
      </c>
      <c r="O124" s="10"/>
      <c r="P124" s="10"/>
      <c r="Q124" s="10"/>
      <c r="R124" s="11" t="s">
        <v>644</v>
      </c>
      <c r="S124" s="21"/>
      <c r="T124" s="21"/>
      <c r="U124" s="10"/>
      <c r="V124" s="13"/>
      <c r="W124" s="13"/>
      <c r="X124" s="13"/>
      <c r="Z124" s="13"/>
    </row>
    <row r="125" ht="21.75" customHeight="1">
      <c r="A125" s="25" t="str">
        <f>IF(B125="","","CAN-"&amp;TEXT(122,"000"))</f>
        <v>CAN-122</v>
      </c>
      <c r="B125" s="15" t="s">
        <v>645</v>
      </c>
      <c r="C125" s="8" t="s">
        <v>184</v>
      </c>
      <c r="D125" s="16" t="s">
        <v>646</v>
      </c>
      <c r="E125" s="15" t="s">
        <v>120</v>
      </c>
      <c r="F125" s="15" t="s">
        <v>90</v>
      </c>
      <c r="G125" s="16" t="s">
        <v>169</v>
      </c>
      <c r="H125" s="16" t="s">
        <v>218</v>
      </c>
      <c r="I125" s="15" t="s">
        <v>39</v>
      </c>
      <c r="J125" s="15" t="s">
        <v>647</v>
      </c>
      <c r="K125" s="16" t="s">
        <v>32</v>
      </c>
      <c r="L125" s="15" t="s">
        <v>61</v>
      </c>
      <c r="M125" s="15" t="s">
        <v>34</v>
      </c>
      <c r="N125" s="15" t="s">
        <v>48</v>
      </c>
      <c r="O125" s="17"/>
      <c r="P125" s="17"/>
      <c r="Q125" s="17"/>
      <c r="R125" s="22" t="s">
        <v>648</v>
      </c>
      <c r="S125" s="19"/>
      <c r="T125" s="19"/>
      <c r="U125" s="17"/>
      <c r="V125" s="13"/>
      <c r="W125" s="13"/>
      <c r="X125" s="13"/>
      <c r="Z125" s="13"/>
    </row>
    <row r="126" ht="21.75" customHeight="1">
      <c r="A126" s="27" t="str">
        <f>IF(B126="","","CAN-"&amp;TEXT(123,"000"))</f>
        <v>CAN-123</v>
      </c>
      <c r="B126" s="8" t="s">
        <v>649</v>
      </c>
      <c r="C126" s="8" t="s">
        <v>184</v>
      </c>
      <c r="D126" s="9" t="s">
        <v>650</v>
      </c>
      <c r="E126" s="8" t="s">
        <v>651</v>
      </c>
      <c r="F126" s="8" t="s">
        <v>90</v>
      </c>
      <c r="G126" s="9" t="s">
        <v>102</v>
      </c>
      <c r="H126" s="9" t="s">
        <v>132</v>
      </c>
      <c r="I126" s="8" t="s">
        <v>118</v>
      </c>
      <c r="J126" s="8" t="s">
        <v>118</v>
      </c>
      <c r="K126" s="9" t="s">
        <v>32</v>
      </c>
      <c r="L126" s="8" t="s">
        <v>61</v>
      </c>
      <c r="M126" s="8" t="s">
        <v>34</v>
      </c>
      <c r="N126" s="8" t="s">
        <v>45</v>
      </c>
      <c r="O126" s="10"/>
      <c r="P126" s="10"/>
      <c r="Q126" s="10"/>
      <c r="R126" s="11" t="s">
        <v>652</v>
      </c>
      <c r="S126" s="21"/>
      <c r="T126" s="21"/>
      <c r="U126" s="10"/>
      <c r="V126" s="13"/>
      <c r="W126" s="13"/>
      <c r="X126" s="13"/>
      <c r="Z126" s="13"/>
    </row>
    <row r="127" ht="21.75" customHeight="1">
      <c r="A127" s="25" t="str">
        <f>IF(B127="","","CAN-"&amp;TEXT(124,"000"))</f>
        <v>CAN-124</v>
      </c>
      <c r="B127" s="15" t="s">
        <v>653</v>
      </c>
      <c r="C127" s="8" t="s">
        <v>184</v>
      </c>
      <c r="D127" s="16" t="s">
        <v>654</v>
      </c>
      <c r="E127" s="15" t="s">
        <v>525</v>
      </c>
      <c r="F127" s="15" t="s">
        <v>108</v>
      </c>
      <c r="G127" s="16" t="s">
        <v>468</v>
      </c>
      <c r="H127" s="16" t="s">
        <v>655</v>
      </c>
      <c r="I127" s="15" t="s">
        <v>39</v>
      </c>
      <c r="J127" s="15" t="s">
        <v>325</v>
      </c>
      <c r="K127" s="16" t="s">
        <v>32</v>
      </c>
      <c r="L127" s="15" t="s">
        <v>33</v>
      </c>
      <c r="M127" s="15" t="s">
        <v>34</v>
      </c>
      <c r="N127" s="15" t="s">
        <v>45</v>
      </c>
      <c r="O127" s="17"/>
      <c r="P127" s="17"/>
      <c r="Q127" s="17"/>
      <c r="R127" s="22" t="s">
        <v>656</v>
      </c>
      <c r="S127" s="19"/>
      <c r="T127" s="19"/>
      <c r="U127" s="17"/>
      <c r="V127" s="13"/>
      <c r="W127" s="13"/>
      <c r="X127" s="13"/>
      <c r="Z127" s="13"/>
    </row>
    <row r="128" ht="21.75" customHeight="1">
      <c r="A128" s="27" t="str">
        <f>IF(B128="","","CAN-"&amp;TEXT(125,"000"))</f>
        <v>CAN-125</v>
      </c>
      <c r="B128" s="8" t="s">
        <v>657</v>
      </c>
      <c r="C128" s="8" t="s">
        <v>184</v>
      </c>
      <c r="D128" s="9" t="s">
        <v>658</v>
      </c>
      <c r="E128" s="8" t="s">
        <v>38</v>
      </c>
      <c r="F128" s="8" t="s">
        <v>90</v>
      </c>
      <c r="G128" s="9" t="s">
        <v>102</v>
      </c>
      <c r="H128" s="9" t="s">
        <v>324</v>
      </c>
      <c r="I128" s="8" t="s">
        <v>39</v>
      </c>
      <c r="J128" s="8" t="s">
        <v>469</v>
      </c>
      <c r="K128" s="9" t="s">
        <v>32</v>
      </c>
      <c r="L128" s="8" t="s">
        <v>61</v>
      </c>
      <c r="M128" s="8" t="s">
        <v>34</v>
      </c>
      <c r="N128" s="8" t="s">
        <v>45</v>
      </c>
      <c r="O128" s="10"/>
      <c r="P128" s="10"/>
      <c r="Q128" s="10"/>
      <c r="R128" s="10"/>
      <c r="S128" s="21"/>
      <c r="T128" s="21"/>
      <c r="U128" s="10"/>
      <c r="V128" s="13"/>
      <c r="W128" s="13"/>
      <c r="X128" s="13"/>
      <c r="Z128" s="13"/>
    </row>
    <row r="129" ht="21.75" customHeight="1">
      <c r="A129" s="25" t="str">
        <f>IF(B129="","","CAN-"&amp;TEXT(126,"000"))</f>
        <v>CAN-126</v>
      </c>
      <c r="B129" s="15" t="s">
        <v>659</v>
      </c>
      <c r="C129" s="8" t="s">
        <v>184</v>
      </c>
      <c r="D129" s="16" t="s">
        <v>660</v>
      </c>
      <c r="E129" s="15" t="s">
        <v>205</v>
      </c>
      <c r="F129" s="15" t="s">
        <v>90</v>
      </c>
      <c r="G129" s="16" t="s">
        <v>102</v>
      </c>
      <c r="H129" s="16" t="s">
        <v>501</v>
      </c>
      <c r="I129" s="15" t="s">
        <v>118</v>
      </c>
      <c r="J129" s="15" t="s">
        <v>118</v>
      </c>
      <c r="K129" s="16" t="s">
        <v>32</v>
      </c>
      <c r="L129" s="15" t="s">
        <v>61</v>
      </c>
      <c r="M129" s="15" t="s">
        <v>34</v>
      </c>
      <c r="N129" s="15" t="s">
        <v>45</v>
      </c>
      <c r="O129" s="17"/>
      <c r="P129" s="17"/>
      <c r="Q129" s="17"/>
      <c r="R129" s="22" t="s">
        <v>661</v>
      </c>
      <c r="S129" s="19"/>
      <c r="T129" s="19"/>
      <c r="U129" s="17"/>
      <c r="V129" s="13"/>
      <c r="W129" s="13"/>
      <c r="X129" s="13"/>
      <c r="Z129" s="13"/>
    </row>
    <row r="130" ht="21.75" customHeight="1">
      <c r="A130" s="27" t="str">
        <f>IF(B130="","","CAN-"&amp;TEXT(127,"000"))</f>
        <v>CAN-127</v>
      </c>
      <c r="B130" s="8" t="s">
        <v>662</v>
      </c>
      <c r="C130" s="8" t="s">
        <v>184</v>
      </c>
      <c r="D130" s="9" t="s">
        <v>663</v>
      </c>
      <c r="E130" s="8" t="s">
        <v>210</v>
      </c>
      <c r="F130" s="8" t="s">
        <v>108</v>
      </c>
      <c r="G130" s="9" t="s">
        <v>122</v>
      </c>
      <c r="H130" s="9" t="s">
        <v>402</v>
      </c>
      <c r="I130" s="8" t="s">
        <v>39</v>
      </c>
      <c r="J130" s="8" t="s">
        <v>664</v>
      </c>
      <c r="K130" s="9" t="s">
        <v>32</v>
      </c>
      <c r="L130" s="8" t="s">
        <v>33</v>
      </c>
      <c r="M130" s="8" t="s">
        <v>34</v>
      </c>
      <c r="N130" s="8" t="s">
        <v>45</v>
      </c>
      <c r="O130" s="10"/>
      <c r="P130" s="10"/>
      <c r="Q130" s="10"/>
      <c r="R130" s="8"/>
      <c r="S130" s="21"/>
      <c r="T130" s="21"/>
      <c r="U130" s="10"/>
      <c r="V130" s="13"/>
      <c r="W130" s="13"/>
      <c r="X130" s="13"/>
      <c r="Z130" s="13"/>
    </row>
    <row r="131" ht="21.75" customHeight="1">
      <c r="A131" s="25" t="str">
        <f>IF(B131="","","CAN-"&amp;TEXT(128,"000"))</f>
        <v>CAN-128</v>
      </c>
      <c r="B131" s="15" t="s">
        <v>665</v>
      </c>
      <c r="C131" s="8" t="s">
        <v>184</v>
      </c>
      <c r="D131" s="16" t="s">
        <v>666</v>
      </c>
      <c r="E131" s="15" t="s">
        <v>205</v>
      </c>
      <c r="F131" s="15" t="s">
        <v>108</v>
      </c>
      <c r="G131" s="16" t="s">
        <v>44</v>
      </c>
      <c r="H131" s="16" t="s">
        <v>102</v>
      </c>
      <c r="I131" s="15" t="s">
        <v>118</v>
      </c>
      <c r="J131" s="15" t="s">
        <v>118</v>
      </c>
      <c r="K131" s="16" t="s">
        <v>32</v>
      </c>
      <c r="L131" s="15" t="s">
        <v>33</v>
      </c>
      <c r="M131" s="15" t="s">
        <v>34</v>
      </c>
      <c r="N131" s="15" t="s">
        <v>45</v>
      </c>
      <c r="O131" s="17"/>
      <c r="P131" s="17"/>
      <c r="Q131" s="17"/>
      <c r="R131" s="22" t="s">
        <v>667</v>
      </c>
      <c r="S131" s="19"/>
      <c r="T131" s="19"/>
      <c r="U131" s="17"/>
      <c r="V131" s="13"/>
      <c r="W131" s="13"/>
      <c r="X131" s="13"/>
      <c r="Z131" s="13"/>
    </row>
    <row r="132" ht="21.75" customHeight="1">
      <c r="A132" s="27" t="str">
        <f>IF(B132="","","CAN-"&amp;TEXT(129,"000"))</f>
        <v>CAN-129</v>
      </c>
      <c r="B132" s="8" t="s">
        <v>668</v>
      </c>
      <c r="C132" s="8" t="s">
        <v>184</v>
      </c>
      <c r="D132" s="9" t="s">
        <v>669</v>
      </c>
      <c r="E132" s="8" t="s">
        <v>670</v>
      </c>
      <c r="F132" s="8" t="s">
        <v>90</v>
      </c>
      <c r="G132" s="9" t="s">
        <v>324</v>
      </c>
      <c r="H132" s="9" t="s">
        <v>361</v>
      </c>
      <c r="I132" s="8" t="s">
        <v>39</v>
      </c>
      <c r="J132" s="8" t="s">
        <v>469</v>
      </c>
      <c r="K132" s="9" t="s">
        <v>32</v>
      </c>
      <c r="L132" s="8" t="s">
        <v>61</v>
      </c>
      <c r="M132" s="8" t="s">
        <v>34</v>
      </c>
      <c r="N132" s="8" t="s">
        <v>45</v>
      </c>
      <c r="O132" s="10"/>
      <c r="P132" s="10"/>
      <c r="Q132" s="10"/>
      <c r="R132" s="11" t="s">
        <v>671</v>
      </c>
      <c r="S132" s="21"/>
      <c r="T132" s="21"/>
      <c r="U132" s="10"/>
      <c r="V132" s="13"/>
      <c r="W132" s="13"/>
      <c r="X132" s="13"/>
      <c r="Z132" s="13"/>
    </row>
    <row r="133" ht="21.75" customHeight="1">
      <c r="A133" s="25" t="str">
        <f>IF(B133="","","CAN-"&amp;TEXT(130,"000"))</f>
        <v>CAN-130</v>
      </c>
      <c r="B133" s="15" t="s">
        <v>672</v>
      </c>
      <c r="C133" s="8" t="s">
        <v>184</v>
      </c>
      <c r="D133" s="16" t="s">
        <v>673</v>
      </c>
      <c r="E133" s="15" t="s">
        <v>50</v>
      </c>
      <c r="F133" s="15" t="s">
        <v>90</v>
      </c>
      <c r="G133" s="16" t="s">
        <v>43</v>
      </c>
      <c r="H133" s="16" t="s">
        <v>122</v>
      </c>
      <c r="I133" s="15" t="s">
        <v>39</v>
      </c>
      <c r="J133" s="15" t="s">
        <v>674</v>
      </c>
      <c r="K133" s="16" t="s">
        <v>32</v>
      </c>
      <c r="L133" s="15" t="s">
        <v>61</v>
      </c>
      <c r="M133" s="15" t="s">
        <v>34</v>
      </c>
      <c r="N133" s="15" t="s">
        <v>45</v>
      </c>
      <c r="O133" s="17"/>
      <c r="P133" s="17"/>
      <c r="Q133" s="17"/>
      <c r="R133" s="22" t="s">
        <v>675</v>
      </c>
      <c r="S133" s="19"/>
      <c r="T133" s="19"/>
      <c r="U133" s="17"/>
      <c r="V133" s="13"/>
      <c r="W133" s="13"/>
      <c r="X133" s="13"/>
      <c r="Z133" s="13"/>
    </row>
    <row r="134" ht="21.75" customHeight="1">
      <c r="A134" s="27" t="str">
        <f>IF(B134="","","CAN-"&amp;TEXT(131,"000"))</f>
        <v>CAN-131</v>
      </c>
      <c r="B134" s="8" t="s">
        <v>676</v>
      </c>
      <c r="C134" s="8" t="s">
        <v>184</v>
      </c>
      <c r="D134" s="9" t="s">
        <v>677</v>
      </c>
      <c r="E134" s="8" t="s">
        <v>365</v>
      </c>
      <c r="F134" s="8" t="s">
        <v>90</v>
      </c>
      <c r="G134" s="9" t="s">
        <v>678</v>
      </c>
      <c r="H134" s="9" t="s">
        <v>102</v>
      </c>
      <c r="I134" s="8" t="s">
        <v>39</v>
      </c>
      <c r="J134" s="8" t="s">
        <v>60</v>
      </c>
      <c r="K134" s="9" t="s">
        <v>32</v>
      </c>
      <c r="L134" s="8" t="s">
        <v>33</v>
      </c>
      <c r="M134" s="8" t="s">
        <v>34</v>
      </c>
      <c r="N134" s="8" t="s">
        <v>48</v>
      </c>
      <c r="O134" s="10"/>
      <c r="P134" s="10"/>
      <c r="Q134" s="10"/>
      <c r="R134" s="11" t="s">
        <v>679</v>
      </c>
      <c r="S134" s="21"/>
      <c r="T134" s="21"/>
      <c r="U134" s="10"/>
      <c r="V134" s="13"/>
      <c r="W134" s="13"/>
      <c r="X134" s="13"/>
      <c r="Z134" s="13"/>
    </row>
    <row r="135" ht="21.75" customHeight="1">
      <c r="A135" s="25" t="str">
        <f>IF(B135="","","CAN-"&amp;TEXT(132,"000"))</f>
        <v>CAN-132</v>
      </c>
      <c r="B135" s="15" t="s">
        <v>680</v>
      </c>
      <c r="C135" s="8" t="s">
        <v>184</v>
      </c>
      <c r="D135" s="16" t="s">
        <v>681</v>
      </c>
      <c r="E135" s="15" t="s">
        <v>120</v>
      </c>
      <c r="F135" s="15" t="s">
        <v>90</v>
      </c>
      <c r="G135" s="16" t="s">
        <v>122</v>
      </c>
      <c r="H135" s="16" t="s">
        <v>44</v>
      </c>
      <c r="I135" s="15" t="s">
        <v>39</v>
      </c>
      <c r="J135" s="15" t="s">
        <v>60</v>
      </c>
      <c r="K135" s="16" t="s">
        <v>32</v>
      </c>
      <c r="L135" s="15" t="s">
        <v>61</v>
      </c>
      <c r="M135" s="15" t="s">
        <v>34</v>
      </c>
      <c r="N135" s="15" t="s">
        <v>45</v>
      </c>
      <c r="O135" s="17"/>
      <c r="P135" s="17"/>
      <c r="Q135" s="17"/>
      <c r="R135" s="22" t="s">
        <v>682</v>
      </c>
      <c r="S135" s="19"/>
      <c r="T135" s="19"/>
      <c r="U135" s="17"/>
      <c r="V135" s="13"/>
      <c r="W135" s="13"/>
      <c r="X135" s="13"/>
      <c r="Z135" s="13"/>
    </row>
    <row r="136" ht="21.75" customHeight="1">
      <c r="A136" s="27" t="str">
        <f>IF(B136="","","CAN-"&amp;TEXT(133,"000"))</f>
        <v>CAN-133</v>
      </c>
      <c r="B136" s="8" t="s">
        <v>683</v>
      </c>
      <c r="C136" s="8" t="s">
        <v>184</v>
      </c>
      <c r="D136" s="9" t="s">
        <v>684</v>
      </c>
      <c r="E136" s="8" t="s">
        <v>120</v>
      </c>
      <c r="F136" s="8" t="s">
        <v>90</v>
      </c>
      <c r="G136" s="9" t="s">
        <v>122</v>
      </c>
      <c r="H136" s="9" t="s">
        <v>122</v>
      </c>
      <c r="I136" s="8" t="s">
        <v>39</v>
      </c>
      <c r="J136" s="8" t="s">
        <v>60</v>
      </c>
      <c r="K136" s="9" t="s">
        <v>32</v>
      </c>
      <c r="L136" s="8" t="s">
        <v>61</v>
      </c>
      <c r="M136" s="8" t="s">
        <v>34</v>
      </c>
      <c r="N136" s="8" t="s">
        <v>45</v>
      </c>
      <c r="O136" s="10"/>
      <c r="P136" s="10"/>
      <c r="Q136" s="10"/>
      <c r="R136" s="11" t="s">
        <v>685</v>
      </c>
      <c r="S136" s="21"/>
      <c r="T136" s="21"/>
      <c r="U136" s="10"/>
      <c r="V136" s="13"/>
      <c r="W136" s="13"/>
      <c r="X136" s="13"/>
      <c r="Z136" s="13"/>
    </row>
    <row r="137" ht="21.75" customHeight="1">
      <c r="A137" s="25" t="str">
        <f>IF(B137="","","CAN-"&amp;TEXT(134,"000"))</f>
        <v>CAN-134</v>
      </c>
      <c r="B137" s="15" t="s">
        <v>686</v>
      </c>
      <c r="C137" s="8" t="s">
        <v>184</v>
      </c>
      <c r="D137" s="16" t="s">
        <v>687</v>
      </c>
      <c r="E137" s="15" t="s">
        <v>290</v>
      </c>
      <c r="F137" s="15" t="s">
        <v>90</v>
      </c>
      <c r="G137" s="16" t="s">
        <v>402</v>
      </c>
      <c r="H137" s="16" t="s">
        <v>44</v>
      </c>
      <c r="I137" s="15" t="s">
        <v>39</v>
      </c>
      <c r="J137" s="15" t="s">
        <v>462</v>
      </c>
      <c r="K137" s="16" t="s">
        <v>32</v>
      </c>
      <c r="L137" s="15" t="s">
        <v>33</v>
      </c>
      <c r="M137" s="15" t="s">
        <v>34</v>
      </c>
      <c r="N137" s="15" t="s">
        <v>45</v>
      </c>
      <c r="O137" s="17"/>
      <c r="P137" s="17"/>
      <c r="Q137" s="17"/>
      <c r="R137" s="22" t="s">
        <v>688</v>
      </c>
      <c r="S137" s="19"/>
      <c r="T137" s="19"/>
      <c r="U137" s="17"/>
      <c r="V137" s="13"/>
      <c r="W137" s="13"/>
      <c r="X137" s="13"/>
      <c r="Z137" s="13"/>
    </row>
    <row r="138" ht="21.75" customHeight="1">
      <c r="A138" s="27" t="str">
        <f>IF(B138="","","CAN-"&amp;TEXT(135,"000"))</f>
        <v>CAN-135</v>
      </c>
      <c r="B138" s="8" t="s">
        <v>689</v>
      </c>
      <c r="C138" s="8" t="s">
        <v>184</v>
      </c>
      <c r="D138" s="9" t="s">
        <v>690</v>
      </c>
      <c r="E138" s="8" t="s">
        <v>391</v>
      </c>
      <c r="F138" s="8" t="s">
        <v>90</v>
      </c>
      <c r="G138" s="9" t="s">
        <v>129</v>
      </c>
      <c r="H138" s="9" t="s">
        <v>279</v>
      </c>
      <c r="I138" s="8" t="s">
        <v>39</v>
      </c>
      <c r="J138" s="8" t="s">
        <v>39</v>
      </c>
      <c r="K138" s="9" t="s">
        <v>92</v>
      </c>
      <c r="L138" s="8" t="s">
        <v>691</v>
      </c>
      <c r="M138" s="8" t="s">
        <v>34</v>
      </c>
      <c r="N138" s="8" t="s">
        <v>45</v>
      </c>
      <c r="O138" s="10"/>
      <c r="P138" s="10"/>
      <c r="Q138" s="10"/>
      <c r="R138" s="11" t="s">
        <v>692</v>
      </c>
      <c r="S138" s="21"/>
      <c r="T138" s="21"/>
      <c r="U138" s="10"/>
      <c r="V138" s="13"/>
      <c r="W138" s="13"/>
      <c r="X138" s="13"/>
      <c r="Z138" s="13"/>
    </row>
    <row r="139" ht="21.75" customHeight="1">
      <c r="A139" s="25" t="str">
        <f>IF(B139="","","CAN-"&amp;TEXT(136,"000"))</f>
        <v>CAN-136</v>
      </c>
      <c r="B139" s="15" t="s">
        <v>693</v>
      </c>
      <c r="C139" s="8" t="s">
        <v>184</v>
      </c>
      <c r="D139" s="16" t="s">
        <v>694</v>
      </c>
      <c r="E139" s="15" t="s">
        <v>112</v>
      </c>
      <c r="F139" s="15" t="s">
        <v>90</v>
      </c>
      <c r="G139" s="16" t="s">
        <v>695</v>
      </c>
      <c r="H139" s="16" t="s">
        <v>129</v>
      </c>
      <c r="I139" s="15" t="s">
        <v>39</v>
      </c>
      <c r="J139" s="15" t="s">
        <v>469</v>
      </c>
      <c r="K139" s="16" t="s">
        <v>32</v>
      </c>
      <c r="L139" s="15" t="s">
        <v>33</v>
      </c>
      <c r="M139" s="15" t="s">
        <v>34</v>
      </c>
      <c r="N139" s="15" t="s">
        <v>45</v>
      </c>
      <c r="O139" s="17"/>
      <c r="P139" s="17"/>
      <c r="Q139" s="17"/>
      <c r="R139" s="22" t="s">
        <v>696</v>
      </c>
      <c r="S139" s="19"/>
      <c r="T139" s="19"/>
      <c r="U139" s="17"/>
      <c r="V139" s="13"/>
      <c r="W139" s="13"/>
      <c r="X139" s="13"/>
      <c r="Z139" s="13"/>
    </row>
    <row r="140" ht="21.75" customHeight="1">
      <c r="A140" s="27" t="str">
        <f>IF(B140="","","CAN-"&amp;TEXT(137,"000"))</f>
        <v>CAN-137</v>
      </c>
      <c r="B140" s="8" t="s">
        <v>697</v>
      </c>
      <c r="C140" s="8" t="s">
        <v>184</v>
      </c>
      <c r="D140" s="9" t="s">
        <v>698</v>
      </c>
      <c r="E140" s="8" t="s">
        <v>546</v>
      </c>
      <c r="F140" s="8" t="s">
        <v>90</v>
      </c>
      <c r="G140" s="9" t="s">
        <v>102</v>
      </c>
      <c r="H140" s="9" t="s">
        <v>324</v>
      </c>
      <c r="I140" s="8" t="s">
        <v>39</v>
      </c>
      <c r="J140" s="8" t="s">
        <v>469</v>
      </c>
      <c r="K140" s="9" t="s">
        <v>32</v>
      </c>
      <c r="L140" s="8" t="s">
        <v>61</v>
      </c>
      <c r="M140" s="8" t="s">
        <v>34</v>
      </c>
      <c r="N140" s="8" t="s">
        <v>45</v>
      </c>
      <c r="O140" s="10"/>
      <c r="P140" s="10"/>
      <c r="Q140" s="10"/>
      <c r="R140" s="11" t="s">
        <v>699</v>
      </c>
      <c r="S140" s="21"/>
      <c r="T140" s="21"/>
      <c r="U140" s="10"/>
      <c r="V140" s="13"/>
      <c r="W140" s="13"/>
      <c r="X140" s="13"/>
      <c r="Z140" s="13"/>
    </row>
    <row r="141" ht="21.75" customHeight="1">
      <c r="A141" s="25" t="str">
        <f>IF(B141="","","CAN-"&amp;TEXT(138,"000"))</f>
        <v>CAN-138</v>
      </c>
      <c r="B141" s="15" t="s">
        <v>700</v>
      </c>
      <c r="C141" s="8" t="s">
        <v>184</v>
      </c>
      <c r="D141" s="16" t="s">
        <v>701</v>
      </c>
      <c r="E141" s="15" t="s">
        <v>120</v>
      </c>
      <c r="F141" s="15" t="s">
        <v>90</v>
      </c>
      <c r="G141" s="16" t="s">
        <v>44</v>
      </c>
      <c r="H141" s="16" t="s">
        <v>102</v>
      </c>
      <c r="I141" s="15" t="s">
        <v>39</v>
      </c>
      <c r="J141" s="15" t="s">
        <v>702</v>
      </c>
      <c r="K141" s="16" t="s">
        <v>32</v>
      </c>
      <c r="L141" s="15" t="s">
        <v>61</v>
      </c>
      <c r="M141" s="15" t="s">
        <v>703</v>
      </c>
      <c r="N141" s="15" t="s">
        <v>45</v>
      </c>
      <c r="O141" s="17"/>
      <c r="P141" s="17"/>
      <c r="Q141" s="17"/>
      <c r="R141" s="22" t="s">
        <v>704</v>
      </c>
      <c r="S141" s="19"/>
      <c r="T141" s="19"/>
      <c r="U141" s="17"/>
      <c r="V141" s="13"/>
      <c r="W141" s="13"/>
      <c r="X141" s="13"/>
      <c r="Z141" s="13"/>
    </row>
    <row r="142" ht="21.75" customHeight="1">
      <c r="A142" s="27" t="str">
        <f>IF(B142="","","CAN-"&amp;TEXT(139,"000"))</f>
        <v>CAN-139</v>
      </c>
      <c r="B142" s="8" t="s">
        <v>705</v>
      </c>
      <c r="C142" s="8" t="s">
        <v>184</v>
      </c>
      <c r="D142" s="9" t="s">
        <v>706</v>
      </c>
      <c r="E142" s="8" t="s">
        <v>707</v>
      </c>
      <c r="F142" s="8" t="s">
        <v>90</v>
      </c>
      <c r="G142" s="9" t="s">
        <v>102</v>
      </c>
      <c r="H142" s="9" t="s">
        <v>132</v>
      </c>
      <c r="I142" s="8" t="s">
        <v>39</v>
      </c>
      <c r="J142" s="8" t="s">
        <v>664</v>
      </c>
      <c r="K142" s="9" t="s">
        <v>32</v>
      </c>
      <c r="L142" s="8" t="s">
        <v>33</v>
      </c>
      <c r="M142" s="8" t="s">
        <v>34</v>
      </c>
      <c r="N142" s="8" t="s">
        <v>45</v>
      </c>
      <c r="O142" s="10"/>
      <c r="P142" s="10"/>
      <c r="Q142" s="10"/>
      <c r="R142" s="11" t="s">
        <v>708</v>
      </c>
      <c r="S142" s="21"/>
      <c r="T142" s="21"/>
      <c r="U142" s="10"/>
      <c r="V142" s="13"/>
      <c r="W142" s="13"/>
      <c r="X142" s="13"/>
      <c r="Z142" s="13"/>
    </row>
    <row r="143" ht="21.75" customHeight="1">
      <c r="A143" s="25" t="str">
        <f>IF(B143="","","CAN-"&amp;TEXT(140,"000"))</f>
        <v>CAN-140</v>
      </c>
      <c r="B143" s="15" t="s">
        <v>709</v>
      </c>
      <c r="C143" s="8" t="s">
        <v>41</v>
      </c>
      <c r="D143" s="16">
        <v>7.208274795E9</v>
      </c>
      <c r="E143" s="15" t="s">
        <v>370</v>
      </c>
      <c r="F143" s="15" t="s">
        <v>90</v>
      </c>
      <c r="G143" s="16" t="s">
        <v>710</v>
      </c>
      <c r="H143" s="16" t="s">
        <v>324</v>
      </c>
      <c r="I143" s="15" t="s">
        <v>39</v>
      </c>
      <c r="J143" s="15" t="s">
        <v>325</v>
      </c>
      <c r="K143" s="16" t="s">
        <v>32</v>
      </c>
      <c r="L143" s="15" t="s">
        <v>33</v>
      </c>
      <c r="M143" s="15" t="s">
        <v>34</v>
      </c>
      <c r="N143" s="15" t="s">
        <v>45</v>
      </c>
      <c r="O143" s="17"/>
      <c r="P143" s="17"/>
      <c r="Q143" s="17"/>
      <c r="R143" s="22" t="s">
        <v>711</v>
      </c>
      <c r="S143" s="19"/>
      <c r="T143" s="19"/>
      <c r="U143" s="17"/>
      <c r="V143" s="13"/>
      <c r="W143" s="13"/>
      <c r="X143" s="13"/>
      <c r="Z143" s="13"/>
    </row>
    <row r="144" ht="21.75" customHeight="1">
      <c r="A144" s="27" t="str">
        <f>IF(B144="","","CAN-"&amp;TEXT(141,"000"))</f>
        <v>CAN-141</v>
      </c>
      <c r="B144" s="8" t="s">
        <v>712</v>
      </c>
      <c r="C144" s="8" t="s">
        <v>41</v>
      </c>
      <c r="D144" s="9">
        <v>9.86785238E9</v>
      </c>
      <c r="E144" s="8" t="s">
        <v>155</v>
      </c>
      <c r="F144" s="8" t="s">
        <v>108</v>
      </c>
      <c r="G144" s="9" t="s">
        <v>168</v>
      </c>
      <c r="H144" s="9" t="s">
        <v>132</v>
      </c>
      <c r="I144" s="8" t="s">
        <v>39</v>
      </c>
      <c r="J144" s="8" t="s">
        <v>532</v>
      </c>
      <c r="K144" s="9" t="s">
        <v>32</v>
      </c>
      <c r="L144" s="8" t="s">
        <v>33</v>
      </c>
      <c r="M144" s="8" t="s">
        <v>34</v>
      </c>
      <c r="N144" s="8" t="s">
        <v>45</v>
      </c>
      <c r="O144" s="10"/>
      <c r="P144" s="10"/>
      <c r="Q144" s="10"/>
      <c r="R144" s="11" t="s">
        <v>713</v>
      </c>
      <c r="S144" s="21"/>
      <c r="T144" s="21"/>
      <c r="U144" s="10"/>
      <c r="V144" s="13"/>
      <c r="W144" s="13"/>
      <c r="X144" s="13"/>
      <c r="Z144" s="13"/>
    </row>
    <row r="145" ht="21.75" customHeight="1">
      <c r="A145" s="25" t="str">
        <f>IF(B145="","","CAN-"&amp;TEXT(142,"000"))</f>
        <v>CAN-142</v>
      </c>
      <c r="B145" s="15" t="s">
        <v>714</v>
      </c>
      <c r="C145" s="8" t="s">
        <v>147</v>
      </c>
      <c r="D145" s="16">
        <v>9.284613176E9</v>
      </c>
      <c r="E145" s="15" t="s">
        <v>101</v>
      </c>
      <c r="F145" s="15" t="s">
        <v>90</v>
      </c>
      <c r="G145" s="16" t="s">
        <v>571</v>
      </c>
      <c r="H145" s="16" t="s">
        <v>43</v>
      </c>
      <c r="I145" s="15" t="s">
        <v>39</v>
      </c>
      <c r="J145" s="15" t="s">
        <v>606</v>
      </c>
      <c r="K145" s="16" t="s">
        <v>32</v>
      </c>
      <c r="L145" s="8" t="s">
        <v>33</v>
      </c>
      <c r="M145" s="15" t="s">
        <v>54</v>
      </c>
      <c r="N145" s="15" t="s">
        <v>31</v>
      </c>
      <c r="O145" s="17"/>
      <c r="P145" s="17"/>
      <c r="Q145" s="17"/>
      <c r="R145" s="22" t="s">
        <v>715</v>
      </c>
      <c r="S145" s="18">
        <v>46118.0</v>
      </c>
      <c r="T145" s="18">
        <v>46120.0</v>
      </c>
      <c r="U145" s="15" t="s">
        <v>480</v>
      </c>
      <c r="V145" s="13"/>
      <c r="W145" s="13"/>
      <c r="X145" s="13"/>
      <c r="Z145" s="13"/>
    </row>
    <row r="146" ht="21.75" customHeight="1">
      <c r="A146" s="27" t="str">
        <f>IF(B146="","","CAN-"&amp;TEXT(143,"000"))</f>
        <v>CAN-143</v>
      </c>
      <c r="B146" s="8" t="s">
        <v>716</v>
      </c>
      <c r="C146" s="8" t="s">
        <v>41</v>
      </c>
      <c r="D146" s="9">
        <v>7.741976077E9</v>
      </c>
      <c r="E146" s="8" t="s">
        <v>50</v>
      </c>
      <c r="F146" s="8" t="s">
        <v>90</v>
      </c>
      <c r="G146" s="9" t="s">
        <v>122</v>
      </c>
      <c r="H146" s="9" t="s">
        <v>44</v>
      </c>
      <c r="I146" s="8" t="s">
        <v>39</v>
      </c>
      <c r="J146" s="8" t="s">
        <v>702</v>
      </c>
      <c r="K146" s="16" t="s">
        <v>92</v>
      </c>
      <c r="L146" s="8" t="s">
        <v>33</v>
      </c>
      <c r="M146" s="15" t="s">
        <v>54</v>
      </c>
      <c r="N146" s="8" t="s">
        <v>45</v>
      </c>
      <c r="O146" s="10"/>
      <c r="P146" s="10"/>
      <c r="Q146" s="10"/>
      <c r="R146" s="11" t="s">
        <v>717</v>
      </c>
      <c r="S146" s="20">
        <v>46118.0</v>
      </c>
      <c r="T146" s="21"/>
      <c r="U146" s="10"/>
      <c r="V146" s="13"/>
      <c r="W146" s="13"/>
      <c r="X146" s="13"/>
      <c r="Z146" s="13"/>
    </row>
    <row r="147" ht="21.75" customHeight="1">
      <c r="A147" s="25" t="str">
        <f>IF(B147="","","CAN-"&amp;TEXT(144,"000"))</f>
        <v>CAN-144</v>
      </c>
      <c r="B147" s="15" t="s">
        <v>718</v>
      </c>
      <c r="C147" s="8" t="s">
        <v>41</v>
      </c>
      <c r="D147" s="16">
        <v>8.767040962E9</v>
      </c>
      <c r="E147" s="15" t="s">
        <v>50</v>
      </c>
      <c r="F147" s="15" t="s">
        <v>90</v>
      </c>
      <c r="G147" s="16" t="s">
        <v>586</v>
      </c>
      <c r="H147" s="16" t="s">
        <v>586</v>
      </c>
      <c r="I147" s="15" t="s">
        <v>39</v>
      </c>
      <c r="J147" s="17"/>
      <c r="K147" s="16" t="s">
        <v>32</v>
      </c>
      <c r="L147" s="15" t="s">
        <v>33</v>
      </c>
      <c r="M147" s="15" t="s">
        <v>195</v>
      </c>
      <c r="N147" s="15" t="s">
        <v>45</v>
      </c>
      <c r="O147" s="17"/>
      <c r="P147" s="17"/>
      <c r="Q147" s="17"/>
      <c r="R147" s="22" t="s">
        <v>719</v>
      </c>
      <c r="S147" s="20">
        <v>46118.0</v>
      </c>
      <c r="T147" s="19"/>
      <c r="U147" s="17"/>
      <c r="V147" s="13"/>
      <c r="W147" s="13"/>
      <c r="X147" s="13"/>
      <c r="Z147" s="13"/>
    </row>
    <row r="148" ht="21.75" customHeight="1">
      <c r="A148" s="27" t="str">
        <f>IF(B148="","","CAN-"&amp;TEXT(145,"000"))</f>
        <v>CAN-145</v>
      </c>
      <c r="B148" s="8" t="s">
        <v>720</v>
      </c>
      <c r="C148" s="8" t="s">
        <v>41</v>
      </c>
      <c r="D148" s="9">
        <v>8.630621725E9</v>
      </c>
      <c r="E148" s="8" t="s">
        <v>155</v>
      </c>
      <c r="F148" s="8" t="s">
        <v>108</v>
      </c>
      <c r="G148" s="9" t="s">
        <v>132</v>
      </c>
      <c r="H148" s="9" t="s">
        <v>132</v>
      </c>
      <c r="I148" s="8" t="s">
        <v>39</v>
      </c>
      <c r="J148" s="10"/>
      <c r="K148" s="16" t="s">
        <v>32</v>
      </c>
      <c r="L148" s="8" t="s">
        <v>33</v>
      </c>
      <c r="M148" s="15" t="s">
        <v>34</v>
      </c>
      <c r="N148" s="10"/>
      <c r="O148" s="10"/>
      <c r="P148" s="10"/>
      <c r="Q148" s="10"/>
      <c r="R148" s="10"/>
      <c r="S148" s="21"/>
      <c r="T148" s="21"/>
      <c r="U148" s="10"/>
      <c r="V148" s="13"/>
      <c r="W148" s="13"/>
      <c r="X148" s="13"/>
      <c r="Z148" s="13"/>
    </row>
    <row r="149" ht="21.75" customHeight="1">
      <c r="A149" s="25" t="str">
        <f>IF(B149="","","CAN-"&amp;TEXT(146,"000"))</f>
        <v>CAN-146</v>
      </c>
      <c r="B149" s="15" t="s">
        <v>721</v>
      </c>
      <c r="C149" s="8" t="s">
        <v>147</v>
      </c>
      <c r="D149" s="16">
        <v>9.975449437E9</v>
      </c>
      <c r="E149" s="15" t="s">
        <v>47</v>
      </c>
      <c r="F149" s="15" t="s">
        <v>90</v>
      </c>
      <c r="G149" s="16" t="s">
        <v>571</v>
      </c>
      <c r="H149" s="16" t="s">
        <v>121</v>
      </c>
      <c r="I149" s="15" t="s">
        <v>39</v>
      </c>
      <c r="J149" s="15" t="s">
        <v>325</v>
      </c>
      <c r="K149" s="16" t="s">
        <v>32</v>
      </c>
      <c r="L149" s="8" t="s">
        <v>33</v>
      </c>
      <c r="M149" s="15" t="s">
        <v>195</v>
      </c>
      <c r="N149" s="15" t="s">
        <v>31</v>
      </c>
      <c r="O149" s="17"/>
      <c r="P149" s="17"/>
      <c r="Q149" s="17"/>
      <c r="R149" s="22" t="s">
        <v>722</v>
      </c>
      <c r="S149" s="18">
        <v>46118.0</v>
      </c>
      <c r="T149" s="18">
        <v>46119.0</v>
      </c>
      <c r="U149" s="15" t="s">
        <v>480</v>
      </c>
      <c r="V149" s="13"/>
      <c r="W149" s="13"/>
      <c r="X149" s="13"/>
      <c r="Z149" s="13"/>
    </row>
    <row r="150" ht="21.75" customHeight="1">
      <c r="A150" s="27" t="str">
        <f>IF(B150="","","CAN-"&amp;TEXT(147,"000"))</f>
        <v>CAN-147</v>
      </c>
      <c r="B150" s="8" t="s">
        <v>723</v>
      </c>
      <c r="C150" s="8" t="s">
        <v>147</v>
      </c>
      <c r="D150" s="9">
        <v>8.89869174E9</v>
      </c>
      <c r="E150" s="8" t="s">
        <v>210</v>
      </c>
      <c r="F150" s="8" t="s">
        <v>724</v>
      </c>
      <c r="G150" s="9" t="s">
        <v>725</v>
      </c>
      <c r="H150" s="9" t="s">
        <v>726</v>
      </c>
      <c r="I150" s="8" t="s">
        <v>39</v>
      </c>
      <c r="J150" s="10"/>
      <c r="K150" s="16" t="s">
        <v>32</v>
      </c>
      <c r="L150" s="8" t="s">
        <v>207</v>
      </c>
      <c r="M150" s="15" t="s">
        <v>34</v>
      </c>
      <c r="N150" s="8" t="s">
        <v>45</v>
      </c>
      <c r="O150" s="10"/>
      <c r="P150" s="10"/>
      <c r="Q150" s="10"/>
      <c r="R150" s="11" t="s">
        <v>727</v>
      </c>
      <c r="S150" s="20">
        <v>46118.0</v>
      </c>
      <c r="T150" s="9"/>
      <c r="U150" s="8" t="s">
        <v>295</v>
      </c>
      <c r="V150" s="13"/>
      <c r="W150" s="13"/>
      <c r="X150" s="13"/>
      <c r="Z150" s="13"/>
    </row>
    <row r="151" ht="21.75" customHeight="1">
      <c r="A151" s="25" t="str">
        <f>IF(B151="","","CAN-"&amp;TEXT(148,"000"))</f>
        <v>CAN-148</v>
      </c>
      <c r="B151" s="15" t="s">
        <v>728</v>
      </c>
      <c r="C151" s="8" t="s">
        <v>147</v>
      </c>
      <c r="D151" s="16">
        <v>7.506195254E9</v>
      </c>
      <c r="E151" s="15" t="s">
        <v>210</v>
      </c>
      <c r="F151" s="15" t="s">
        <v>425</v>
      </c>
      <c r="G151" s="16" t="s">
        <v>218</v>
      </c>
      <c r="H151" s="16" t="s">
        <v>44</v>
      </c>
      <c r="I151" s="15" t="s">
        <v>39</v>
      </c>
      <c r="J151" s="15" t="s">
        <v>729</v>
      </c>
      <c r="K151" s="16" t="s">
        <v>92</v>
      </c>
      <c r="L151" s="8" t="s">
        <v>33</v>
      </c>
      <c r="M151" s="15" t="s">
        <v>34</v>
      </c>
      <c r="N151" s="15" t="s">
        <v>35</v>
      </c>
      <c r="O151" s="17"/>
      <c r="P151" s="17"/>
      <c r="Q151" s="17"/>
      <c r="R151" s="22" t="s">
        <v>730</v>
      </c>
      <c r="S151" s="18">
        <v>46118.0</v>
      </c>
      <c r="T151" s="19"/>
      <c r="U151" s="15" t="s">
        <v>125</v>
      </c>
      <c r="V151" s="13"/>
      <c r="W151" s="13"/>
      <c r="X151" s="13"/>
      <c r="Z151" s="13"/>
    </row>
    <row r="152" ht="21.75" customHeight="1">
      <c r="A152" s="27" t="str">
        <f>IF(B152="","","CAN-"&amp;TEXT(149,"000"))</f>
        <v>CAN-149</v>
      </c>
      <c r="B152" s="8" t="s">
        <v>731</v>
      </c>
      <c r="C152" s="8" t="s">
        <v>41</v>
      </c>
      <c r="D152" s="9">
        <v>9.833527121E9</v>
      </c>
      <c r="E152" s="8" t="s">
        <v>38</v>
      </c>
      <c r="F152" s="8" t="s">
        <v>732</v>
      </c>
      <c r="G152" s="9" t="s">
        <v>129</v>
      </c>
      <c r="H152" s="9" t="s">
        <v>279</v>
      </c>
      <c r="I152" s="8" t="s">
        <v>39</v>
      </c>
      <c r="J152" s="10"/>
      <c r="K152" s="16" t="s">
        <v>92</v>
      </c>
      <c r="L152" s="8" t="s">
        <v>33</v>
      </c>
      <c r="M152" s="15" t="s">
        <v>34</v>
      </c>
      <c r="N152" s="8" t="s">
        <v>45</v>
      </c>
      <c r="O152" s="10"/>
      <c r="P152" s="10"/>
      <c r="Q152" s="10"/>
      <c r="R152" s="11" t="s">
        <v>733</v>
      </c>
      <c r="S152" s="18">
        <v>46118.0</v>
      </c>
      <c r="T152" s="21"/>
      <c r="U152" s="8" t="s">
        <v>125</v>
      </c>
      <c r="V152" s="13"/>
      <c r="W152" s="13"/>
      <c r="X152" s="13"/>
      <c r="Z152" s="13"/>
    </row>
    <row r="153" ht="21.75" customHeight="1">
      <c r="A153" s="25" t="str">
        <f>IF(B153="","","CAN-"&amp;TEXT(150,"000"))</f>
        <v>CAN-150</v>
      </c>
      <c r="B153" s="15" t="s">
        <v>734</v>
      </c>
      <c r="C153" s="8" t="s">
        <v>147</v>
      </c>
      <c r="D153" s="16">
        <v>7.900064572E9</v>
      </c>
      <c r="E153" s="15" t="s">
        <v>179</v>
      </c>
      <c r="F153" s="15" t="s">
        <v>192</v>
      </c>
      <c r="G153" s="16" t="s">
        <v>571</v>
      </c>
      <c r="H153" s="16" t="s">
        <v>121</v>
      </c>
      <c r="I153" s="15" t="s">
        <v>39</v>
      </c>
      <c r="J153" s="15" t="s">
        <v>344</v>
      </c>
      <c r="K153" s="16" t="s">
        <v>92</v>
      </c>
      <c r="L153" s="8" t="s">
        <v>33</v>
      </c>
      <c r="M153" s="15" t="s">
        <v>34</v>
      </c>
      <c r="N153" s="15" t="s">
        <v>31</v>
      </c>
      <c r="O153" s="17"/>
      <c r="P153" s="17"/>
      <c r="Q153" s="17"/>
      <c r="R153" s="22" t="s">
        <v>735</v>
      </c>
      <c r="S153" s="18">
        <v>46118.0</v>
      </c>
      <c r="T153" s="19"/>
      <c r="U153" s="15" t="s">
        <v>252</v>
      </c>
      <c r="V153" s="13"/>
      <c r="W153" s="13"/>
      <c r="X153" s="13"/>
      <c r="Z153" s="13"/>
    </row>
    <row r="154" ht="21.75" customHeight="1">
      <c r="A154" s="27" t="str">
        <f>IF(B154="","","CAN-"&amp;TEXT(151,"000"))</f>
        <v>CAN-151</v>
      </c>
      <c r="B154" s="8" t="s">
        <v>736</v>
      </c>
      <c r="C154" s="8" t="s">
        <v>147</v>
      </c>
      <c r="D154" s="9">
        <v>7.97747994E9</v>
      </c>
      <c r="E154" s="8" t="s">
        <v>42</v>
      </c>
      <c r="F154" s="8" t="s">
        <v>90</v>
      </c>
      <c r="G154" s="9" t="s">
        <v>737</v>
      </c>
      <c r="H154" s="9" t="s">
        <v>402</v>
      </c>
      <c r="I154" s="8" t="s">
        <v>39</v>
      </c>
      <c r="J154" s="8" t="s">
        <v>344</v>
      </c>
      <c r="K154" s="16" t="s">
        <v>32</v>
      </c>
      <c r="L154" s="8" t="s">
        <v>207</v>
      </c>
      <c r="M154" s="15" t="s">
        <v>34</v>
      </c>
      <c r="N154" s="8" t="s">
        <v>87</v>
      </c>
      <c r="O154" s="10"/>
      <c r="P154" s="10"/>
      <c r="Q154" s="10"/>
      <c r="R154" s="11" t="s">
        <v>738</v>
      </c>
      <c r="S154" s="20">
        <v>46118.0</v>
      </c>
      <c r="T154" s="20">
        <v>46120.0</v>
      </c>
      <c r="U154" s="10"/>
      <c r="V154" s="13"/>
      <c r="W154" s="13"/>
      <c r="X154" s="13"/>
      <c r="Z154" s="13"/>
    </row>
    <row r="155" ht="21.75" customHeight="1">
      <c r="A155" s="25" t="str">
        <f>IF(B155="","","CAN-"&amp;TEXT(152,"000"))</f>
        <v>CAN-152</v>
      </c>
      <c r="B155" s="15" t="s">
        <v>739</v>
      </c>
      <c r="C155" s="8" t="s">
        <v>41</v>
      </c>
      <c r="D155" s="16">
        <v>7.977713985E9</v>
      </c>
      <c r="E155" s="15" t="s">
        <v>120</v>
      </c>
      <c r="F155" s="15" t="s">
        <v>90</v>
      </c>
      <c r="G155" s="16" t="s">
        <v>44</v>
      </c>
      <c r="H155" s="16" t="s">
        <v>102</v>
      </c>
      <c r="I155" s="15" t="s">
        <v>39</v>
      </c>
      <c r="J155" s="15" t="s">
        <v>740</v>
      </c>
      <c r="K155" s="16" t="s">
        <v>32</v>
      </c>
      <c r="L155" s="8" t="s">
        <v>33</v>
      </c>
      <c r="M155" s="15" t="s">
        <v>34</v>
      </c>
      <c r="N155" s="15" t="s">
        <v>45</v>
      </c>
      <c r="O155" s="17"/>
      <c r="P155" s="17"/>
      <c r="Q155" s="17"/>
      <c r="R155" s="22" t="s">
        <v>741</v>
      </c>
      <c r="S155" s="18">
        <v>46119.0</v>
      </c>
      <c r="T155" s="18">
        <v>46120.0</v>
      </c>
      <c r="U155" s="15" t="s">
        <v>125</v>
      </c>
      <c r="V155" s="13"/>
      <c r="W155" s="13"/>
      <c r="X155" s="13"/>
      <c r="Z155" s="13"/>
    </row>
    <row r="156" ht="21.75" customHeight="1">
      <c r="A156" s="27" t="str">
        <f>IF(B156="","","CAN-"&amp;TEXT(153,"000"))</f>
        <v>CAN-153</v>
      </c>
      <c r="B156" s="8" t="s">
        <v>742</v>
      </c>
      <c r="C156" s="8" t="s">
        <v>41</v>
      </c>
      <c r="D156" s="9">
        <v>8.369343335E9</v>
      </c>
      <c r="E156" s="8" t="s">
        <v>743</v>
      </c>
      <c r="F156" s="8" t="s">
        <v>108</v>
      </c>
      <c r="G156" s="24"/>
      <c r="H156" s="24"/>
      <c r="I156" s="8" t="s">
        <v>39</v>
      </c>
      <c r="J156" s="8" t="s">
        <v>744</v>
      </c>
      <c r="K156" s="16" t="s">
        <v>92</v>
      </c>
      <c r="L156" s="8" t="s">
        <v>61</v>
      </c>
      <c r="M156" s="15" t="s">
        <v>34</v>
      </c>
      <c r="N156" s="8" t="s">
        <v>45</v>
      </c>
      <c r="O156" s="10"/>
      <c r="P156" s="10"/>
      <c r="Q156" s="10"/>
      <c r="R156" s="11" t="s">
        <v>745</v>
      </c>
      <c r="S156" s="18">
        <v>46119.0</v>
      </c>
      <c r="T156" s="20">
        <v>46120.0</v>
      </c>
      <c r="U156" s="8" t="s">
        <v>161</v>
      </c>
      <c r="V156" s="13"/>
      <c r="W156" s="13"/>
      <c r="X156" s="13"/>
      <c r="Z156" s="13"/>
    </row>
    <row r="157" ht="21.75" customHeight="1">
      <c r="A157" s="25" t="str">
        <f>IF(B157="","","CAN-"&amp;TEXT(154,"000"))</f>
        <v>CAN-154</v>
      </c>
      <c r="B157" s="15" t="s">
        <v>746</v>
      </c>
      <c r="C157" s="8" t="s">
        <v>147</v>
      </c>
      <c r="D157" s="16">
        <v>9.892440697E9</v>
      </c>
      <c r="E157" s="15" t="s">
        <v>290</v>
      </c>
      <c r="F157" s="15" t="s">
        <v>90</v>
      </c>
      <c r="G157" s="16" t="s">
        <v>678</v>
      </c>
      <c r="H157" s="16" t="s">
        <v>747</v>
      </c>
      <c r="I157" s="15" t="s">
        <v>39</v>
      </c>
      <c r="J157" s="15" t="s">
        <v>748</v>
      </c>
      <c r="K157" s="16" t="s">
        <v>32</v>
      </c>
      <c r="L157" s="8" t="s">
        <v>33</v>
      </c>
      <c r="M157" s="15" t="s">
        <v>34</v>
      </c>
      <c r="N157" s="15" t="s">
        <v>48</v>
      </c>
      <c r="O157" s="17"/>
      <c r="P157" s="17"/>
      <c r="Q157" s="17"/>
      <c r="R157" s="22" t="s">
        <v>749</v>
      </c>
      <c r="S157" s="18">
        <v>46119.0</v>
      </c>
      <c r="T157" s="18">
        <v>46120.0</v>
      </c>
      <c r="U157" s="15" t="s">
        <v>154</v>
      </c>
      <c r="V157" s="13"/>
      <c r="W157" s="13"/>
      <c r="X157" s="13"/>
      <c r="Z157" s="13"/>
    </row>
    <row r="158" ht="21.75" customHeight="1">
      <c r="A158" s="27" t="str">
        <f>IF(B158="","","CAN-"&amp;TEXT(155,"000"))</f>
        <v>CAN-155</v>
      </c>
      <c r="B158" s="8" t="s">
        <v>750</v>
      </c>
      <c r="C158" s="8" t="s">
        <v>41</v>
      </c>
      <c r="D158" s="9">
        <v>7.042321411E9</v>
      </c>
      <c r="E158" s="8" t="s">
        <v>199</v>
      </c>
      <c r="F158" s="8" t="s">
        <v>108</v>
      </c>
      <c r="G158" s="9" t="s">
        <v>586</v>
      </c>
      <c r="H158" s="9" t="s">
        <v>586</v>
      </c>
      <c r="I158" s="8" t="s">
        <v>39</v>
      </c>
      <c r="J158" s="8" t="s">
        <v>371</v>
      </c>
      <c r="K158" s="16" t="s">
        <v>32</v>
      </c>
      <c r="L158" s="8" t="s">
        <v>33</v>
      </c>
      <c r="M158" s="15" t="s">
        <v>34</v>
      </c>
      <c r="N158" s="8" t="s">
        <v>45</v>
      </c>
      <c r="O158" s="10"/>
      <c r="P158" s="10"/>
      <c r="Q158" s="10"/>
      <c r="R158" s="11" t="s">
        <v>751</v>
      </c>
      <c r="S158" s="18">
        <v>46119.0</v>
      </c>
      <c r="T158" s="20">
        <v>46120.0</v>
      </c>
      <c r="U158" s="10"/>
      <c r="V158" s="13"/>
      <c r="W158" s="13"/>
      <c r="X158" s="13"/>
      <c r="Z158" s="13"/>
    </row>
    <row r="159" ht="21.75" customHeight="1">
      <c r="A159" s="25" t="str">
        <f>IF(B159="","","CAN-"&amp;TEXT(156,"000"))</f>
        <v>CAN-156</v>
      </c>
      <c r="B159" s="15" t="s">
        <v>752</v>
      </c>
      <c r="C159" s="8" t="s">
        <v>147</v>
      </c>
      <c r="D159" s="16">
        <v>8.889095E9</v>
      </c>
      <c r="E159" s="15" t="s">
        <v>128</v>
      </c>
      <c r="F159" s="15" t="s">
        <v>90</v>
      </c>
      <c r="G159" s="16" t="s">
        <v>121</v>
      </c>
      <c r="H159" s="16" t="s">
        <v>218</v>
      </c>
      <c r="I159" s="15" t="s">
        <v>39</v>
      </c>
      <c r="J159" s="15" t="s">
        <v>753</v>
      </c>
      <c r="K159" s="16" t="s">
        <v>32</v>
      </c>
      <c r="L159" s="8" t="s">
        <v>61</v>
      </c>
      <c r="M159" s="15" t="s">
        <v>34</v>
      </c>
      <c r="N159" s="15" t="s">
        <v>48</v>
      </c>
      <c r="O159" s="17"/>
      <c r="P159" s="17"/>
      <c r="Q159" s="17"/>
      <c r="R159" s="22" t="s">
        <v>754</v>
      </c>
      <c r="S159" s="18">
        <v>46119.0</v>
      </c>
      <c r="T159" s="18">
        <v>46120.0</v>
      </c>
      <c r="U159" s="15" t="s">
        <v>154</v>
      </c>
      <c r="V159" s="13"/>
      <c r="W159" s="13"/>
      <c r="X159" s="13"/>
      <c r="Z159" s="13"/>
    </row>
    <row r="160" ht="21.75" customHeight="1">
      <c r="A160" s="27" t="str">
        <f>IF(B160="","","CAN-"&amp;TEXT(157,"000"))</f>
        <v>CAN-157</v>
      </c>
      <c r="B160" s="8" t="s">
        <v>755</v>
      </c>
      <c r="C160" s="8" t="s">
        <v>147</v>
      </c>
      <c r="D160" s="9">
        <v>8.879379956E9</v>
      </c>
      <c r="E160" s="8" t="s">
        <v>79</v>
      </c>
      <c r="F160" s="8" t="s">
        <v>90</v>
      </c>
      <c r="G160" s="9" t="s">
        <v>756</v>
      </c>
      <c r="H160" s="9" t="s">
        <v>279</v>
      </c>
      <c r="I160" s="8" t="s">
        <v>39</v>
      </c>
      <c r="J160" s="10"/>
      <c r="K160" s="16" t="s">
        <v>32</v>
      </c>
      <c r="L160" s="8" t="s">
        <v>33</v>
      </c>
      <c r="M160" s="15" t="s">
        <v>34</v>
      </c>
      <c r="N160" s="8" t="s">
        <v>35</v>
      </c>
      <c r="O160" s="10"/>
      <c r="P160" s="10"/>
      <c r="Q160" s="10"/>
      <c r="R160" s="11" t="s">
        <v>757</v>
      </c>
      <c r="S160" s="20">
        <v>46119.0</v>
      </c>
      <c r="T160" s="20"/>
      <c r="U160" s="8" t="s">
        <v>758</v>
      </c>
      <c r="V160" s="13"/>
      <c r="W160" s="13"/>
      <c r="X160" s="13"/>
      <c r="Z160" s="13"/>
    </row>
    <row r="161" ht="21.75" customHeight="1">
      <c r="A161" s="25" t="str">
        <f>IF(B161="","","CAN-"&amp;TEXT(158,"000"))</f>
        <v>CAN-158</v>
      </c>
      <c r="B161" s="15" t="s">
        <v>759</v>
      </c>
      <c r="C161" s="8" t="s">
        <v>147</v>
      </c>
      <c r="D161" s="16" t="s">
        <v>760</v>
      </c>
      <c r="E161" s="15" t="s">
        <v>42</v>
      </c>
      <c r="F161" s="15" t="s">
        <v>90</v>
      </c>
      <c r="G161" s="16" t="s">
        <v>44</v>
      </c>
      <c r="H161" s="16" t="s">
        <v>168</v>
      </c>
      <c r="I161" s="15" t="s">
        <v>39</v>
      </c>
      <c r="J161" s="15" t="s">
        <v>761</v>
      </c>
      <c r="K161" s="16" t="s">
        <v>32</v>
      </c>
      <c r="L161" s="8" t="s">
        <v>33</v>
      </c>
      <c r="M161" s="15" t="s">
        <v>34</v>
      </c>
      <c r="N161" s="15" t="s">
        <v>48</v>
      </c>
      <c r="O161" s="17"/>
      <c r="P161" s="17"/>
      <c r="Q161" s="17"/>
      <c r="R161" s="22" t="s">
        <v>762</v>
      </c>
      <c r="S161" s="18">
        <v>46119.0</v>
      </c>
      <c r="T161" s="18">
        <v>46120.0</v>
      </c>
      <c r="U161" s="15" t="s">
        <v>480</v>
      </c>
      <c r="V161" s="13"/>
      <c r="W161" s="13"/>
      <c r="X161" s="13"/>
      <c r="Z161" s="13"/>
    </row>
    <row r="162" ht="21.75" customHeight="1">
      <c r="A162" s="27" t="str">
        <f>IF(B162="","","CAN-"&amp;TEXT(159,"000"))</f>
        <v>CAN-159</v>
      </c>
      <c r="B162" s="8" t="s">
        <v>763</v>
      </c>
      <c r="C162" s="8" t="s">
        <v>24</v>
      </c>
      <c r="D162" s="9"/>
      <c r="E162" s="8" t="s">
        <v>79</v>
      </c>
      <c r="F162" s="8" t="s">
        <v>90</v>
      </c>
      <c r="G162" s="9" t="s">
        <v>764</v>
      </c>
      <c r="H162" s="9" t="s">
        <v>765</v>
      </c>
      <c r="I162" s="8" t="s">
        <v>39</v>
      </c>
      <c r="J162" s="8" t="s">
        <v>766</v>
      </c>
      <c r="K162" s="16" t="s">
        <v>32</v>
      </c>
      <c r="L162" s="8" t="s">
        <v>33</v>
      </c>
      <c r="M162" s="8" t="s">
        <v>34</v>
      </c>
      <c r="N162" s="8" t="s">
        <v>35</v>
      </c>
      <c r="O162" s="10"/>
      <c r="P162" s="10"/>
      <c r="Q162" s="10"/>
      <c r="R162" s="11" t="s">
        <v>767</v>
      </c>
      <c r="S162" s="20">
        <v>46119.0</v>
      </c>
      <c r="T162" s="20">
        <v>46120.0</v>
      </c>
      <c r="U162" s="8" t="s">
        <v>161</v>
      </c>
      <c r="V162" s="13"/>
      <c r="W162" s="13"/>
      <c r="X162" s="13"/>
      <c r="Z162" s="13"/>
    </row>
    <row r="163" ht="21.75" customHeight="1">
      <c r="A163" s="25" t="str">
        <f>IF(B163="","","CAN-"&amp;TEXT(160,"000"))</f>
        <v>CAN-160</v>
      </c>
      <c r="B163" s="15" t="s">
        <v>768</v>
      </c>
      <c r="C163" s="8" t="s">
        <v>24</v>
      </c>
      <c r="D163" s="16" t="s">
        <v>769</v>
      </c>
      <c r="E163" s="15" t="s">
        <v>307</v>
      </c>
      <c r="F163" s="15" t="s">
        <v>90</v>
      </c>
      <c r="G163" s="16" t="s">
        <v>402</v>
      </c>
      <c r="H163" s="16" t="s">
        <v>226</v>
      </c>
      <c r="I163" s="15" t="s">
        <v>39</v>
      </c>
      <c r="J163" s="15" t="s">
        <v>770</v>
      </c>
      <c r="K163" s="16" t="s">
        <v>32</v>
      </c>
      <c r="L163" s="15" t="s">
        <v>61</v>
      </c>
      <c r="M163" s="15" t="s">
        <v>34</v>
      </c>
      <c r="N163" s="15" t="s">
        <v>35</v>
      </c>
      <c r="O163" s="17"/>
      <c r="P163" s="17"/>
      <c r="Q163" s="17"/>
      <c r="R163" s="22" t="s">
        <v>771</v>
      </c>
      <c r="S163" s="18">
        <v>46119.0</v>
      </c>
      <c r="T163" s="18">
        <v>46120.0</v>
      </c>
      <c r="U163" s="15" t="s">
        <v>171</v>
      </c>
      <c r="V163" s="13"/>
      <c r="W163" s="13"/>
      <c r="X163" s="13"/>
      <c r="Z163" s="13"/>
    </row>
    <row r="164" ht="21.75" customHeight="1">
      <c r="A164" s="27" t="str">
        <f>IF(B164="","","CAN-"&amp;TEXT(161,"000"))</f>
        <v>CAN-161</v>
      </c>
      <c r="B164" s="8" t="s">
        <v>772</v>
      </c>
      <c r="C164" s="8" t="s">
        <v>24</v>
      </c>
      <c r="D164" s="9" t="s">
        <v>773</v>
      </c>
      <c r="E164" s="8" t="s">
        <v>248</v>
      </c>
      <c r="F164" s="8" t="s">
        <v>108</v>
      </c>
      <c r="G164" s="9" t="s">
        <v>44</v>
      </c>
      <c r="H164" s="9" t="s">
        <v>774</v>
      </c>
      <c r="I164" s="8" t="s">
        <v>39</v>
      </c>
      <c r="J164" s="8" t="s">
        <v>371</v>
      </c>
      <c r="K164" s="16" t="s">
        <v>32</v>
      </c>
      <c r="L164" s="8" t="s">
        <v>33</v>
      </c>
      <c r="M164" s="8" t="s">
        <v>34</v>
      </c>
      <c r="N164" s="8" t="s">
        <v>35</v>
      </c>
      <c r="O164" s="10"/>
      <c r="P164" s="10"/>
      <c r="Q164" s="10"/>
      <c r="R164" s="11" t="s">
        <v>775</v>
      </c>
      <c r="S164" s="20">
        <v>46119.0</v>
      </c>
      <c r="T164" s="20">
        <v>46120.0</v>
      </c>
      <c r="U164" s="8" t="s">
        <v>511</v>
      </c>
      <c r="V164" s="13"/>
      <c r="W164" s="13"/>
      <c r="X164" s="13"/>
      <c r="Z164" s="13"/>
    </row>
    <row r="165" ht="21.75" customHeight="1">
      <c r="A165" s="25" t="str">
        <f>IF(B165="","","CAN-"&amp;TEXT(162,"000"))</f>
        <v>CAN-162</v>
      </c>
      <c r="B165" s="15" t="s">
        <v>776</v>
      </c>
      <c r="C165" s="8" t="s">
        <v>24</v>
      </c>
      <c r="D165" s="16" t="s">
        <v>777</v>
      </c>
      <c r="E165" s="15" t="s">
        <v>290</v>
      </c>
      <c r="F165" s="15" t="s">
        <v>90</v>
      </c>
      <c r="G165" s="16" t="s">
        <v>778</v>
      </c>
      <c r="H165" s="16" t="s">
        <v>501</v>
      </c>
      <c r="I165" s="15" t="s">
        <v>39</v>
      </c>
      <c r="J165" s="15" t="s">
        <v>770</v>
      </c>
      <c r="K165" s="16" t="s">
        <v>32</v>
      </c>
      <c r="L165" s="15" t="s">
        <v>61</v>
      </c>
      <c r="M165" s="15" t="s">
        <v>34</v>
      </c>
      <c r="N165" s="15" t="s">
        <v>35</v>
      </c>
      <c r="O165" s="17"/>
      <c r="P165" s="17"/>
      <c r="Q165" s="17"/>
      <c r="R165" s="22" t="s">
        <v>779</v>
      </c>
      <c r="S165" s="18">
        <v>46119.0</v>
      </c>
      <c r="T165" s="18">
        <v>46120.0</v>
      </c>
      <c r="U165" s="15" t="s">
        <v>154</v>
      </c>
      <c r="V165" s="13"/>
      <c r="W165" s="13"/>
      <c r="X165" s="13"/>
      <c r="Z165" s="13"/>
    </row>
    <row r="166" ht="21.75" customHeight="1">
      <c r="A166" s="27" t="str">
        <f>IF(B166="","","CAN-"&amp;TEXT(163,"000"))</f>
        <v>CAN-163</v>
      </c>
      <c r="B166" s="8" t="s">
        <v>780</v>
      </c>
      <c r="C166" s="8" t="s">
        <v>24</v>
      </c>
      <c r="D166" s="24"/>
      <c r="E166" s="8" t="s">
        <v>101</v>
      </c>
      <c r="F166" s="8" t="s">
        <v>90</v>
      </c>
      <c r="G166" s="9" t="s">
        <v>201</v>
      </c>
      <c r="H166" s="9" t="s">
        <v>168</v>
      </c>
      <c r="I166" s="8" t="s">
        <v>83</v>
      </c>
      <c r="J166" s="8" t="s">
        <v>31</v>
      </c>
      <c r="K166" s="16" t="s">
        <v>32</v>
      </c>
      <c r="L166" s="8" t="s">
        <v>33</v>
      </c>
      <c r="M166" s="8" t="s">
        <v>34</v>
      </c>
      <c r="N166" s="8" t="s">
        <v>35</v>
      </c>
      <c r="O166" s="10"/>
      <c r="P166" s="10"/>
      <c r="Q166" s="10"/>
      <c r="R166" s="11" t="s">
        <v>781</v>
      </c>
      <c r="S166" s="20">
        <v>46119.0</v>
      </c>
      <c r="T166" s="20">
        <v>46120.0</v>
      </c>
      <c r="U166" s="8" t="s">
        <v>496</v>
      </c>
      <c r="V166" s="13"/>
      <c r="W166" s="13"/>
      <c r="X166" s="13"/>
      <c r="Z166" s="13"/>
    </row>
    <row r="167" ht="21.75" customHeight="1">
      <c r="A167" s="25" t="str">
        <f>IF(B167="","","CAN-"&amp;TEXT(164,"000"))</f>
        <v>CAN-164</v>
      </c>
      <c r="B167" s="15" t="s">
        <v>782</v>
      </c>
      <c r="C167" s="8" t="s">
        <v>24</v>
      </c>
      <c r="D167" s="16" t="s">
        <v>783</v>
      </c>
      <c r="E167" s="15" t="s">
        <v>519</v>
      </c>
      <c r="F167" s="15" t="s">
        <v>90</v>
      </c>
      <c r="G167" s="16" t="s">
        <v>402</v>
      </c>
      <c r="H167" s="16" t="s">
        <v>44</v>
      </c>
      <c r="I167" s="15" t="s">
        <v>39</v>
      </c>
      <c r="J167" s="15" t="s">
        <v>770</v>
      </c>
      <c r="K167" s="16" t="s">
        <v>32</v>
      </c>
      <c r="L167" s="15" t="s">
        <v>61</v>
      </c>
      <c r="M167" s="15" t="s">
        <v>34</v>
      </c>
      <c r="N167" s="15" t="s">
        <v>35</v>
      </c>
      <c r="O167" s="17"/>
      <c r="P167" s="17"/>
      <c r="Q167" s="17"/>
      <c r="R167" s="22" t="s">
        <v>784</v>
      </c>
      <c r="S167" s="18">
        <v>46119.0</v>
      </c>
      <c r="T167" s="18">
        <v>46120.0</v>
      </c>
      <c r="U167" s="8" t="s">
        <v>511</v>
      </c>
      <c r="V167" s="13"/>
      <c r="W167" s="13"/>
      <c r="X167" s="13"/>
      <c r="Z167" s="13"/>
    </row>
    <row r="168" ht="21.75" customHeight="1">
      <c r="A168" s="27" t="str">
        <f>IF(B168="","","CAN-"&amp;TEXT(165,"000"))</f>
        <v>CAN-165</v>
      </c>
      <c r="B168" s="8" t="s">
        <v>785</v>
      </c>
      <c r="C168" s="8" t="s">
        <v>24</v>
      </c>
      <c r="D168" s="9" t="s">
        <v>786</v>
      </c>
      <c r="E168" s="8" t="s">
        <v>135</v>
      </c>
      <c r="F168" s="8" t="s">
        <v>90</v>
      </c>
      <c r="G168" s="9" t="s">
        <v>324</v>
      </c>
      <c r="H168" s="9" t="s">
        <v>324</v>
      </c>
      <c r="I168" s="8" t="s">
        <v>64</v>
      </c>
      <c r="J168" s="8" t="s">
        <v>31</v>
      </c>
      <c r="K168" s="16" t="s">
        <v>32</v>
      </c>
      <c r="L168" s="8" t="s">
        <v>33</v>
      </c>
      <c r="M168" s="8" t="s">
        <v>34</v>
      </c>
      <c r="N168" s="8" t="s">
        <v>35</v>
      </c>
      <c r="O168" s="10"/>
      <c r="P168" s="10"/>
      <c r="Q168" s="10"/>
      <c r="R168" s="11" t="s">
        <v>787</v>
      </c>
      <c r="S168" s="20">
        <v>46119.0</v>
      </c>
      <c r="T168" s="20">
        <v>46120.0</v>
      </c>
      <c r="U168" s="8" t="s">
        <v>182</v>
      </c>
      <c r="V168" s="13"/>
      <c r="W168" s="13"/>
      <c r="X168" s="13"/>
      <c r="Z168" s="13"/>
    </row>
    <row r="169" ht="21.75" customHeight="1">
      <c r="A169" s="25" t="str">
        <f>IF(B169="","","CAN-"&amp;TEXT(166,"000"))</f>
        <v>CAN-166</v>
      </c>
      <c r="B169" s="15" t="s">
        <v>788</v>
      </c>
      <c r="C169" s="8" t="s">
        <v>24</v>
      </c>
      <c r="D169" s="16" t="s">
        <v>789</v>
      </c>
      <c r="E169" s="15" t="s">
        <v>365</v>
      </c>
      <c r="F169" s="15" t="s">
        <v>90</v>
      </c>
      <c r="G169" s="16" t="s">
        <v>44</v>
      </c>
      <c r="H169" s="16" t="s">
        <v>44</v>
      </c>
      <c r="I169" s="15" t="s">
        <v>39</v>
      </c>
      <c r="J169" s="15" t="s">
        <v>31</v>
      </c>
      <c r="K169" s="16" t="s">
        <v>92</v>
      </c>
      <c r="L169" s="15" t="s">
        <v>61</v>
      </c>
      <c r="M169" s="15" t="s">
        <v>34</v>
      </c>
      <c r="N169" s="15" t="s">
        <v>35</v>
      </c>
      <c r="O169" s="17"/>
      <c r="P169" s="17"/>
      <c r="Q169" s="17"/>
      <c r="R169" s="22" t="s">
        <v>790</v>
      </c>
      <c r="S169" s="18">
        <v>46119.0</v>
      </c>
      <c r="T169" s="18">
        <v>46120.0</v>
      </c>
      <c r="U169" s="15" t="s">
        <v>182</v>
      </c>
      <c r="V169" s="13"/>
      <c r="W169" s="13"/>
      <c r="X169" s="13"/>
      <c r="Z169" s="13"/>
    </row>
    <row r="170" ht="21.75" customHeight="1">
      <c r="A170" s="27" t="str">
        <f>IF(B170="","","CAN-"&amp;TEXT(167,"000"))</f>
        <v>CAN-167</v>
      </c>
      <c r="B170" s="8" t="s">
        <v>791</v>
      </c>
      <c r="C170" s="8" t="s">
        <v>24</v>
      </c>
      <c r="D170" s="9" t="s">
        <v>792</v>
      </c>
      <c r="E170" s="8" t="s">
        <v>215</v>
      </c>
      <c r="F170" s="8" t="s">
        <v>90</v>
      </c>
      <c r="G170" s="9" t="s">
        <v>586</v>
      </c>
      <c r="H170" s="9" t="s">
        <v>586</v>
      </c>
      <c r="I170" s="8" t="s">
        <v>39</v>
      </c>
      <c r="J170" s="8" t="s">
        <v>371</v>
      </c>
      <c r="K170" s="16" t="s">
        <v>32</v>
      </c>
      <c r="L170" s="8" t="s">
        <v>33</v>
      </c>
      <c r="M170" s="8" t="s">
        <v>34</v>
      </c>
      <c r="N170" s="8" t="s">
        <v>35</v>
      </c>
      <c r="O170" s="10"/>
      <c r="P170" s="10"/>
      <c r="Q170" s="10"/>
      <c r="R170" s="11" t="s">
        <v>793</v>
      </c>
      <c r="S170" s="20">
        <v>46119.0</v>
      </c>
      <c r="T170" s="20">
        <v>46120.0</v>
      </c>
      <c r="U170" s="8" t="s">
        <v>511</v>
      </c>
      <c r="V170" s="32" t="s">
        <v>0</v>
      </c>
      <c r="W170" s="13"/>
      <c r="X170" s="13"/>
      <c r="Z170" s="13"/>
    </row>
    <row r="171" ht="21.75" customHeight="1">
      <c r="A171" s="25" t="str">
        <f>IF(B171="","","CAN-"&amp;TEXT(168,"000"))</f>
        <v>CAN-168</v>
      </c>
      <c r="B171" s="15" t="s">
        <v>794</v>
      </c>
      <c r="C171" s="8" t="s">
        <v>24</v>
      </c>
      <c r="D171" s="16" t="s">
        <v>795</v>
      </c>
      <c r="E171" s="15" t="s">
        <v>79</v>
      </c>
      <c r="F171" s="15" t="s">
        <v>90</v>
      </c>
      <c r="G171" s="16" t="s">
        <v>361</v>
      </c>
      <c r="H171" s="16" t="s">
        <v>635</v>
      </c>
      <c r="I171" s="15" t="s">
        <v>39</v>
      </c>
      <c r="J171" s="15" t="s">
        <v>766</v>
      </c>
      <c r="K171" s="16" t="s">
        <v>32</v>
      </c>
      <c r="L171" s="15" t="s">
        <v>61</v>
      </c>
      <c r="M171" s="15" t="s">
        <v>34</v>
      </c>
      <c r="N171" s="15" t="s">
        <v>35</v>
      </c>
      <c r="O171" s="17"/>
      <c r="P171" s="17"/>
      <c r="Q171" s="17"/>
      <c r="R171" s="22" t="s">
        <v>796</v>
      </c>
      <c r="S171" s="18">
        <v>46119.0</v>
      </c>
      <c r="T171" s="18">
        <v>46120.0</v>
      </c>
      <c r="U171" s="15" t="s">
        <v>284</v>
      </c>
      <c r="V171" s="13"/>
      <c r="W171" s="13"/>
      <c r="X171" s="13"/>
      <c r="Z171" s="13"/>
    </row>
    <row r="172" ht="21.75" customHeight="1">
      <c r="A172" s="27" t="str">
        <f>IF(B172="","","CAN-"&amp;TEXT(169,"000"))</f>
        <v>CAN-169</v>
      </c>
      <c r="B172" s="8" t="s">
        <v>797</v>
      </c>
      <c r="C172" s="8" t="s">
        <v>24</v>
      </c>
      <c r="D172" s="9">
        <v>7.04594974E9</v>
      </c>
      <c r="E172" s="8" t="s">
        <v>79</v>
      </c>
      <c r="F172" s="8" t="s">
        <v>90</v>
      </c>
      <c r="G172" s="9" t="s">
        <v>798</v>
      </c>
      <c r="H172" s="9" t="s">
        <v>635</v>
      </c>
      <c r="I172" s="8" t="s">
        <v>39</v>
      </c>
      <c r="J172" s="8" t="s">
        <v>766</v>
      </c>
      <c r="K172" s="16" t="s">
        <v>92</v>
      </c>
      <c r="L172" s="8" t="s">
        <v>33</v>
      </c>
      <c r="M172" s="8" t="s">
        <v>34</v>
      </c>
      <c r="N172" s="8" t="s">
        <v>35</v>
      </c>
      <c r="O172" s="10"/>
      <c r="P172" s="10"/>
      <c r="Q172" s="10"/>
      <c r="R172" s="11" t="s">
        <v>799</v>
      </c>
      <c r="S172" s="20">
        <v>46119.0</v>
      </c>
      <c r="T172" s="20">
        <v>46120.0</v>
      </c>
      <c r="U172" s="8" t="s">
        <v>284</v>
      </c>
      <c r="V172" s="13"/>
      <c r="W172" s="13"/>
      <c r="X172" s="13"/>
      <c r="Z172" s="13"/>
    </row>
    <row r="173" ht="21.75" customHeight="1">
      <c r="A173" s="25" t="str">
        <f>IF(B173="","","CAN-"&amp;TEXT(170,"000"))</f>
        <v>CAN-170</v>
      </c>
      <c r="B173" s="15" t="s">
        <v>800</v>
      </c>
      <c r="C173" s="8" t="s">
        <v>24</v>
      </c>
      <c r="D173" s="16" t="s">
        <v>801</v>
      </c>
      <c r="E173" s="15" t="s">
        <v>391</v>
      </c>
      <c r="F173" s="15" t="s">
        <v>90</v>
      </c>
      <c r="G173" s="16" t="s">
        <v>802</v>
      </c>
      <c r="H173" s="16" t="s">
        <v>802</v>
      </c>
      <c r="I173" s="15" t="s">
        <v>39</v>
      </c>
      <c r="J173" s="15" t="s">
        <v>293</v>
      </c>
      <c r="K173" s="16" t="s">
        <v>32</v>
      </c>
      <c r="L173" s="15" t="s">
        <v>61</v>
      </c>
      <c r="M173" s="15" t="s">
        <v>34</v>
      </c>
      <c r="N173" s="15" t="s">
        <v>35</v>
      </c>
      <c r="O173" s="17"/>
      <c r="P173" s="17"/>
      <c r="Q173" s="17"/>
      <c r="R173" s="22" t="s">
        <v>803</v>
      </c>
      <c r="S173" s="18">
        <v>46119.0</v>
      </c>
      <c r="T173" s="18">
        <v>46120.0</v>
      </c>
      <c r="U173" s="15" t="s">
        <v>456</v>
      </c>
      <c r="V173" s="13"/>
      <c r="W173" s="13"/>
      <c r="X173" s="13"/>
      <c r="Z173" s="13"/>
    </row>
    <row r="174" ht="21.75" customHeight="1">
      <c r="A174" s="27" t="str">
        <f>IF(B174="","","CAN-"&amp;TEXT(171,"000"))</f>
        <v>CAN-171</v>
      </c>
      <c r="B174" s="8" t="s">
        <v>804</v>
      </c>
      <c r="C174" s="8" t="s">
        <v>24</v>
      </c>
      <c r="D174" s="9" t="s">
        <v>805</v>
      </c>
      <c r="E174" s="8" t="s">
        <v>391</v>
      </c>
      <c r="F174" s="8" t="s">
        <v>90</v>
      </c>
      <c r="G174" s="9" t="s">
        <v>802</v>
      </c>
      <c r="H174" s="9" t="s">
        <v>802</v>
      </c>
      <c r="I174" s="8" t="s">
        <v>39</v>
      </c>
      <c r="J174" s="8" t="s">
        <v>766</v>
      </c>
      <c r="K174" s="16" t="s">
        <v>32</v>
      </c>
      <c r="L174" s="8" t="s">
        <v>33</v>
      </c>
      <c r="M174" s="8" t="s">
        <v>34</v>
      </c>
      <c r="N174" s="8" t="s">
        <v>35</v>
      </c>
      <c r="O174" s="10"/>
      <c r="P174" s="10"/>
      <c r="Q174" s="10"/>
      <c r="R174" s="11" t="s">
        <v>806</v>
      </c>
      <c r="S174" s="20">
        <v>46119.0</v>
      </c>
      <c r="T174" s="20">
        <v>46120.0</v>
      </c>
      <c r="U174" s="8" t="s">
        <v>456</v>
      </c>
      <c r="V174" s="13"/>
      <c r="W174" s="13"/>
      <c r="X174" s="13"/>
      <c r="Z174" s="13"/>
    </row>
    <row r="175" ht="21.75" customHeight="1">
      <c r="A175" s="25" t="str">
        <f>IF(B175="","","CAN-"&amp;TEXT(172,"000"))</f>
        <v>CAN-172</v>
      </c>
      <c r="B175" s="15" t="s">
        <v>807</v>
      </c>
      <c r="C175" s="8" t="s">
        <v>24</v>
      </c>
      <c r="D175" s="16" t="s">
        <v>808</v>
      </c>
      <c r="E175" s="15" t="s">
        <v>210</v>
      </c>
      <c r="F175" s="15" t="s">
        <v>90</v>
      </c>
      <c r="G175" s="16" t="s">
        <v>44</v>
      </c>
      <c r="H175" s="16" t="s">
        <v>517</v>
      </c>
      <c r="I175" s="15" t="s">
        <v>39</v>
      </c>
      <c r="J175" s="15" t="s">
        <v>809</v>
      </c>
      <c r="K175" s="16" t="s">
        <v>32</v>
      </c>
      <c r="L175" s="15" t="s">
        <v>61</v>
      </c>
      <c r="M175" s="15" t="s">
        <v>34</v>
      </c>
      <c r="N175" s="15" t="s">
        <v>35</v>
      </c>
      <c r="O175" s="17"/>
      <c r="P175" s="17"/>
      <c r="Q175" s="17"/>
      <c r="R175" s="22" t="s">
        <v>810</v>
      </c>
      <c r="S175" s="18">
        <v>46119.0</v>
      </c>
      <c r="T175" s="18">
        <v>46120.0</v>
      </c>
      <c r="U175" s="15" t="s">
        <v>37</v>
      </c>
      <c r="V175" s="13"/>
      <c r="W175" s="13"/>
      <c r="X175" s="13"/>
      <c r="Z175" s="13"/>
    </row>
    <row r="176" ht="21.75" customHeight="1">
      <c r="A176" s="27" t="str">
        <f>IF(B176="","","CAN-"&amp;TEXT(173,"000"))</f>
        <v>CAN-173</v>
      </c>
      <c r="B176" s="8" t="s">
        <v>811</v>
      </c>
      <c r="C176" s="8" t="s">
        <v>24</v>
      </c>
      <c r="D176" s="9" t="s">
        <v>812</v>
      </c>
      <c r="E176" s="8" t="s">
        <v>215</v>
      </c>
      <c r="F176" s="8" t="s">
        <v>90</v>
      </c>
      <c r="G176" s="9" t="s">
        <v>121</v>
      </c>
      <c r="H176" s="9" t="s">
        <v>813</v>
      </c>
      <c r="I176" s="8" t="s">
        <v>39</v>
      </c>
      <c r="J176" s="8" t="s">
        <v>39</v>
      </c>
      <c r="K176" s="16" t="s">
        <v>32</v>
      </c>
      <c r="L176" s="8" t="s">
        <v>33</v>
      </c>
      <c r="M176" s="8" t="s">
        <v>34</v>
      </c>
      <c r="N176" s="8" t="s">
        <v>35</v>
      </c>
      <c r="O176" s="10"/>
      <c r="P176" s="10"/>
      <c r="Q176" s="10"/>
      <c r="R176" s="11" t="s">
        <v>814</v>
      </c>
      <c r="S176" s="20">
        <v>46119.0</v>
      </c>
      <c r="T176" s="20">
        <v>46120.0</v>
      </c>
      <c r="U176" s="8" t="s">
        <v>37</v>
      </c>
      <c r="V176" s="13"/>
      <c r="W176" s="13"/>
      <c r="X176" s="13"/>
      <c r="Z176" s="13"/>
    </row>
    <row r="177" ht="21.75" customHeight="1">
      <c r="A177" s="25" t="str">
        <f>IF(B177="","","CAN-"&amp;TEXT(174,"000"))</f>
        <v>CAN-174</v>
      </c>
      <c r="B177" s="15" t="s">
        <v>815</v>
      </c>
      <c r="C177" s="8" t="s">
        <v>24</v>
      </c>
      <c r="D177" s="16">
        <v>9.892761507E9</v>
      </c>
      <c r="E177" s="15" t="s">
        <v>38</v>
      </c>
      <c r="F177" s="15" t="s">
        <v>90</v>
      </c>
      <c r="G177" s="16" t="s">
        <v>513</v>
      </c>
      <c r="H177" s="16" t="s">
        <v>243</v>
      </c>
      <c r="I177" s="15" t="s">
        <v>39</v>
      </c>
      <c r="J177" s="15" t="s">
        <v>816</v>
      </c>
      <c r="K177" s="16" t="s">
        <v>32</v>
      </c>
      <c r="L177" s="15" t="s">
        <v>61</v>
      </c>
      <c r="M177" s="15" t="s">
        <v>34</v>
      </c>
      <c r="N177" s="15" t="s">
        <v>35</v>
      </c>
      <c r="O177" s="17"/>
      <c r="P177" s="17"/>
      <c r="Q177" s="17"/>
      <c r="R177" s="22" t="s">
        <v>817</v>
      </c>
      <c r="S177" s="18">
        <v>46119.0</v>
      </c>
      <c r="T177" s="18">
        <v>46120.0</v>
      </c>
      <c r="U177" s="15" t="s">
        <v>284</v>
      </c>
      <c r="V177" s="13"/>
      <c r="W177" s="13"/>
      <c r="X177" s="13"/>
      <c r="Z177" s="13"/>
    </row>
    <row r="178" ht="21.75" customHeight="1">
      <c r="A178" s="27" t="str">
        <f>IF(B178="","","CAN-"&amp;TEXT(175,"000"))</f>
        <v>CAN-175</v>
      </c>
      <c r="B178" s="8" t="s">
        <v>818</v>
      </c>
      <c r="C178" s="8" t="s">
        <v>24</v>
      </c>
      <c r="D178" s="9" t="s">
        <v>437</v>
      </c>
      <c r="E178" s="8" t="s">
        <v>210</v>
      </c>
      <c r="F178" s="8" t="s">
        <v>108</v>
      </c>
      <c r="G178" s="9" t="s">
        <v>586</v>
      </c>
      <c r="H178" s="9" t="s">
        <v>586</v>
      </c>
      <c r="I178" s="8" t="s">
        <v>39</v>
      </c>
      <c r="J178" s="8" t="s">
        <v>39</v>
      </c>
      <c r="K178" s="16" t="s">
        <v>92</v>
      </c>
      <c r="L178" s="8" t="s">
        <v>33</v>
      </c>
      <c r="M178" s="8" t="s">
        <v>34</v>
      </c>
      <c r="N178" s="8" t="s">
        <v>35</v>
      </c>
      <c r="O178" s="10"/>
      <c r="P178" s="10"/>
      <c r="Q178" s="10"/>
      <c r="R178" s="11" t="s">
        <v>439</v>
      </c>
      <c r="S178" s="20">
        <v>46119.0</v>
      </c>
      <c r="T178" s="20">
        <v>46120.0</v>
      </c>
      <c r="U178" s="8" t="s">
        <v>125</v>
      </c>
      <c r="V178" s="13"/>
      <c r="W178" s="13"/>
      <c r="X178" s="13"/>
      <c r="Z178" s="13"/>
    </row>
    <row r="179" ht="21.75" customHeight="1">
      <c r="A179" s="25" t="str">
        <f>IF(B179="","","CAN-"&amp;TEXT(176,"000"))</f>
        <v>CAN-176</v>
      </c>
      <c r="B179" s="15" t="s">
        <v>819</v>
      </c>
      <c r="C179" s="8" t="s">
        <v>24</v>
      </c>
      <c r="D179" s="16">
        <v>9.920524584E9</v>
      </c>
      <c r="E179" s="15" t="s">
        <v>565</v>
      </c>
      <c r="F179" s="15" t="s">
        <v>90</v>
      </c>
      <c r="G179" s="16" t="s">
        <v>402</v>
      </c>
      <c r="H179" s="16" t="s">
        <v>44</v>
      </c>
      <c r="I179" s="15" t="s">
        <v>39</v>
      </c>
      <c r="J179" s="15" t="s">
        <v>39</v>
      </c>
      <c r="K179" s="16" t="s">
        <v>32</v>
      </c>
      <c r="L179" s="15" t="s">
        <v>61</v>
      </c>
      <c r="M179" s="15" t="s">
        <v>34</v>
      </c>
      <c r="N179" s="15" t="s">
        <v>35</v>
      </c>
      <c r="O179" s="17"/>
      <c r="P179" s="17"/>
      <c r="Q179" s="17"/>
      <c r="R179" s="22" t="s">
        <v>820</v>
      </c>
      <c r="S179" s="18">
        <v>46119.0</v>
      </c>
      <c r="T179" s="18">
        <v>46120.0</v>
      </c>
      <c r="U179" s="15" t="s">
        <v>37</v>
      </c>
      <c r="V179" s="13"/>
      <c r="W179" s="13"/>
      <c r="X179" s="13"/>
      <c r="Z179" s="13"/>
    </row>
    <row r="180" ht="21.75" customHeight="1">
      <c r="A180" s="27" t="str">
        <f>IF(B180="","","CAN-"&amp;TEXT(177,"000"))</f>
        <v>CAN-177</v>
      </c>
      <c r="B180" s="8" t="s">
        <v>821</v>
      </c>
      <c r="C180" s="8" t="s">
        <v>24</v>
      </c>
      <c r="D180" s="9" t="s">
        <v>822</v>
      </c>
      <c r="E180" s="8" t="s">
        <v>210</v>
      </c>
      <c r="F180" s="8" t="s">
        <v>90</v>
      </c>
      <c r="G180" s="9" t="s">
        <v>122</v>
      </c>
      <c r="H180" s="9" t="s">
        <v>201</v>
      </c>
      <c r="I180" s="8" t="s">
        <v>39</v>
      </c>
      <c r="J180" s="8" t="s">
        <v>371</v>
      </c>
      <c r="K180" s="16" t="s">
        <v>32</v>
      </c>
      <c r="L180" s="8" t="s">
        <v>33</v>
      </c>
      <c r="M180" s="8" t="s">
        <v>34</v>
      </c>
      <c r="N180" s="8" t="s">
        <v>35</v>
      </c>
      <c r="O180" s="10"/>
      <c r="P180" s="10"/>
      <c r="Q180" s="10"/>
      <c r="R180" s="11" t="s">
        <v>823</v>
      </c>
      <c r="S180" s="20">
        <v>46119.0</v>
      </c>
      <c r="T180" s="20">
        <v>46120.0</v>
      </c>
      <c r="U180" s="10"/>
      <c r="V180" s="13"/>
      <c r="W180" s="13"/>
      <c r="X180" s="13"/>
      <c r="Z180" s="13"/>
    </row>
    <row r="181" ht="21.75" customHeight="1">
      <c r="A181" s="25" t="str">
        <f>IF(B181="","","CAN-"&amp;TEXT(178,"000"))</f>
        <v>CAN-178</v>
      </c>
      <c r="B181" s="15" t="s">
        <v>824</v>
      </c>
      <c r="C181" s="8" t="s">
        <v>24</v>
      </c>
      <c r="D181" s="16" t="s">
        <v>825</v>
      </c>
      <c r="E181" s="15" t="s">
        <v>296</v>
      </c>
      <c r="F181" s="15" t="s">
        <v>90</v>
      </c>
      <c r="G181" s="16" t="s">
        <v>169</v>
      </c>
      <c r="H181" s="16" t="s">
        <v>132</v>
      </c>
      <c r="I181" s="15" t="s">
        <v>39</v>
      </c>
      <c r="J181" s="15" t="s">
        <v>826</v>
      </c>
      <c r="K181" s="16" t="s">
        <v>32</v>
      </c>
      <c r="L181" s="15" t="s">
        <v>61</v>
      </c>
      <c r="M181" s="15" t="s">
        <v>34</v>
      </c>
      <c r="N181" s="15" t="s">
        <v>35</v>
      </c>
      <c r="O181" s="17"/>
      <c r="P181" s="17"/>
      <c r="Q181" s="17"/>
      <c r="R181" s="22" t="s">
        <v>827</v>
      </c>
      <c r="S181" s="18">
        <v>46119.0</v>
      </c>
      <c r="T181" s="18">
        <v>46120.0</v>
      </c>
      <c r="U181" s="15" t="s">
        <v>125</v>
      </c>
      <c r="V181" s="13"/>
      <c r="W181" s="13"/>
      <c r="X181" s="13"/>
      <c r="Z181" s="13"/>
    </row>
    <row r="182" ht="21.75" customHeight="1">
      <c r="A182" s="27" t="str">
        <f>IF(B182="","","CAN-"&amp;TEXT(179,"000"))</f>
        <v>CAN-179</v>
      </c>
      <c r="B182" s="8" t="s">
        <v>828</v>
      </c>
      <c r="C182" s="8" t="s">
        <v>24</v>
      </c>
      <c r="D182" s="9">
        <v>9.082699937E9</v>
      </c>
      <c r="E182" s="8" t="s">
        <v>155</v>
      </c>
      <c r="F182" s="8" t="s">
        <v>108</v>
      </c>
      <c r="G182" s="9" t="s">
        <v>132</v>
      </c>
      <c r="H182" s="9" t="s">
        <v>324</v>
      </c>
      <c r="I182" s="8" t="s">
        <v>39</v>
      </c>
      <c r="J182" s="8" t="s">
        <v>293</v>
      </c>
      <c r="K182" s="16" t="s">
        <v>32</v>
      </c>
      <c r="L182" s="8" t="s">
        <v>33</v>
      </c>
      <c r="M182" s="8" t="s">
        <v>34</v>
      </c>
      <c r="N182" s="8" t="s">
        <v>35</v>
      </c>
      <c r="O182" s="10"/>
      <c r="P182" s="10"/>
      <c r="Q182" s="10"/>
      <c r="R182" s="11" t="s">
        <v>829</v>
      </c>
      <c r="S182" s="20">
        <v>46119.0</v>
      </c>
      <c r="T182" s="20">
        <v>46120.0</v>
      </c>
      <c r="U182" s="8" t="s">
        <v>171</v>
      </c>
      <c r="V182" s="13"/>
      <c r="W182" s="13"/>
      <c r="X182" s="13"/>
      <c r="Z182" s="13"/>
    </row>
    <row r="183" ht="21.75" customHeight="1">
      <c r="A183" s="25" t="str">
        <f>IF(B183="","","CAN-"&amp;TEXT(180,"000"))</f>
        <v>CAN-180</v>
      </c>
      <c r="B183" s="15" t="s">
        <v>830</v>
      </c>
      <c r="C183" s="8" t="s">
        <v>24</v>
      </c>
      <c r="D183" s="16">
        <v>7.715898877E9</v>
      </c>
      <c r="E183" s="15" t="s">
        <v>215</v>
      </c>
      <c r="F183" s="15" t="s">
        <v>108</v>
      </c>
      <c r="G183" s="16" t="s">
        <v>586</v>
      </c>
      <c r="H183" s="16" t="s">
        <v>586</v>
      </c>
      <c r="I183" s="15" t="s">
        <v>39</v>
      </c>
      <c r="J183" s="15" t="s">
        <v>371</v>
      </c>
      <c r="K183" s="16" t="s">
        <v>32</v>
      </c>
      <c r="L183" s="15" t="s">
        <v>61</v>
      </c>
      <c r="M183" s="15" t="s">
        <v>34</v>
      </c>
      <c r="N183" s="15" t="s">
        <v>35</v>
      </c>
      <c r="O183" s="17"/>
      <c r="P183" s="17"/>
      <c r="Q183" s="17"/>
      <c r="R183" s="22" t="s">
        <v>831</v>
      </c>
      <c r="S183" s="18">
        <v>46119.0</v>
      </c>
      <c r="T183" s="18">
        <v>46120.0</v>
      </c>
      <c r="U183" s="15" t="s">
        <v>37</v>
      </c>
      <c r="V183" s="13"/>
      <c r="W183" s="13"/>
      <c r="X183" s="13"/>
      <c r="Z183" s="13"/>
    </row>
    <row r="184" ht="21.75" customHeight="1">
      <c r="A184" s="27" t="str">
        <f>IF(B184="","","CAN-"&amp;TEXT(181,"000"))</f>
        <v>CAN-181</v>
      </c>
      <c r="B184" s="8" t="s">
        <v>832</v>
      </c>
      <c r="C184" s="8" t="s">
        <v>41</v>
      </c>
      <c r="D184" s="9">
        <v>9.321284043E9</v>
      </c>
      <c r="E184" s="8" t="s">
        <v>120</v>
      </c>
      <c r="F184" s="8" t="s">
        <v>90</v>
      </c>
      <c r="G184" s="9" t="s">
        <v>121</v>
      </c>
      <c r="H184" s="9" t="s">
        <v>122</v>
      </c>
      <c r="I184" s="8" t="s">
        <v>39</v>
      </c>
      <c r="J184" s="8" t="s">
        <v>60</v>
      </c>
      <c r="K184" s="16" t="s">
        <v>32</v>
      </c>
      <c r="L184" s="8" t="s">
        <v>93</v>
      </c>
      <c r="M184" s="15" t="s">
        <v>34</v>
      </c>
      <c r="N184" s="8" t="s">
        <v>45</v>
      </c>
      <c r="O184" s="10"/>
      <c r="P184" s="10"/>
      <c r="Q184" s="10"/>
      <c r="R184" s="11" t="s">
        <v>833</v>
      </c>
      <c r="S184" s="20">
        <v>46119.0</v>
      </c>
      <c r="T184" s="20">
        <v>46120.0</v>
      </c>
      <c r="U184" s="8" t="s">
        <v>295</v>
      </c>
      <c r="V184" s="13"/>
      <c r="W184" s="13"/>
      <c r="X184" s="13"/>
      <c r="Z184" s="13"/>
    </row>
    <row r="185" ht="21.75" customHeight="1">
      <c r="A185" s="25" t="str">
        <f>IF(B185="","","CAN-"&amp;TEXT(182,"000"))</f>
        <v>CAN-182</v>
      </c>
      <c r="B185" s="15" t="s">
        <v>834</v>
      </c>
      <c r="C185" s="8" t="s">
        <v>41</v>
      </c>
      <c r="D185" s="16">
        <v>7.738649708E9</v>
      </c>
      <c r="E185" s="15" t="s">
        <v>210</v>
      </c>
      <c r="F185" s="8" t="s">
        <v>108</v>
      </c>
      <c r="G185" s="16" t="s">
        <v>597</v>
      </c>
      <c r="H185" s="16" t="s">
        <v>201</v>
      </c>
      <c r="I185" s="15" t="s">
        <v>39</v>
      </c>
      <c r="J185" s="17"/>
      <c r="K185" s="16" t="s">
        <v>32</v>
      </c>
      <c r="L185" s="8" t="s">
        <v>93</v>
      </c>
      <c r="M185" s="15" t="s">
        <v>34</v>
      </c>
      <c r="N185" s="15" t="s">
        <v>45</v>
      </c>
      <c r="O185" s="17"/>
      <c r="P185" s="17"/>
      <c r="Q185" s="17"/>
      <c r="R185" s="22" t="s">
        <v>835</v>
      </c>
      <c r="S185" s="18">
        <v>46120.0</v>
      </c>
      <c r="T185" s="19"/>
      <c r="U185" s="15" t="s">
        <v>560</v>
      </c>
      <c r="V185" s="13"/>
      <c r="W185" s="13"/>
      <c r="X185" s="13"/>
      <c r="Z185" s="13"/>
    </row>
    <row r="186" ht="21.75" customHeight="1">
      <c r="A186" s="27" t="str">
        <f>IF(B186="","","CAN-"&amp;TEXT(183,"000"))</f>
        <v>CAN-183</v>
      </c>
      <c r="B186" s="8" t="s">
        <v>836</v>
      </c>
      <c r="C186" s="8" t="s">
        <v>41</v>
      </c>
      <c r="D186" s="9">
        <v>9.32403314E9</v>
      </c>
      <c r="E186" s="8" t="s">
        <v>215</v>
      </c>
      <c r="F186" s="8" t="s">
        <v>108</v>
      </c>
      <c r="G186" s="9" t="s">
        <v>168</v>
      </c>
      <c r="H186" s="9" t="s">
        <v>102</v>
      </c>
      <c r="I186" s="8" t="s">
        <v>39</v>
      </c>
      <c r="J186" s="8" t="s">
        <v>837</v>
      </c>
      <c r="K186" s="16" t="s">
        <v>92</v>
      </c>
      <c r="L186" s="8" t="s">
        <v>220</v>
      </c>
      <c r="M186" s="15" t="s">
        <v>34</v>
      </c>
      <c r="N186" s="8" t="s">
        <v>45</v>
      </c>
      <c r="O186" s="10"/>
      <c r="P186" s="10"/>
      <c r="Q186" s="10"/>
      <c r="R186" s="11" t="s">
        <v>838</v>
      </c>
      <c r="S186" s="18">
        <v>46120.0</v>
      </c>
      <c r="T186" s="21"/>
      <c r="U186" s="15" t="s">
        <v>560</v>
      </c>
      <c r="V186" s="13"/>
      <c r="W186" s="13"/>
      <c r="X186" s="13"/>
      <c r="Z186" s="13"/>
    </row>
    <row r="187" ht="21.75" customHeight="1">
      <c r="A187" s="25"/>
      <c r="B187" s="15" t="s">
        <v>839</v>
      </c>
      <c r="C187" s="8" t="s">
        <v>41</v>
      </c>
      <c r="D187" s="16">
        <v>9.04969061E9</v>
      </c>
      <c r="E187" s="15" t="s">
        <v>38</v>
      </c>
      <c r="F187" s="8" t="s">
        <v>108</v>
      </c>
      <c r="G187" s="23"/>
      <c r="H187" s="23"/>
      <c r="I187" s="15" t="s">
        <v>39</v>
      </c>
      <c r="J187" s="15" t="s">
        <v>325</v>
      </c>
      <c r="K187" s="16" t="s">
        <v>32</v>
      </c>
      <c r="L187" s="8" t="s">
        <v>53</v>
      </c>
      <c r="M187" s="15" t="s">
        <v>34</v>
      </c>
      <c r="N187" s="15" t="s">
        <v>45</v>
      </c>
      <c r="O187" s="17"/>
      <c r="P187" s="17"/>
      <c r="Q187" s="17"/>
      <c r="R187" s="22" t="s">
        <v>840</v>
      </c>
      <c r="S187" s="18">
        <v>46120.0</v>
      </c>
      <c r="T187" s="19"/>
      <c r="U187" s="17"/>
      <c r="V187" s="13"/>
      <c r="W187" s="13"/>
      <c r="X187" s="13"/>
      <c r="Z187" s="13"/>
    </row>
    <row r="188" ht="21.75" customHeight="1">
      <c r="A188" s="27" t="str">
        <f>IF(B188="","","CAN-"&amp;TEXT(185,"000"))</f>
        <v>CAN-185</v>
      </c>
      <c r="B188" s="8" t="s">
        <v>841</v>
      </c>
      <c r="C188" s="8" t="s">
        <v>41</v>
      </c>
      <c r="D188" s="9">
        <v>8.290459369E9</v>
      </c>
      <c r="E188" s="8" t="s">
        <v>188</v>
      </c>
      <c r="F188" s="8" t="s">
        <v>108</v>
      </c>
      <c r="G188" s="9" t="s">
        <v>201</v>
      </c>
      <c r="H188" s="9" t="s">
        <v>201</v>
      </c>
      <c r="I188" s="8" t="s">
        <v>76</v>
      </c>
      <c r="J188" s="10"/>
      <c r="K188" s="16" t="s">
        <v>32</v>
      </c>
      <c r="L188" s="8" t="s">
        <v>61</v>
      </c>
      <c r="M188" s="15" t="s">
        <v>34</v>
      </c>
      <c r="N188" s="8" t="s">
        <v>45</v>
      </c>
      <c r="O188" s="10"/>
      <c r="P188" s="10"/>
      <c r="Q188" s="10"/>
      <c r="R188" s="11" t="s">
        <v>842</v>
      </c>
      <c r="S188" s="18">
        <v>46120.0</v>
      </c>
      <c r="T188" s="21"/>
      <c r="U188" s="10"/>
      <c r="V188" s="13"/>
      <c r="W188" s="13"/>
      <c r="X188" s="13"/>
      <c r="Z188" s="13"/>
    </row>
    <row r="189" ht="21.75" customHeight="1">
      <c r="A189" s="25"/>
      <c r="B189" s="15" t="s">
        <v>843</v>
      </c>
      <c r="C189" s="8" t="s">
        <v>41</v>
      </c>
      <c r="D189" s="16">
        <v>8.699313246E9</v>
      </c>
      <c r="E189" s="8" t="s">
        <v>115</v>
      </c>
      <c r="F189" s="8" t="s">
        <v>90</v>
      </c>
      <c r="G189" s="23"/>
      <c r="H189" s="23"/>
      <c r="I189" s="15" t="s">
        <v>31</v>
      </c>
      <c r="J189" s="15" t="s">
        <v>844</v>
      </c>
      <c r="K189" s="16" t="s">
        <v>92</v>
      </c>
      <c r="L189" s="8" t="s">
        <v>61</v>
      </c>
      <c r="M189" s="15" t="s">
        <v>94</v>
      </c>
      <c r="N189" s="15" t="s">
        <v>45</v>
      </c>
      <c r="O189" s="17"/>
      <c r="P189" s="17"/>
      <c r="Q189" s="17"/>
      <c r="R189" s="22" t="s">
        <v>845</v>
      </c>
      <c r="S189" s="18">
        <v>46120.0</v>
      </c>
      <c r="T189" s="19"/>
      <c r="U189" s="17"/>
      <c r="V189" s="13"/>
      <c r="W189" s="13"/>
      <c r="X189" s="13"/>
      <c r="Z189" s="13"/>
    </row>
    <row r="190" ht="21.75" customHeight="1">
      <c r="A190" s="27" t="str">
        <f>IF(B190="","","CAN-"&amp;TEXT(187,"000"))</f>
        <v>CAN-187</v>
      </c>
      <c r="B190" s="8" t="s">
        <v>846</v>
      </c>
      <c r="C190" s="8" t="s">
        <v>89</v>
      </c>
      <c r="D190" s="9">
        <v>9.953478802E9</v>
      </c>
      <c r="E190" s="8" t="s">
        <v>115</v>
      </c>
      <c r="F190" s="8" t="s">
        <v>90</v>
      </c>
      <c r="G190" s="9" t="s">
        <v>116</v>
      </c>
      <c r="H190" s="9" t="s">
        <v>102</v>
      </c>
      <c r="I190" s="8" t="s">
        <v>30</v>
      </c>
      <c r="J190" s="8" t="s">
        <v>847</v>
      </c>
      <c r="K190" s="16" t="s">
        <v>32</v>
      </c>
      <c r="L190" s="8" t="s">
        <v>207</v>
      </c>
      <c r="M190" s="15" t="s">
        <v>34</v>
      </c>
      <c r="N190" s="8" t="s">
        <v>75</v>
      </c>
      <c r="O190" s="10"/>
      <c r="P190" s="8" t="s">
        <v>848</v>
      </c>
      <c r="Q190" s="8" t="s">
        <v>849</v>
      </c>
      <c r="R190" s="11" t="s">
        <v>850</v>
      </c>
      <c r="S190" s="20">
        <v>46120.0</v>
      </c>
      <c r="T190" s="20">
        <v>46122.0</v>
      </c>
      <c r="U190" s="8" t="s">
        <v>172</v>
      </c>
      <c r="V190" s="13"/>
      <c r="W190" s="13"/>
      <c r="X190" s="13"/>
      <c r="Z190" s="13"/>
    </row>
    <row r="191" ht="21.75" customHeight="1">
      <c r="A191" s="25" t="str">
        <f>IF(B191="","","CAN-"&amp;TEXT(188,"000"))</f>
        <v>CAN-188</v>
      </c>
      <c r="B191" s="15" t="s">
        <v>851</v>
      </c>
      <c r="C191" s="8" t="s">
        <v>89</v>
      </c>
      <c r="D191" s="16">
        <v>8.130882366E9</v>
      </c>
      <c r="E191" s="15" t="s">
        <v>391</v>
      </c>
      <c r="F191" s="8" t="s">
        <v>27</v>
      </c>
      <c r="G191" s="16" t="s">
        <v>29</v>
      </c>
      <c r="H191" s="16" t="s">
        <v>158</v>
      </c>
      <c r="I191" s="15" t="s">
        <v>30</v>
      </c>
      <c r="J191" s="15" t="s">
        <v>852</v>
      </c>
      <c r="K191" s="16" t="s">
        <v>92</v>
      </c>
      <c r="L191" s="8" t="s">
        <v>61</v>
      </c>
      <c r="M191" s="15" t="s">
        <v>72</v>
      </c>
      <c r="N191" s="15" t="s">
        <v>45</v>
      </c>
      <c r="O191" s="17"/>
      <c r="P191" s="15" t="s">
        <v>853</v>
      </c>
      <c r="Q191" s="17"/>
      <c r="R191" s="22" t="s">
        <v>854</v>
      </c>
      <c r="S191" s="18">
        <v>46120.0</v>
      </c>
      <c r="T191" s="18">
        <v>46120.0</v>
      </c>
      <c r="U191" s="15" t="s">
        <v>456</v>
      </c>
      <c r="V191" s="13"/>
      <c r="W191" s="13"/>
      <c r="X191" s="13"/>
      <c r="Z191" s="13"/>
    </row>
    <row r="192" ht="21.75" customHeight="1">
      <c r="A192" s="27" t="str">
        <f>IF(B192="","","CAN-"&amp;TEXT(189,"000"))</f>
        <v>CAN-189</v>
      </c>
      <c r="B192" s="8" t="s">
        <v>855</v>
      </c>
      <c r="C192" s="8" t="s">
        <v>89</v>
      </c>
      <c r="D192" s="9">
        <v>8.879534859E9</v>
      </c>
      <c r="E192" s="8" t="s">
        <v>50</v>
      </c>
      <c r="F192" s="8" t="s">
        <v>90</v>
      </c>
      <c r="G192" s="24"/>
      <c r="H192" s="9" t="s">
        <v>43</v>
      </c>
      <c r="I192" s="8" t="s">
        <v>39</v>
      </c>
      <c r="J192" s="8" t="s">
        <v>856</v>
      </c>
      <c r="K192" s="16" t="s">
        <v>32</v>
      </c>
      <c r="L192" s="8" t="s">
        <v>207</v>
      </c>
      <c r="M192" s="15" t="s">
        <v>34</v>
      </c>
      <c r="N192" s="8" t="s">
        <v>45</v>
      </c>
      <c r="O192" s="10"/>
      <c r="P192" s="10"/>
      <c r="Q192" s="10"/>
      <c r="R192" s="10"/>
      <c r="S192" s="20">
        <v>46120.0</v>
      </c>
      <c r="T192" s="20">
        <v>46122.0</v>
      </c>
      <c r="U192" s="8" t="s">
        <v>222</v>
      </c>
      <c r="V192" s="13"/>
      <c r="W192" s="13"/>
      <c r="X192" s="13"/>
      <c r="Z192" s="13"/>
    </row>
    <row r="193" ht="21.75" customHeight="1">
      <c r="A193" s="25" t="str">
        <f>IF(B193="","","CAN-"&amp;TEXT(190,"000"))</f>
        <v>CAN-190</v>
      </c>
      <c r="B193" s="15" t="s">
        <v>857</v>
      </c>
      <c r="C193" s="8" t="s">
        <v>41</v>
      </c>
      <c r="D193" s="16">
        <v>9.619751221E9</v>
      </c>
      <c r="E193" s="15" t="s">
        <v>115</v>
      </c>
      <c r="F193" s="8" t="s">
        <v>90</v>
      </c>
      <c r="G193" s="23"/>
      <c r="H193" s="23"/>
      <c r="I193" s="15" t="s">
        <v>39</v>
      </c>
      <c r="J193" s="15" t="s">
        <v>426</v>
      </c>
      <c r="K193" s="16" t="s">
        <v>32</v>
      </c>
      <c r="L193" s="8" t="s">
        <v>33</v>
      </c>
      <c r="M193" s="15" t="s">
        <v>94</v>
      </c>
      <c r="N193" s="15" t="s">
        <v>45</v>
      </c>
      <c r="O193" s="17"/>
      <c r="P193" s="17"/>
      <c r="Q193" s="17"/>
      <c r="R193" s="22" t="s">
        <v>858</v>
      </c>
      <c r="S193" s="18">
        <v>46121.0</v>
      </c>
      <c r="T193" s="19"/>
      <c r="U193" s="17"/>
      <c r="V193" s="13"/>
      <c r="W193" s="13"/>
      <c r="X193" s="13"/>
      <c r="Z193" s="13"/>
    </row>
    <row r="194" ht="21.75" customHeight="1">
      <c r="A194" s="27" t="str">
        <f>IF(B194="","","CAN-"&amp;TEXT(191,"000"))</f>
        <v>CAN-191</v>
      </c>
      <c r="B194" s="8" t="s">
        <v>859</v>
      </c>
      <c r="C194" s="8" t="s">
        <v>147</v>
      </c>
      <c r="D194" s="9">
        <v>8.579900863E9</v>
      </c>
      <c r="E194" s="8" t="s">
        <v>50</v>
      </c>
      <c r="F194" s="8" t="s">
        <v>90</v>
      </c>
      <c r="G194" s="9" t="s">
        <v>121</v>
      </c>
      <c r="H194" s="24"/>
      <c r="I194" s="8" t="s">
        <v>118</v>
      </c>
      <c r="J194" s="10"/>
      <c r="K194" s="16" t="s">
        <v>32</v>
      </c>
      <c r="L194" s="8" t="s">
        <v>220</v>
      </c>
      <c r="M194" s="15" t="s">
        <v>94</v>
      </c>
      <c r="N194" s="8" t="s">
        <v>48</v>
      </c>
      <c r="O194" s="10"/>
      <c r="P194" s="10"/>
      <c r="Q194" s="10"/>
      <c r="R194" s="11" t="s">
        <v>860</v>
      </c>
      <c r="S194" s="20">
        <v>46121.0</v>
      </c>
      <c r="T194" s="21"/>
      <c r="U194" s="8" t="s">
        <v>182</v>
      </c>
      <c r="V194" s="13"/>
      <c r="W194" s="13"/>
      <c r="X194" s="13"/>
      <c r="Z194" s="13"/>
    </row>
    <row r="195" ht="21.75" customHeight="1">
      <c r="A195" s="25" t="str">
        <f>IF(B195="","","CAN-"&amp;TEXT(192,"000"))</f>
        <v>CAN-192</v>
      </c>
      <c r="B195" s="15" t="s">
        <v>861</v>
      </c>
      <c r="C195" s="8" t="s">
        <v>147</v>
      </c>
      <c r="D195" s="16">
        <v>9.892607477E9</v>
      </c>
      <c r="E195" s="15" t="s">
        <v>42</v>
      </c>
      <c r="F195" s="8" t="s">
        <v>90</v>
      </c>
      <c r="G195" s="16" t="s">
        <v>44</v>
      </c>
      <c r="H195" s="23"/>
      <c r="I195" s="15" t="s">
        <v>39</v>
      </c>
      <c r="J195" s="15" t="s">
        <v>862</v>
      </c>
      <c r="K195" s="16" t="s">
        <v>32</v>
      </c>
      <c r="L195" s="8" t="s">
        <v>33</v>
      </c>
      <c r="M195" s="15" t="s">
        <v>72</v>
      </c>
      <c r="N195" s="15" t="s">
        <v>31</v>
      </c>
      <c r="O195" s="17"/>
      <c r="P195" s="17"/>
      <c r="Q195" s="17"/>
      <c r="R195" s="22" t="s">
        <v>863</v>
      </c>
      <c r="S195" s="18">
        <v>46121.0</v>
      </c>
      <c r="T195" s="19"/>
      <c r="U195" s="15" t="s">
        <v>480</v>
      </c>
      <c r="V195" s="13"/>
      <c r="W195" s="13"/>
      <c r="X195" s="13"/>
      <c r="Z195" s="13"/>
    </row>
    <row r="196" ht="21.75" customHeight="1">
      <c r="A196" s="25" t="str">
        <f>IF(B196="","","CAN-"&amp;TEXT(194,"000"))</f>
        <v>CAN-194</v>
      </c>
      <c r="B196" s="15" t="s">
        <v>864</v>
      </c>
      <c r="C196" s="8" t="s">
        <v>41</v>
      </c>
      <c r="D196" s="16"/>
      <c r="E196" s="15" t="s">
        <v>120</v>
      </c>
      <c r="F196" s="8" t="s">
        <v>90</v>
      </c>
      <c r="G196" s="16" t="s">
        <v>452</v>
      </c>
      <c r="H196" s="16" t="s">
        <v>865</v>
      </c>
      <c r="I196" s="15" t="s">
        <v>39</v>
      </c>
      <c r="J196" s="15" t="s">
        <v>664</v>
      </c>
      <c r="K196" s="16" t="s">
        <v>32</v>
      </c>
      <c r="L196" s="8" t="s">
        <v>53</v>
      </c>
      <c r="M196" s="15" t="s">
        <v>34</v>
      </c>
      <c r="N196" s="15" t="s">
        <v>45</v>
      </c>
      <c r="O196" s="17"/>
      <c r="P196" s="17"/>
      <c r="Q196" s="17"/>
      <c r="R196" s="22" t="s">
        <v>866</v>
      </c>
      <c r="S196" s="18">
        <v>46121.0</v>
      </c>
      <c r="T196" s="19"/>
      <c r="U196" s="15" t="s">
        <v>295</v>
      </c>
      <c r="V196" s="13"/>
      <c r="W196" s="13"/>
      <c r="X196" s="13"/>
      <c r="Z196" s="13"/>
    </row>
    <row r="197" ht="21.75" customHeight="1">
      <c r="A197" s="25" t="str">
        <f>IF(B197="","","CAN-"&amp;TEXT(196,"000"))</f>
        <v>CAN-196</v>
      </c>
      <c r="B197" s="15" t="s">
        <v>867</v>
      </c>
      <c r="C197" s="8" t="s">
        <v>41</v>
      </c>
      <c r="D197" s="16">
        <v>9.867689707E9</v>
      </c>
      <c r="E197" s="15" t="s">
        <v>205</v>
      </c>
      <c r="F197" s="8" t="s">
        <v>90</v>
      </c>
      <c r="G197" s="16" t="s">
        <v>501</v>
      </c>
      <c r="H197" s="16" t="s">
        <v>132</v>
      </c>
      <c r="I197" s="15" t="s">
        <v>39</v>
      </c>
      <c r="J197" s="15" t="s">
        <v>606</v>
      </c>
      <c r="K197" s="16" t="s">
        <v>32</v>
      </c>
      <c r="L197" s="8" t="s">
        <v>93</v>
      </c>
      <c r="M197" s="15" t="s">
        <v>34</v>
      </c>
      <c r="N197" s="15" t="s">
        <v>45</v>
      </c>
      <c r="O197" s="17"/>
      <c r="P197" s="17"/>
      <c r="Q197" s="17"/>
      <c r="R197" s="22" t="s">
        <v>868</v>
      </c>
      <c r="S197" s="18">
        <v>46121.0</v>
      </c>
      <c r="T197" s="19"/>
      <c r="U197" s="15" t="s">
        <v>125</v>
      </c>
      <c r="V197" s="13"/>
      <c r="W197" s="13"/>
      <c r="X197" s="13"/>
      <c r="Z197" s="13"/>
    </row>
    <row r="198" ht="21.75" customHeight="1">
      <c r="A198" s="27" t="str">
        <f>IF(B198="","","CAN-"&amp;TEXT(197,"000"))</f>
        <v>CAN-197</v>
      </c>
      <c r="B198" s="8" t="s">
        <v>869</v>
      </c>
      <c r="C198" s="8" t="s">
        <v>147</v>
      </c>
      <c r="D198" s="9">
        <v>8.369363643E9</v>
      </c>
      <c r="E198" s="8" t="s">
        <v>42</v>
      </c>
      <c r="F198" s="8" t="s">
        <v>90</v>
      </c>
      <c r="G198" s="9" t="s">
        <v>201</v>
      </c>
      <c r="H198" s="9" t="s">
        <v>116</v>
      </c>
      <c r="I198" s="8" t="s">
        <v>39</v>
      </c>
      <c r="J198" s="8" t="s">
        <v>60</v>
      </c>
      <c r="K198" s="16" t="s">
        <v>32</v>
      </c>
      <c r="L198" s="8" t="s">
        <v>61</v>
      </c>
      <c r="M198" s="15" t="s">
        <v>34</v>
      </c>
      <c r="N198" s="8" t="s">
        <v>48</v>
      </c>
      <c r="O198" s="10"/>
      <c r="P198" s="10"/>
      <c r="Q198" s="10"/>
      <c r="R198" s="11" t="s">
        <v>870</v>
      </c>
      <c r="S198" s="20">
        <v>46122.0</v>
      </c>
      <c r="T198" s="21"/>
      <c r="U198" s="8" t="s">
        <v>154</v>
      </c>
      <c r="V198" s="13"/>
      <c r="W198" s="13"/>
      <c r="X198" s="13"/>
      <c r="Z198" s="13"/>
    </row>
    <row r="199" ht="21.75" customHeight="1">
      <c r="A199" s="25" t="str">
        <f>IF(B199="","","CAN-"&amp;TEXT(198,"000"))</f>
        <v>CAN-198</v>
      </c>
      <c r="B199" s="15" t="s">
        <v>871</v>
      </c>
      <c r="C199" s="8" t="s">
        <v>41</v>
      </c>
      <c r="D199" s="16">
        <v>8.369214005E9</v>
      </c>
      <c r="E199" s="15" t="s">
        <v>299</v>
      </c>
      <c r="F199" s="8" t="s">
        <v>108</v>
      </c>
      <c r="G199" s="23"/>
      <c r="H199" s="16" t="s">
        <v>129</v>
      </c>
      <c r="I199" s="15" t="s">
        <v>39</v>
      </c>
      <c r="J199" s="15" t="s">
        <v>872</v>
      </c>
      <c r="K199" s="16" t="s">
        <v>32</v>
      </c>
      <c r="L199" s="8" t="s">
        <v>33</v>
      </c>
      <c r="M199" s="15" t="s">
        <v>34</v>
      </c>
      <c r="N199" s="15" t="s">
        <v>45</v>
      </c>
      <c r="O199" s="17"/>
      <c r="P199" s="17"/>
      <c r="Q199" s="17"/>
      <c r="R199" s="22" t="s">
        <v>873</v>
      </c>
      <c r="S199" s="18">
        <v>46123.0</v>
      </c>
      <c r="T199" s="19"/>
      <c r="U199" s="15" t="s">
        <v>125</v>
      </c>
      <c r="V199" s="13"/>
      <c r="W199" s="13"/>
      <c r="X199" s="13"/>
      <c r="Z199" s="13"/>
    </row>
    <row r="200" ht="21.75" customHeight="1">
      <c r="A200" s="27" t="str">
        <f>IF(B200="","","CAN-"&amp;TEXT(199,"000"))</f>
        <v>CAN-199</v>
      </c>
      <c r="B200" s="8" t="s">
        <v>874</v>
      </c>
      <c r="C200" s="8" t="s">
        <v>41</v>
      </c>
      <c r="D200" s="9">
        <v>9.77379887E9</v>
      </c>
      <c r="E200" s="8" t="s">
        <v>275</v>
      </c>
      <c r="F200" s="8" t="s">
        <v>108</v>
      </c>
      <c r="G200" s="9" t="s">
        <v>875</v>
      </c>
      <c r="H200" s="24"/>
      <c r="I200" s="8" t="s">
        <v>39</v>
      </c>
      <c r="J200" s="8" t="s">
        <v>371</v>
      </c>
      <c r="K200" s="16" t="s">
        <v>32</v>
      </c>
      <c r="L200" s="8" t="s">
        <v>33</v>
      </c>
      <c r="M200" s="15" t="s">
        <v>34</v>
      </c>
      <c r="N200" s="8" t="s">
        <v>45</v>
      </c>
      <c r="O200" s="10"/>
      <c r="P200" s="10"/>
      <c r="Q200" s="10"/>
      <c r="R200" s="11" t="s">
        <v>876</v>
      </c>
      <c r="S200" s="18">
        <v>46123.0</v>
      </c>
      <c r="T200" s="21"/>
      <c r="U200" s="10"/>
      <c r="V200" s="13"/>
      <c r="W200" s="13"/>
      <c r="X200" s="13"/>
      <c r="Z200" s="13"/>
    </row>
    <row r="201" ht="21.75" customHeight="1">
      <c r="A201" s="25" t="str">
        <f>IF(B201="","","CAN-"&amp;TEXT(200,"000"))</f>
        <v>CAN-200</v>
      </c>
      <c r="B201" s="15" t="s">
        <v>877</v>
      </c>
      <c r="C201" s="8" t="s">
        <v>24</v>
      </c>
      <c r="D201" s="16" t="s">
        <v>878</v>
      </c>
      <c r="E201" s="15" t="s">
        <v>79</v>
      </c>
      <c r="F201" s="8" t="s">
        <v>90</v>
      </c>
      <c r="G201" s="16" t="s">
        <v>879</v>
      </c>
      <c r="H201" s="16" t="s">
        <v>880</v>
      </c>
      <c r="I201" s="15" t="s">
        <v>39</v>
      </c>
      <c r="J201" s="15" t="s">
        <v>590</v>
      </c>
      <c r="K201" s="16" t="s">
        <v>32</v>
      </c>
      <c r="L201" s="8" t="s">
        <v>33</v>
      </c>
      <c r="M201" s="15" t="s">
        <v>34</v>
      </c>
      <c r="N201" s="15" t="s">
        <v>31</v>
      </c>
      <c r="O201" s="17"/>
      <c r="P201" s="17"/>
      <c r="Q201" s="17"/>
      <c r="R201" s="22" t="s">
        <v>881</v>
      </c>
      <c r="S201" s="18">
        <v>46123.0</v>
      </c>
      <c r="T201" s="19"/>
      <c r="U201" s="15" t="s">
        <v>85</v>
      </c>
      <c r="V201" s="13"/>
      <c r="W201" s="13"/>
      <c r="X201" s="13"/>
      <c r="Z201" s="13"/>
    </row>
    <row r="202" ht="21.75" customHeight="1">
      <c r="A202" s="27" t="str">
        <f>IF(B202="","","CAN-"&amp;TEXT(201,"000"))</f>
        <v>CAN-201</v>
      </c>
      <c r="B202" s="8" t="s">
        <v>882</v>
      </c>
      <c r="C202" s="8" t="s">
        <v>24</v>
      </c>
      <c r="D202" s="9" t="s">
        <v>883</v>
      </c>
      <c r="E202" s="8" t="s">
        <v>79</v>
      </c>
      <c r="F202" s="15" t="s">
        <v>90</v>
      </c>
      <c r="G202" s="9" t="s">
        <v>526</v>
      </c>
      <c r="H202" s="9" t="s">
        <v>884</v>
      </c>
      <c r="I202" s="8" t="s">
        <v>30</v>
      </c>
      <c r="J202" s="8" t="s">
        <v>31</v>
      </c>
      <c r="K202" s="9" t="s">
        <v>32</v>
      </c>
      <c r="L202" s="15" t="s">
        <v>33</v>
      </c>
      <c r="M202" s="8" t="s">
        <v>34</v>
      </c>
      <c r="N202" s="8" t="s">
        <v>35</v>
      </c>
      <c r="O202" s="10"/>
      <c r="P202" s="10"/>
      <c r="Q202" s="10"/>
      <c r="R202" s="11" t="s">
        <v>885</v>
      </c>
      <c r="S202" s="20">
        <v>46122.0</v>
      </c>
      <c r="T202" s="21"/>
      <c r="U202" s="10"/>
      <c r="V202" s="13"/>
      <c r="W202" s="13"/>
      <c r="X202" s="13"/>
      <c r="Z202" s="13"/>
    </row>
    <row r="203" ht="21.75" customHeight="1">
      <c r="A203" s="25" t="str">
        <f>IF(B203="","","CAN-"&amp;TEXT(202,"000"))</f>
        <v>CAN-202</v>
      </c>
      <c r="B203" s="15" t="s">
        <v>886</v>
      </c>
      <c r="C203" s="8" t="s">
        <v>24</v>
      </c>
      <c r="D203" s="23"/>
      <c r="E203" s="17"/>
      <c r="F203" s="17"/>
      <c r="G203" s="23"/>
      <c r="H203" s="23"/>
      <c r="I203" s="17"/>
      <c r="J203" s="17"/>
      <c r="K203" s="23"/>
      <c r="L203" s="17"/>
      <c r="M203" s="17"/>
      <c r="N203" s="17"/>
      <c r="O203" s="17"/>
      <c r="P203" s="17"/>
      <c r="Q203" s="17"/>
      <c r="R203" s="17"/>
      <c r="S203" s="19"/>
      <c r="T203" s="19"/>
      <c r="U203" s="17"/>
      <c r="V203" s="13"/>
      <c r="W203" s="13"/>
      <c r="X203" s="13"/>
      <c r="Z203" s="13"/>
    </row>
    <row r="204" ht="21.75" customHeight="1">
      <c r="A204" s="27" t="str">
        <f>IF(B204="","","CAN-"&amp;TEXT(203,"000"))</f>
        <v>CAN-203</v>
      </c>
      <c r="B204" s="8" t="s">
        <v>887</v>
      </c>
      <c r="C204" s="8" t="s">
        <v>41</v>
      </c>
      <c r="D204" s="9">
        <v>9.83344868E9</v>
      </c>
      <c r="E204" s="8" t="s">
        <v>275</v>
      </c>
      <c r="F204" s="15" t="s">
        <v>108</v>
      </c>
      <c r="G204" s="9" t="s">
        <v>888</v>
      </c>
      <c r="H204" s="24"/>
      <c r="I204" s="8" t="s">
        <v>39</v>
      </c>
      <c r="J204" s="8" t="s">
        <v>469</v>
      </c>
      <c r="K204" s="9" t="s">
        <v>32</v>
      </c>
      <c r="L204" s="15" t="s">
        <v>33</v>
      </c>
      <c r="M204" s="8" t="s">
        <v>34</v>
      </c>
      <c r="N204" s="8" t="s">
        <v>45</v>
      </c>
      <c r="O204" s="10"/>
      <c r="P204" s="10"/>
      <c r="Q204" s="10"/>
      <c r="R204" s="11" t="s">
        <v>889</v>
      </c>
      <c r="S204" s="18">
        <v>46123.0</v>
      </c>
      <c r="T204" s="21"/>
      <c r="U204" s="10"/>
      <c r="V204" s="13"/>
      <c r="W204" s="13"/>
      <c r="X204" s="13"/>
      <c r="Z204" s="13"/>
    </row>
    <row r="205" ht="21.75" customHeight="1">
      <c r="A205" s="25" t="str">
        <f>IF(B205="","","CAN-"&amp;TEXT(204,"000"))</f>
        <v>CAN-204</v>
      </c>
      <c r="B205" s="15" t="s">
        <v>890</v>
      </c>
      <c r="C205" s="8" t="s">
        <v>147</v>
      </c>
      <c r="D205" s="16">
        <v>9.833354441E9</v>
      </c>
      <c r="E205" s="15" t="s">
        <v>223</v>
      </c>
      <c r="F205" s="8" t="s">
        <v>506</v>
      </c>
      <c r="G205" s="16" t="s">
        <v>586</v>
      </c>
      <c r="H205" s="23"/>
      <c r="I205" s="15" t="s">
        <v>39</v>
      </c>
      <c r="J205" s="15" t="s">
        <v>729</v>
      </c>
      <c r="K205" s="9" t="s">
        <v>32</v>
      </c>
      <c r="L205" s="15" t="s">
        <v>207</v>
      </c>
      <c r="M205" s="8" t="s">
        <v>195</v>
      </c>
      <c r="N205" s="15" t="s">
        <v>48</v>
      </c>
      <c r="O205" s="17"/>
      <c r="P205" s="17"/>
      <c r="Q205" s="17"/>
      <c r="R205" s="22" t="s">
        <v>891</v>
      </c>
      <c r="S205" s="18">
        <v>46122.0</v>
      </c>
      <c r="T205" s="20">
        <v>46125.0</v>
      </c>
      <c r="U205" s="15" t="s">
        <v>480</v>
      </c>
      <c r="V205" s="13"/>
      <c r="W205" s="13"/>
      <c r="X205" s="13"/>
      <c r="Z205" s="13"/>
    </row>
    <row r="206" ht="21.75" customHeight="1">
      <c r="A206" s="27" t="str">
        <f>IF(B206="","","CAN-"&amp;TEXT(205,"000"))</f>
        <v>CAN-205</v>
      </c>
      <c r="B206" s="8" t="s">
        <v>892</v>
      </c>
      <c r="C206" s="8" t="s">
        <v>147</v>
      </c>
      <c r="D206" s="9">
        <v>9.820109212E9</v>
      </c>
      <c r="E206" s="8" t="s">
        <v>210</v>
      </c>
      <c r="F206" s="8" t="s">
        <v>408</v>
      </c>
      <c r="G206" s="24"/>
      <c r="H206" s="24"/>
      <c r="I206" s="8" t="s">
        <v>39</v>
      </c>
      <c r="J206" s="8" t="s">
        <v>304</v>
      </c>
      <c r="K206" s="9" t="s">
        <v>32</v>
      </c>
      <c r="L206" s="15" t="s">
        <v>33</v>
      </c>
      <c r="M206" s="8" t="s">
        <v>34</v>
      </c>
      <c r="N206" s="8" t="s">
        <v>48</v>
      </c>
      <c r="O206" s="10"/>
      <c r="P206" s="10"/>
      <c r="Q206" s="10"/>
      <c r="R206" s="11" t="s">
        <v>893</v>
      </c>
      <c r="S206" s="20">
        <v>46122.0</v>
      </c>
      <c r="T206" s="21"/>
      <c r="U206" s="8" t="s">
        <v>154</v>
      </c>
      <c r="V206" s="13"/>
      <c r="W206" s="13"/>
      <c r="X206" s="13"/>
      <c r="Z206" s="13"/>
    </row>
    <row r="207" ht="21.75" customHeight="1">
      <c r="A207" s="25" t="str">
        <f>IF(B207="","","CAN-"&amp;TEXT(206,"000"))</f>
        <v>CAN-206</v>
      </c>
      <c r="B207" s="15" t="s">
        <v>894</v>
      </c>
      <c r="C207" s="8" t="s">
        <v>147</v>
      </c>
      <c r="D207" s="16" t="s">
        <v>895</v>
      </c>
      <c r="E207" s="15" t="s">
        <v>210</v>
      </c>
      <c r="F207" s="8" t="s">
        <v>408</v>
      </c>
      <c r="G207" s="16" t="s">
        <v>402</v>
      </c>
      <c r="H207" s="23"/>
      <c r="I207" s="15" t="s">
        <v>39</v>
      </c>
      <c r="J207" s="15" t="s">
        <v>580</v>
      </c>
      <c r="K207" s="9" t="s">
        <v>32</v>
      </c>
      <c r="L207" s="15" t="s">
        <v>33</v>
      </c>
      <c r="M207" s="8" t="s">
        <v>34</v>
      </c>
      <c r="N207" s="15" t="s">
        <v>48</v>
      </c>
      <c r="O207" s="17"/>
      <c r="P207" s="17"/>
      <c r="Q207" s="17"/>
      <c r="R207" s="22" t="s">
        <v>896</v>
      </c>
      <c r="S207" s="18">
        <v>46122.0</v>
      </c>
      <c r="T207" s="19"/>
      <c r="U207" s="15" t="s">
        <v>511</v>
      </c>
      <c r="V207" s="13"/>
      <c r="W207" s="13"/>
      <c r="X207" s="13"/>
      <c r="Z207" s="13"/>
    </row>
    <row r="208" ht="21.75" customHeight="1">
      <c r="A208" s="27" t="str">
        <f>IF(B208="","","CAN-"&amp;TEXT(207,"000"))</f>
        <v>CAN-207</v>
      </c>
      <c r="B208" s="8" t="s">
        <v>897</v>
      </c>
      <c r="C208" s="8" t="s">
        <v>147</v>
      </c>
      <c r="D208" s="9">
        <v>9.325143987E9</v>
      </c>
      <c r="E208" s="8" t="s">
        <v>179</v>
      </c>
      <c r="F208" s="8" t="s">
        <v>90</v>
      </c>
      <c r="G208" s="9" t="s">
        <v>737</v>
      </c>
      <c r="H208" s="24"/>
      <c r="I208" s="8" t="s">
        <v>39</v>
      </c>
      <c r="J208" s="8" t="s">
        <v>325</v>
      </c>
      <c r="K208" s="9" t="s">
        <v>32</v>
      </c>
      <c r="L208" s="15" t="s">
        <v>33</v>
      </c>
      <c r="M208" s="8" t="s">
        <v>34</v>
      </c>
      <c r="N208" s="8" t="s">
        <v>35</v>
      </c>
      <c r="O208" s="10"/>
      <c r="P208" s="10"/>
      <c r="Q208" s="10"/>
      <c r="R208" s="11" t="s">
        <v>898</v>
      </c>
      <c r="S208" s="20">
        <v>46122.0</v>
      </c>
      <c r="T208" s="21"/>
      <c r="U208" s="10"/>
      <c r="V208" s="13"/>
      <c r="W208" s="13"/>
      <c r="X208" s="13"/>
      <c r="Z208" s="13"/>
    </row>
    <row r="209" ht="21.75" customHeight="1">
      <c r="A209" s="25" t="str">
        <f>IF(B209="","","CAN-"&amp;TEXT(208,"000"))</f>
        <v>CAN-208</v>
      </c>
      <c r="B209" s="15" t="s">
        <v>899</v>
      </c>
      <c r="C209" s="8" t="s">
        <v>41</v>
      </c>
      <c r="D209" s="23"/>
      <c r="E209" s="15" t="s">
        <v>210</v>
      </c>
      <c r="F209" s="15" t="s">
        <v>108</v>
      </c>
      <c r="G209" s="16" t="s">
        <v>402</v>
      </c>
      <c r="H209" s="16" t="s">
        <v>44</v>
      </c>
      <c r="I209" s="15" t="s">
        <v>39</v>
      </c>
      <c r="J209" s="15" t="s">
        <v>664</v>
      </c>
      <c r="K209" s="9" t="s">
        <v>32</v>
      </c>
      <c r="L209" s="15" t="s">
        <v>53</v>
      </c>
      <c r="M209" s="8" t="s">
        <v>34</v>
      </c>
      <c r="N209" s="15" t="s">
        <v>45</v>
      </c>
      <c r="O209" s="17"/>
      <c r="P209" s="15" t="s">
        <v>900</v>
      </c>
      <c r="Q209" s="17"/>
      <c r="R209" s="22" t="s">
        <v>901</v>
      </c>
      <c r="S209" s="20">
        <v>46122.0</v>
      </c>
      <c r="T209" s="19"/>
      <c r="U209" s="15" t="s">
        <v>125</v>
      </c>
      <c r="V209" s="13"/>
      <c r="W209" s="13"/>
      <c r="X209" s="13"/>
      <c r="Z209" s="13"/>
    </row>
    <row r="210" ht="21.75" customHeight="1">
      <c r="A210" s="27" t="str">
        <f>IF(B210="","","CAN-"&amp;TEXT(209,"000"))</f>
        <v>CAN-209</v>
      </c>
      <c r="B210" s="8" t="s">
        <v>902</v>
      </c>
      <c r="C210" s="8" t="s">
        <v>147</v>
      </c>
      <c r="D210" s="9">
        <v>9.373070147E9</v>
      </c>
      <c r="E210" s="8" t="s">
        <v>101</v>
      </c>
      <c r="F210" s="8" t="s">
        <v>90</v>
      </c>
      <c r="G210" s="9" t="s">
        <v>903</v>
      </c>
      <c r="H210" s="9" t="s">
        <v>43</v>
      </c>
      <c r="I210" s="8" t="s">
        <v>39</v>
      </c>
      <c r="J210" s="8" t="s">
        <v>325</v>
      </c>
      <c r="K210" s="9" t="s">
        <v>32</v>
      </c>
      <c r="L210" s="15" t="s">
        <v>207</v>
      </c>
      <c r="M210" s="8" t="s">
        <v>34</v>
      </c>
      <c r="N210" s="8" t="s">
        <v>45</v>
      </c>
      <c r="O210" s="10"/>
      <c r="P210" s="10"/>
      <c r="Q210" s="10"/>
      <c r="R210" s="11" t="s">
        <v>904</v>
      </c>
      <c r="S210" s="20">
        <v>46123.0</v>
      </c>
      <c r="T210" s="20">
        <v>46125.0</v>
      </c>
      <c r="U210" s="8" t="s">
        <v>480</v>
      </c>
      <c r="V210" s="13"/>
      <c r="W210" s="13"/>
      <c r="X210" s="13"/>
      <c r="Z210" s="13"/>
    </row>
    <row r="211" ht="21.75" customHeight="1">
      <c r="A211" s="25" t="str">
        <f>IF(B211="","","CAN-"&amp;TEXT(210,"000"))</f>
        <v>CAN-210</v>
      </c>
      <c r="B211" s="15" t="s">
        <v>905</v>
      </c>
      <c r="C211" s="8" t="s">
        <v>147</v>
      </c>
      <c r="D211" s="16">
        <v>7.02124624E9</v>
      </c>
      <c r="E211" s="15" t="s">
        <v>38</v>
      </c>
      <c r="F211" s="8" t="s">
        <v>90</v>
      </c>
      <c r="G211" s="16" t="s">
        <v>635</v>
      </c>
      <c r="H211" s="16" t="s">
        <v>906</v>
      </c>
      <c r="I211" s="15" t="s">
        <v>39</v>
      </c>
      <c r="J211" s="15" t="s">
        <v>761</v>
      </c>
      <c r="K211" s="9" t="s">
        <v>32</v>
      </c>
      <c r="L211" s="15" t="s">
        <v>207</v>
      </c>
      <c r="M211" s="8" t="s">
        <v>34</v>
      </c>
      <c r="N211" s="15" t="s">
        <v>35</v>
      </c>
      <c r="O211" s="17"/>
      <c r="P211" s="17"/>
      <c r="Q211" s="17"/>
      <c r="R211" s="22" t="s">
        <v>907</v>
      </c>
      <c r="S211" s="18">
        <v>46123.0</v>
      </c>
      <c r="T211" s="18">
        <v>46125.0</v>
      </c>
      <c r="U211" s="15" t="s">
        <v>85</v>
      </c>
      <c r="V211" s="13"/>
      <c r="W211" s="13"/>
      <c r="X211" s="13"/>
      <c r="Z211" s="13"/>
    </row>
    <row r="212" ht="21.75" customHeight="1">
      <c r="A212" s="27" t="str">
        <f>IF(B212="","","CAN-"&amp;TEXT(211,"000"))</f>
        <v>CAN-211</v>
      </c>
      <c r="B212" s="8" t="s">
        <v>908</v>
      </c>
      <c r="C212" s="8" t="s">
        <v>147</v>
      </c>
      <c r="D212" s="9">
        <v>8.652745374E9</v>
      </c>
      <c r="E212" s="8" t="s">
        <v>166</v>
      </c>
      <c r="F212" s="8" t="s">
        <v>90</v>
      </c>
      <c r="G212" s="9" t="s">
        <v>44</v>
      </c>
      <c r="H212" s="24"/>
      <c r="I212" s="8" t="s">
        <v>39</v>
      </c>
      <c r="J212" s="8" t="s">
        <v>91</v>
      </c>
      <c r="K212" s="9" t="s">
        <v>32</v>
      </c>
      <c r="L212" s="15" t="s">
        <v>61</v>
      </c>
      <c r="M212" s="8" t="s">
        <v>34</v>
      </c>
      <c r="N212" s="8" t="s">
        <v>45</v>
      </c>
      <c r="O212" s="10"/>
      <c r="P212" s="10"/>
      <c r="Q212" s="10"/>
      <c r="R212" s="11" t="s">
        <v>909</v>
      </c>
      <c r="S212" s="20">
        <v>46123.0</v>
      </c>
      <c r="T212" s="20">
        <v>46125.0</v>
      </c>
      <c r="U212" s="8" t="s">
        <v>480</v>
      </c>
      <c r="V212" s="13"/>
      <c r="W212" s="13"/>
      <c r="X212" s="13"/>
      <c r="Z212" s="13"/>
    </row>
    <row r="213" ht="21.75" customHeight="1">
      <c r="A213" s="25" t="str">
        <f>IF(B213="","","CAN-"&amp;TEXT(212,"000"))</f>
        <v>CAN-212</v>
      </c>
      <c r="B213" s="15" t="s">
        <v>910</v>
      </c>
      <c r="C213" s="8" t="s">
        <v>147</v>
      </c>
      <c r="D213" s="16">
        <v>9.819083041E9</v>
      </c>
      <c r="E213" s="15" t="s">
        <v>215</v>
      </c>
      <c r="F213" s="8" t="s">
        <v>408</v>
      </c>
      <c r="G213" s="16" t="s">
        <v>43</v>
      </c>
      <c r="H213" s="16" t="s">
        <v>122</v>
      </c>
      <c r="I213" s="15" t="s">
        <v>39</v>
      </c>
      <c r="J213" s="15" t="s">
        <v>185</v>
      </c>
      <c r="K213" s="9" t="s">
        <v>92</v>
      </c>
      <c r="L213" s="15" t="s">
        <v>33</v>
      </c>
      <c r="M213" s="8" t="s">
        <v>34</v>
      </c>
      <c r="N213" s="15" t="s">
        <v>45</v>
      </c>
      <c r="O213" s="17"/>
      <c r="P213" s="17"/>
      <c r="Q213" s="17"/>
      <c r="R213" s="22" t="s">
        <v>911</v>
      </c>
      <c r="S213" s="18">
        <v>46125.0</v>
      </c>
      <c r="T213" s="18">
        <v>46129.0</v>
      </c>
      <c r="U213" s="15" t="s">
        <v>480</v>
      </c>
      <c r="V213" s="13"/>
      <c r="W213" s="13"/>
      <c r="X213" s="13"/>
      <c r="Z213" s="13"/>
    </row>
    <row r="214" ht="21.75" customHeight="1">
      <c r="A214" s="27" t="str">
        <f>IF(B214="","","CAN-"&amp;TEXT(213,"000"))</f>
        <v>CAN-213</v>
      </c>
      <c r="B214" s="8" t="s">
        <v>912</v>
      </c>
      <c r="C214" s="8" t="s">
        <v>41</v>
      </c>
      <c r="D214" s="9">
        <v>7.889833232E9</v>
      </c>
      <c r="E214" s="8" t="s">
        <v>299</v>
      </c>
      <c r="F214" s="8" t="s">
        <v>108</v>
      </c>
      <c r="G214" s="9" t="s">
        <v>28</v>
      </c>
      <c r="H214" s="9" t="s">
        <v>913</v>
      </c>
      <c r="I214" s="8" t="s">
        <v>39</v>
      </c>
      <c r="J214" s="10"/>
      <c r="K214" s="9" t="s">
        <v>92</v>
      </c>
      <c r="L214" s="15" t="s">
        <v>33</v>
      </c>
      <c r="M214" s="8" t="s">
        <v>34</v>
      </c>
      <c r="N214" s="15" t="s">
        <v>45</v>
      </c>
      <c r="O214" s="10"/>
      <c r="P214" s="10"/>
      <c r="Q214" s="10"/>
      <c r="R214" s="11" t="s">
        <v>914</v>
      </c>
      <c r="S214" s="18">
        <v>46125.0</v>
      </c>
      <c r="T214" s="21"/>
      <c r="U214" s="8" t="s">
        <v>560</v>
      </c>
      <c r="V214" s="13"/>
      <c r="W214" s="13"/>
      <c r="X214" s="13"/>
      <c r="Z214" s="13"/>
    </row>
    <row r="215" ht="21.75" customHeight="1">
      <c r="A215" s="25" t="str">
        <f>IF(B215="","","CAN-"&amp;TEXT(214,"000"))</f>
        <v>CAN-214</v>
      </c>
      <c r="B215" s="15" t="s">
        <v>915</v>
      </c>
      <c r="C215" s="8" t="s">
        <v>41</v>
      </c>
      <c r="D215" s="16">
        <v>7.54306779E9</v>
      </c>
      <c r="E215" s="15" t="s">
        <v>210</v>
      </c>
      <c r="F215" s="8" t="s">
        <v>108</v>
      </c>
      <c r="G215" s="16" t="s">
        <v>122</v>
      </c>
      <c r="H215" s="16" t="s">
        <v>44</v>
      </c>
      <c r="I215" s="15" t="s">
        <v>39</v>
      </c>
      <c r="J215" s="15" t="s">
        <v>702</v>
      </c>
      <c r="K215" s="9" t="s">
        <v>32</v>
      </c>
      <c r="L215" s="15" t="s">
        <v>207</v>
      </c>
      <c r="M215" s="8" t="s">
        <v>94</v>
      </c>
      <c r="N215" s="15" t="s">
        <v>45</v>
      </c>
      <c r="O215" s="17"/>
      <c r="P215" s="17"/>
      <c r="Q215" s="17"/>
      <c r="R215" s="22" t="s">
        <v>914</v>
      </c>
      <c r="S215" s="18">
        <v>46125.0</v>
      </c>
      <c r="T215" s="19"/>
      <c r="U215" s="8" t="s">
        <v>560</v>
      </c>
      <c r="V215" s="13"/>
      <c r="W215" s="13"/>
      <c r="X215" s="13"/>
      <c r="Z215" s="13"/>
    </row>
    <row r="216" ht="21.75" customHeight="1">
      <c r="A216" s="27" t="str">
        <f>IF(B216="","","CAN-"&amp;TEXT(215,"000"))</f>
        <v>CAN-215</v>
      </c>
      <c r="B216" s="8" t="s">
        <v>916</v>
      </c>
      <c r="C216" s="8" t="s">
        <v>41</v>
      </c>
      <c r="D216" s="9">
        <v>9.004371146E9</v>
      </c>
      <c r="E216" s="8" t="s">
        <v>210</v>
      </c>
      <c r="F216" s="8" t="s">
        <v>108</v>
      </c>
      <c r="G216" s="9" t="s">
        <v>122</v>
      </c>
      <c r="H216" s="9" t="s">
        <v>201</v>
      </c>
      <c r="I216" s="8" t="s">
        <v>39</v>
      </c>
      <c r="J216" s="8" t="s">
        <v>60</v>
      </c>
      <c r="K216" s="9" t="s">
        <v>32</v>
      </c>
      <c r="L216" s="15" t="s">
        <v>207</v>
      </c>
      <c r="M216" s="8" t="s">
        <v>34</v>
      </c>
      <c r="N216" s="15" t="s">
        <v>45</v>
      </c>
      <c r="O216" s="10"/>
      <c r="P216" s="10"/>
      <c r="Q216" s="10"/>
      <c r="R216" s="11" t="s">
        <v>917</v>
      </c>
      <c r="S216" s="18">
        <v>46125.0</v>
      </c>
      <c r="T216" s="21"/>
      <c r="U216" s="8" t="s">
        <v>560</v>
      </c>
      <c r="V216" s="13"/>
      <c r="W216" s="13"/>
      <c r="X216" s="13"/>
      <c r="Z216" s="13"/>
    </row>
    <row r="217" ht="21.75" customHeight="1">
      <c r="A217" s="25" t="str">
        <f>IF(B217="","","CAN-"&amp;TEXT(216,"000"))</f>
        <v>CAN-216</v>
      </c>
      <c r="B217" s="15" t="s">
        <v>918</v>
      </c>
      <c r="C217" s="8" t="s">
        <v>41</v>
      </c>
      <c r="D217" s="16">
        <v>7.021186891E9</v>
      </c>
      <c r="E217" s="15" t="s">
        <v>365</v>
      </c>
      <c r="F217" s="8" t="s">
        <v>90</v>
      </c>
      <c r="G217" s="16" t="s">
        <v>402</v>
      </c>
      <c r="H217" s="16" t="s">
        <v>102</v>
      </c>
      <c r="I217" s="15" t="s">
        <v>39</v>
      </c>
      <c r="J217" s="15" t="s">
        <v>610</v>
      </c>
      <c r="K217" s="9" t="s">
        <v>32</v>
      </c>
      <c r="L217" s="15" t="s">
        <v>33</v>
      </c>
      <c r="M217" s="8" t="s">
        <v>34</v>
      </c>
      <c r="N217" s="15" t="s">
        <v>45</v>
      </c>
      <c r="O217" s="17"/>
      <c r="P217" s="17"/>
      <c r="Q217" s="17"/>
      <c r="R217" s="22" t="s">
        <v>919</v>
      </c>
      <c r="S217" s="18">
        <v>46125.0</v>
      </c>
      <c r="T217" s="19"/>
      <c r="U217" s="15" t="s">
        <v>153</v>
      </c>
      <c r="V217" s="13"/>
      <c r="W217" s="13"/>
      <c r="X217" s="13"/>
      <c r="Z217" s="13"/>
    </row>
    <row r="218" ht="21.75" customHeight="1">
      <c r="A218" s="27" t="str">
        <f>IF(B218="","","CAN-"&amp;TEXT(217,"000"))</f>
        <v>CAN-217</v>
      </c>
      <c r="B218" s="8" t="s">
        <v>920</v>
      </c>
      <c r="C218" s="8" t="s">
        <v>41</v>
      </c>
      <c r="D218" s="9">
        <v>9.653389074E9</v>
      </c>
      <c r="E218" s="8" t="s">
        <v>290</v>
      </c>
      <c r="F218" s="8" t="s">
        <v>90</v>
      </c>
      <c r="G218" s="9" t="s">
        <v>493</v>
      </c>
      <c r="H218" s="9" t="s">
        <v>921</v>
      </c>
      <c r="I218" s="8" t="s">
        <v>39</v>
      </c>
      <c r="J218" s="8" t="s">
        <v>532</v>
      </c>
      <c r="K218" s="9" t="s">
        <v>32</v>
      </c>
      <c r="L218" s="15" t="s">
        <v>33</v>
      </c>
      <c r="M218" s="8" t="s">
        <v>34</v>
      </c>
      <c r="N218" s="8" t="s">
        <v>45</v>
      </c>
      <c r="O218" s="10"/>
      <c r="P218" s="10"/>
      <c r="Q218" s="10"/>
      <c r="R218" s="11" t="s">
        <v>922</v>
      </c>
      <c r="S218" s="20">
        <v>46125.0</v>
      </c>
      <c r="T218" s="21"/>
      <c r="U218" s="8" t="s">
        <v>85</v>
      </c>
      <c r="V218" s="13"/>
      <c r="W218" s="13"/>
      <c r="X218" s="13"/>
      <c r="Z218" s="13"/>
    </row>
    <row r="219" ht="21.75" customHeight="1">
      <c r="A219" s="25" t="str">
        <f>IF(B219="","","CAN-"&amp;TEXT(218,"000"))</f>
        <v>CAN-218</v>
      </c>
      <c r="B219" s="15" t="s">
        <v>923</v>
      </c>
      <c r="C219" s="8" t="s">
        <v>147</v>
      </c>
      <c r="D219" s="16">
        <v>9.10832964E9</v>
      </c>
      <c r="E219" s="15" t="s">
        <v>210</v>
      </c>
      <c r="F219" s="8" t="s">
        <v>408</v>
      </c>
      <c r="G219" s="16" t="s">
        <v>44</v>
      </c>
      <c r="H219" s="16" t="s">
        <v>102</v>
      </c>
      <c r="I219" s="15" t="s">
        <v>39</v>
      </c>
      <c r="J219" s="15" t="s">
        <v>610</v>
      </c>
      <c r="K219" s="9" t="s">
        <v>32</v>
      </c>
      <c r="L219" s="15" t="s">
        <v>33</v>
      </c>
      <c r="M219" s="8" t="s">
        <v>34</v>
      </c>
      <c r="N219" s="15" t="s">
        <v>35</v>
      </c>
      <c r="O219" s="17"/>
      <c r="P219" s="17"/>
      <c r="Q219" s="17"/>
      <c r="R219" s="22" t="s">
        <v>924</v>
      </c>
      <c r="S219" s="18">
        <v>46125.0</v>
      </c>
      <c r="T219" s="18">
        <v>46134.0</v>
      </c>
      <c r="U219" s="15" t="s">
        <v>511</v>
      </c>
      <c r="V219" s="13"/>
      <c r="W219" s="13"/>
      <c r="X219" s="13"/>
      <c r="Z219" s="13"/>
    </row>
    <row r="220" ht="21.75" customHeight="1">
      <c r="A220" s="27" t="str">
        <f>IF(B220="","","CAN-"&amp;TEXT(219,"000"))</f>
        <v>CAN-219</v>
      </c>
      <c r="B220" s="8" t="s">
        <v>925</v>
      </c>
      <c r="C220" s="8" t="s">
        <v>147</v>
      </c>
      <c r="D220" s="9">
        <v>8.879326537E9</v>
      </c>
      <c r="E220" s="8" t="s">
        <v>42</v>
      </c>
      <c r="F220" s="8" t="s">
        <v>90</v>
      </c>
      <c r="G220" s="9" t="s">
        <v>44</v>
      </c>
      <c r="H220" s="24"/>
      <c r="I220" s="8" t="s">
        <v>39</v>
      </c>
      <c r="J220" s="8" t="s">
        <v>507</v>
      </c>
      <c r="K220" s="9" t="s">
        <v>32</v>
      </c>
      <c r="L220" s="15" t="s">
        <v>33</v>
      </c>
      <c r="M220" s="8" t="s">
        <v>34</v>
      </c>
      <c r="N220" s="8" t="s">
        <v>35</v>
      </c>
      <c r="O220" s="10"/>
      <c r="P220" s="10"/>
      <c r="Q220" s="8" t="s">
        <v>926</v>
      </c>
      <c r="R220" s="11" t="s">
        <v>927</v>
      </c>
      <c r="S220" s="20">
        <v>46125.0</v>
      </c>
      <c r="T220" s="21"/>
      <c r="U220" s="8" t="s">
        <v>541</v>
      </c>
      <c r="V220" s="13"/>
      <c r="W220" s="13"/>
      <c r="X220" s="13"/>
      <c r="Z220" s="13"/>
    </row>
    <row r="221" ht="21.75" customHeight="1">
      <c r="A221" s="25" t="str">
        <f>IF(B221="","","CAN-"&amp;TEXT(220,"000"))</f>
        <v>CAN-220</v>
      </c>
      <c r="B221" s="15" t="s">
        <v>928</v>
      </c>
      <c r="C221" s="8" t="s">
        <v>147</v>
      </c>
      <c r="D221" s="16">
        <v>7.453066145E9</v>
      </c>
      <c r="E221" s="15" t="s">
        <v>155</v>
      </c>
      <c r="F221" s="8" t="s">
        <v>929</v>
      </c>
      <c r="G221" s="23"/>
      <c r="H221" s="23"/>
      <c r="I221" s="15" t="s">
        <v>39</v>
      </c>
      <c r="J221" s="15" t="s">
        <v>837</v>
      </c>
      <c r="K221" s="9" t="s">
        <v>32</v>
      </c>
      <c r="L221" s="15" t="s">
        <v>33</v>
      </c>
      <c r="M221" s="8" t="s">
        <v>34</v>
      </c>
      <c r="N221" s="15" t="s">
        <v>45</v>
      </c>
      <c r="O221" s="17"/>
      <c r="P221" s="17"/>
      <c r="Q221" s="17"/>
      <c r="R221" s="22" t="s">
        <v>930</v>
      </c>
      <c r="S221" s="18">
        <v>46125.0</v>
      </c>
      <c r="T221" s="19"/>
      <c r="U221" s="15" t="s">
        <v>37</v>
      </c>
      <c r="V221" s="13"/>
      <c r="W221" s="13"/>
      <c r="X221" s="13"/>
      <c r="Z221" s="13"/>
    </row>
    <row r="222" ht="21.75" customHeight="1">
      <c r="A222" s="27" t="str">
        <f>IF(B222="","","CAN-"&amp;TEXT(221,"000"))</f>
        <v>CAN-221</v>
      </c>
      <c r="B222" s="8" t="s">
        <v>931</v>
      </c>
      <c r="C222" s="8" t="s">
        <v>147</v>
      </c>
      <c r="D222" s="9">
        <v>9.137248541E9</v>
      </c>
      <c r="E222" s="8" t="s">
        <v>248</v>
      </c>
      <c r="F222" s="8" t="s">
        <v>408</v>
      </c>
      <c r="G222" s="9" t="s">
        <v>44</v>
      </c>
      <c r="H222" s="9" t="s">
        <v>102</v>
      </c>
      <c r="I222" s="8" t="s">
        <v>39</v>
      </c>
      <c r="J222" s="8" t="s">
        <v>426</v>
      </c>
      <c r="K222" s="9" t="s">
        <v>32</v>
      </c>
      <c r="L222" s="15" t="s">
        <v>33</v>
      </c>
      <c r="M222" s="8" t="s">
        <v>34</v>
      </c>
      <c r="N222" s="8" t="s">
        <v>35</v>
      </c>
      <c r="O222" s="10"/>
      <c r="P222" s="10"/>
      <c r="Q222" s="10"/>
      <c r="R222" s="11" t="s">
        <v>932</v>
      </c>
      <c r="S222" s="20">
        <v>46125.0</v>
      </c>
      <c r="T222" s="21"/>
      <c r="U222" s="8" t="s">
        <v>511</v>
      </c>
      <c r="V222" s="13"/>
      <c r="W222" s="13"/>
      <c r="X222" s="13"/>
      <c r="Z222" s="13"/>
    </row>
    <row r="223" ht="21.75" customHeight="1">
      <c r="A223" s="25" t="str">
        <f>IF(B223="","","CAN-"&amp;TEXT(222,"000"))</f>
        <v>CAN-222</v>
      </c>
      <c r="B223" s="15" t="s">
        <v>933</v>
      </c>
      <c r="C223" s="8" t="s">
        <v>147</v>
      </c>
      <c r="D223" s="16">
        <v>7.987463159E9</v>
      </c>
      <c r="E223" s="15" t="s">
        <v>120</v>
      </c>
      <c r="F223" s="8" t="s">
        <v>90</v>
      </c>
      <c r="G223" s="16" t="s">
        <v>51</v>
      </c>
      <c r="H223" s="16" t="s">
        <v>121</v>
      </c>
      <c r="I223" s="15" t="s">
        <v>31</v>
      </c>
      <c r="J223" s="15" t="s">
        <v>934</v>
      </c>
      <c r="K223" s="9" t="s">
        <v>32</v>
      </c>
      <c r="L223" s="15" t="s">
        <v>194</v>
      </c>
      <c r="M223" s="8" t="s">
        <v>94</v>
      </c>
      <c r="N223" s="15" t="s">
        <v>48</v>
      </c>
      <c r="O223" s="17"/>
      <c r="P223" s="17"/>
      <c r="Q223" s="17"/>
      <c r="R223" s="22" t="s">
        <v>935</v>
      </c>
      <c r="S223" s="18">
        <v>46125.0</v>
      </c>
      <c r="T223" s="19"/>
      <c r="U223" s="15" t="s">
        <v>182</v>
      </c>
      <c r="V223" s="13"/>
      <c r="W223" s="13"/>
      <c r="X223" s="13"/>
      <c r="Z223" s="13"/>
    </row>
    <row r="224" ht="21.75" customHeight="1">
      <c r="A224" s="27" t="str">
        <f>IF(B224="","","CAN-"&amp;TEXT(223,"000"))</f>
        <v>CAN-223</v>
      </c>
      <c r="B224" s="8" t="s">
        <v>936</v>
      </c>
      <c r="C224" s="8" t="s">
        <v>41</v>
      </c>
      <c r="D224" s="9">
        <v>9.769213958E9</v>
      </c>
      <c r="E224" s="8" t="s">
        <v>120</v>
      </c>
      <c r="F224" s="8" t="s">
        <v>90</v>
      </c>
      <c r="G224" s="9" t="s">
        <v>116</v>
      </c>
      <c r="H224" s="9" t="s">
        <v>501</v>
      </c>
      <c r="I224" s="8" t="s">
        <v>39</v>
      </c>
      <c r="J224" s="8" t="s">
        <v>462</v>
      </c>
      <c r="K224" s="9" t="s">
        <v>32</v>
      </c>
      <c r="L224" s="15" t="s">
        <v>61</v>
      </c>
      <c r="M224" s="8" t="s">
        <v>34</v>
      </c>
      <c r="N224" s="8" t="s">
        <v>45</v>
      </c>
      <c r="O224" s="10"/>
      <c r="P224" s="10"/>
      <c r="Q224" s="10"/>
      <c r="R224" s="11" t="s">
        <v>937</v>
      </c>
      <c r="S224" s="20">
        <v>46125.0</v>
      </c>
      <c r="T224" s="21"/>
      <c r="U224" s="8" t="s">
        <v>125</v>
      </c>
      <c r="V224" s="13"/>
      <c r="W224" s="13"/>
      <c r="X224" s="13"/>
      <c r="Z224" s="13"/>
    </row>
    <row r="225" ht="21.75" customHeight="1">
      <c r="A225" s="25" t="str">
        <f>IF(B225="","","CAN-"&amp;TEXT(224,"000"))</f>
        <v>CAN-224</v>
      </c>
      <c r="B225" s="15" t="s">
        <v>938</v>
      </c>
      <c r="C225" s="8" t="s">
        <v>147</v>
      </c>
      <c r="D225" s="16">
        <v>9.326437606E9</v>
      </c>
      <c r="E225" s="15" t="s">
        <v>334</v>
      </c>
      <c r="F225" s="8" t="s">
        <v>457</v>
      </c>
      <c r="G225" s="16" t="s">
        <v>44</v>
      </c>
      <c r="H225" s="16" t="s">
        <v>132</v>
      </c>
      <c r="I225" s="15" t="s">
        <v>39</v>
      </c>
      <c r="J225" s="15" t="s">
        <v>462</v>
      </c>
      <c r="K225" s="9" t="s">
        <v>32</v>
      </c>
      <c r="L225" s="15" t="s">
        <v>61</v>
      </c>
      <c r="M225" s="8" t="s">
        <v>34</v>
      </c>
      <c r="N225" s="15" t="s">
        <v>35</v>
      </c>
      <c r="O225" s="17"/>
      <c r="P225" s="17"/>
      <c r="Q225" s="17"/>
      <c r="R225" s="22" t="s">
        <v>939</v>
      </c>
      <c r="S225" s="18">
        <v>46125.0</v>
      </c>
      <c r="T225" s="18">
        <v>46133.0</v>
      </c>
      <c r="U225" s="15" t="s">
        <v>480</v>
      </c>
      <c r="V225" s="13"/>
      <c r="W225" s="13"/>
      <c r="X225" s="13"/>
      <c r="Z225" s="13"/>
    </row>
    <row r="226" ht="21.75" customHeight="1">
      <c r="A226" s="27" t="str">
        <f>IF(B226="","","CAN-"&amp;TEXT(225,"000"))</f>
        <v>CAN-225</v>
      </c>
      <c r="B226" s="8" t="s">
        <v>940</v>
      </c>
      <c r="C226" s="8" t="s">
        <v>41</v>
      </c>
      <c r="D226" s="9">
        <v>8.850166991E9</v>
      </c>
      <c r="E226" s="8" t="s">
        <v>155</v>
      </c>
      <c r="F226" s="8" t="s">
        <v>108</v>
      </c>
      <c r="G226" s="9" t="s">
        <v>132</v>
      </c>
      <c r="H226" s="9" t="s">
        <v>360</v>
      </c>
      <c r="I226" s="8" t="s">
        <v>39</v>
      </c>
      <c r="J226" s="8" t="s">
        <v>462</v>
      </c>
      <c r="K226" s="9" t="s">
        <v>32</v>
      </c>
      <c r="L226" s="15" t="s">
        <v>33</v>
      </c>
      <c r="M226" s="8" t="s">
        <v>34</v>
      </c>
      <c r="N226" s="8" t="s">
        <v>45</v>
      </c>
      <c r="O226" s="10"/>
      <c r="P226" s="10"/>
      <c r="Q226" s="10"/>
      <c r="R226" s="11" t="s">
        <v>941</v>
      </c>
      <c r="S226" s="18">
        <v>46125.0</v>
      </c>
      <c r="T226" s="21"/>
      <c r="U226" s="8" t="s">
        <v>560</v>
      </c>
      <c r="V226" s="13"/>
      <c r="W226" s="13"/>
      <c r="X226" s="13"/>
      <c r="Z226" s="13"/>
    </row>
    <row r="227" ht="21.75" customHeight="1">
      <c r="A227" s="25" t="str">
        <f>IF(B227="","","CAN-"&amp;TEXT(226,"000"))</f>
        <v>CAN-226</v>
      </c>
      <c r="B227" s="15" t="s">
        <v>942</v>
      </c>
      <c r="C227" s="8" t="s">
        <v>41</v>
      </c>
      <c r="D227" s="16">
        <v>8.108462844E9</v>
      </c>
      <c r="E227" s="15" t="s">
        <v>358</v>
      </c>
      <c r="F227" s="8" t="s">
        <v>90</v>
      </c>
      <c r="G227" s="16" t="s">
        <v>132</v>
      </c>
      <c r="H227" s="16" t="s">
        <v>133</v>
      </c>
      <c r="I227" s="15" t="s">
        <v>39</v>
      </c>
      <c r="J227" s="17"/>
      <c r="K227" s="9" t="s">
        <v>32</v>
      </c>
      <c r="L227" s="15" t="s">
        <v>207</v>
      </c>
      <c r="M227" s="8" t="s">
        <v>34</v>
      </c>
      <c r="N227" s="15" t="s">
        <v>45</v>
      </c>
      <c r="O227" s="17"/>
      <c r="P227" s="17"/>
      <c r="Q227" s="17"/>
      <c r="R227" s="22" t="s">
        <v>943</v>
      </c>
      <c r="S227" s="18">
        <v>46125.0</v>
      </c>
      <c r="T227" s="19"/>
      <c r="U227" s="17"/>
      <c r="V227" s="13"/>
      <c r="W227" s="13"/>
      <c r="X227" s="13"/>
      <c r="Z227" s="13"/>
    </row>
    <row r="228" ht="21.75" customHeight="1">
      <c r="A228" s="27" t="str">
        <f>IF(B228="","","CAN-"&amp;TEXT(227,"000"))</f>
        <v>CAN-227</v>
      </c>
      <c r="B228" s="8" t="s">
        <v>944</v>
      </c>
      <c r="C228" s="8" t="s">
        <v>147</v>
      </c>
      <c r="D228" s="9">
        <v>8.286281647E9</v>
      </c>
      <c r="E228" s="8" t="s">
        <v>223</v>
      </c>
      <c r="F228" s="8" t="s">
        <v>929</v>
      </c>
      <c r="G228" s="9" t="s">
        <v>43</v>
      </c>
      <c r="H228" s="24"/>
      <c r="I228" s="8" t="s">
        <v>39</v>
      </c>
      <c r="J228" s="8" t="s">
        <v>945</v>
      </c>
      <c r="K228" s="9" t="s">
        <v>32</v>
      </c>
      <c r="L228" s="15" t="s">
        <v>207</v>
      </c>
      <c r="M228" s="8" t="s">
        <v>94</v>
      </c>
      <c r="N228" s="8" t="s">
        <v>45</v>
      </c>
      <c r="O228" s="10"/>
      <c r="P228" s="10"/>
      <c r="Q228" s="10"/>
      <c r="R228" s="10"/>
      <c r="S228" s="20">
        <v>46126.0</v>
      </c>
      <c r="T228" s="21"/>
      <c r="U228" s="8"/>
      <c r="V228" s="13"/>
      <c r="W228" s="13"/>
      <c r="X228" s="13"/>
      <c r="Z228" s="13"/>
    </row>
    <row r="229" ht="21.75" customHeight="1">
      <c r="A229" s="25" t="str">
        <f>IF(B229="","","CAN-"&amp;TEXT(228,"000"))</f>
        <v>CAN-228</v>
      </c>
      <c r="B229" s="15" t="s">
        <v>946</v>
      </c>
      <c r="C229" s="8" t="s">
        <v>147</v>
      </c>
      <c r="D229" s="16">
        <v>9.167559168E9</v>
      </c>
      <c r="E229" s="15" t="s">
        <v>115</v>
      </c>
      <c r="F229" s="8" t="s">
        <v>90</v>
      </c>
      <c r="G229" s="16" t="s">
        <v>44</v>
      </c>
      <c r="H229" s="16" t="s">
        <v>947</v>
      </c>
      <c r="I229" s="15" t="s">
        <v>39</v>
      </c>
      <c r="J229" s="15" t="s">
        <v>590</v>
      </c>
      <c r="K229" s="9" t="s">
        <v>92</v>
      </c>
      <c r="L229" s="15" t="s">
        <v>207</v>
      </c>
      <c r="M229" s="8" t="s">
        <v>34</v>
      </c>
      <c r="N229" s="15" t="s">
        <v>45</v>
      </c>
      <c r="O229" s="17"/>
      <c r="P229" s="17"/>
      <c r="Q229" s="17"/>
      <c r="R229" s="22" t="s">
        <v>948</v>
      </c>
      <c r="S229" s="18">
        <v>46126.0</v>
      </c>
      <c r="T229" s="18">
        <v>46126.0</v>
      </c>
      <c r="U229" s="15" t="s">
        <v>511</v>
      </c>
      <c r="V229" s="13"/>
      <c r="W229" s="13"/>
      <c r="X229" s="13"/>
      <c r="Z229" s="13"/>
    </row>
    <row r="230" ht="21.75" customHeight="1">
      <c r="A230" s="27" t="str">
        <f>IF(B230="","","CAN-"&amp;TEXT(229,"000"))</f>
        <v>CAN-229</v>
      </c>
      <c r="B230" s="8" t="s">
        <v>949</v>
      </c>
      <c r="C230" s="8" t="s">
        <v>89</v>
      </c>
      <c r="D230" s="9">
        <v>8.433837196E9</v>
      </c>
      <c r="E230" s="8" t="s">
        <v>115</v>
      </c>
      <c r="F230" s="8" t="s">
        <v>90</v>
      </c>
      <c r="G230" s="9" t="s">
        <v>51</v>
      </c>
      <c r="H230" s="9" t="s">
        <v>43</v>
      </c>
      <c r="I230" s="8" t="s">
        <v>39</v>
      </c>
      <c r="J230" s="8" t="s">
        <v>950</v>
      </c>
      <c r="K230" s="9" t="s">
        <v>32</v>
      </c>
      <c r="L230" s="15" t="s">
        <v>207</v>
      </c>
      <c r="M230" s="8" t="s">
        <v>72</v>
      </c>
      <c r="N230" s="8" t="s">
        <v>48</v>
      </c>
      <c r="O230" s="10"/>
      <c r="P230" s="10"/>
      <c r="Q230" s="10"/>
      <c r="R230" s="11" t="s">
        <v>951</v>
      </c>
      <c r="S230" s="20">
        <v>46126.0</v>
      </c>
      <c r="T230" s="21"/>
      <c r="U230" s="15" t="s">
        <v>511</v>
      </c>
      <c r="V230" s="13"/>
      <c r="W230" s="13"/>
      <c r="X230" s="13"/>
      <c r="Z230" s="13"/>
    </row>
    <row r="231" ht="21.75" customHeight="1">
      <c r="A231" s="25" t="str">
        <f>IF(B231="","","CAN-"&amp;TEXT(230,"000"))</f>
        <v>CAN-230</v>
      </c>
      <c r="B231" s="15" t="s">
        <v>952</v>
      </c>
      <c r="C231" s="8" t="s">
        <v>89</v>
      </c>
      <c r="D231" s="16">
        <v>9.891974876E9</v>
      </c>
      <c r="E231" s="15" t="s">
        <v>67</v>
      </c>
      <c r="F231" s="8" t="s">
        <v>108</v>
      </c>
      <c r="G231" s="16" t="s">
        <v>279</v>
      </c>
      <c r="H231" s="16" t="s">
        <v>29</v>
      </c>
      <c r="I231" s="15" t="s">
        <v>30</v>
      </c>
      <c r="J231" s="17"/>
      <c r="K231" s="9" t="s">
        <v>32</v>
      </c>
      <c r="L231" s="15" t="s">
        <v>134</v>
      </c>
      <c r="M231" s="8" t="s">
        <v>34</v>
      </c>
      <c r="N231" s="15" t="s">
        <v>75</v>
      </c>
      <c r="O231" s="17"/>
      <c r="P231" s="17"/>
      <c r="Q231" s="17"/>
      <c r="R231" s="22" t="s">
        <v>953</v>
      </c>
      <c r="S231" s="37">
        <v>46126.0</v>
      </c>
      <c r="T231" s="19"/>
      <c r="U231" s="17"/>
      <c r="V231" s="13"/>
      <c r="W231" s="13"/>
      <c r="X231" s="13"/>
      <c r="Z231" s="13"/>
    </row>
    <row r="232" ht="21.75" customHeight="1">
      <c r="A232" s="27" t="str">
        <f>IF(B232="","","CAN-"&amp;TEXT(231,"000"))</f>
        <v>CAN-231</v>
      </c>
      <c r="B232" s="8" t="s">
        <v>954</v>
      </c>
      <c r="C232" s="8" t="s">
        <v>147</v>
      </c>
      <c r="D232" s="9">
        <v>9.702022358E9</v>
      </c>
      <c r="E232" s="8" t="s">
        <v>334</v>
      </c>
      <c r="F232" s="8" t="s">
        <v>457</v>
      </c>
      <c r="G232" s="9" t="s">
        <v>955</v>
      </c>
      <c r="H232" s="9" t="s">
        <v>133</v>
      </c>
      <c r="I232" s="8" t="s">
        <v>39</v>
      </c>
      <c r="J232" s="10"/>
      <c r="K232" s="9" t="s">
        <v>92</v>
      </c>
      <c r="L232" s="15" t="s">
        <v>61</v>
      </c>
      <c r="M232" s="8" t="s">
        <v>54</v>
      </c>
      <c r="N232" s="8" t="s">
        <v>35</v>
      </c>
      <c r="O232" s="10"/>
      <c r="P232" s="10"/>
      <c r="Q232" s="10"/>
      <c r="R232" s="11" t="s">
        <v>956</v>
      </c>
      <c r="S232" s="20">
        <v>46126.0</v>
      </c>
      <c r="T232" s="21"/>
      <c r="U232" s="8" t="s">
        <v>480</v>
      </c>
      <c r="V232" s="13"/>
      <c r="W232" s="13"/>
      <c r="X232" s="13"/>
      <c r="Z232" s="13"/>
    </row>
    <row r="233" ht="21.75" customHeight="1">
      <c r="A233" s="25" t="str">
        <f>IF(B233="","","CAN-"&amp;TEXT(232,"000"))</f>
        <v>CAN-232</v>
      </c>
      <c r="B233" s="15" t="s">
        <v>957</v>
      </c>
      <c r="C233" s="8" t="s">
        <v>89</v>
      </c>
      <c r="D233" s="16">
        <v>7.905813918E9</v>
      </c>
      <c r="E233" s="15" t="s">
        <v>50</v>
      </c>
      <c r="F233" s="8" t="s">
        <v>90</v>
      </c>
      <c r="G233" s="16" t="s">
        <v>43</v>
      </c>
      <c r="H233" s="16" t="s">
        <v>402</v>
      </c>
      <c r="I233" s="15" t="s">
        <v>64</v>
      </c>
      <c r="J233" s="15" t="s">
        <v>337</v>
      </c>
      <c r="K233" s="9" t="s">
        <v>32</v>
      </c>
      <c r="L233" s="15" t="s">
        <v>207</v>
      </c>
      <c r="M233" s="8" t="s">
        <v>34</v>
      </c>
      <c r="N233" s="15" t="s">
        <v>45</v>
      </c>
      <c r="O233" s="17"/>
      <c r="P233" s="17"/>
      <c r="Q233" s="17"/>
      <c r="R233" s="22" t="s">
        <v>958</v>
      </c>
      <c r="S233" s="18">
        <v>46126.0</v>
      </c>
      <c r="T233" s="19"/>
      <c r="U233" s="15" t="s">
        <v>104</v>
      </c>
      <c r="V233" s="13"/>
      <c r="W233" s="13"/>
      <c r="X233" s="13"/>
      <c r="Z233" s="13"/>
    </row>
    <row r="234" ht="21.75" customHeight="1">
      <c r="A234" s="27" t="str">
        <f>IF(B234="","","CAN-"&amp;TEXT(233,"000"))</f>
        <v>CAN-233</v>
      </c>
      <c r="B234" s="8" t="s">
        <v>959</v>
      </c>
      <c r="C234" s="8" t="s">
        <v>41</v>
      </c>
      <c r="D234" s="9">
        <v>9.326368967E9</v>
      </c>
      <c r="E234" s="8" t="s">
        <v>248</v>
      </c>
      <c r="F234" s="8" t="s">
        <v>108</v>
      </c>
      <c r="G234" s="9" t="s">
        <v>484</v>
      </c>
      <c r="H234" s="9" t="s">
        <v>921</v>
      </c>
      <c r="I234" s="8" t="s">
        <v>39</v>
      </c>
      <c r="J234" s="8" t="s">
        <v>403</v>
      </c>
      <c r="K234" s="9" t="s">
        <v>32</v>
      </c>
      <c r="L234" s="15" t="s">
        <v>33</v>
      </c>
      <c r="M234" s="8" t="s">
        <v>34</v>
      </c>
      <c r="N234" s="8" t="s">
        <v>45</v>
      </c>
      <c r="O234" s="10"/>
      <c r="P234" s="10"/>
      <c r="Q234" s="10"/>
      <c r="R234" s="11" t="s">
        <v>960</v>
      </c>
      <c r="S234" s="18">
        <v>46126.0</v>
      </c>
      <c r="T234" s="21"/>
      <c r="U234" s="8" t="s">
        <v>560</v>
      </c>
      <c r="V234" s="13"/>
      <c r="W234" s="13"/>
      <c r="X234" s="13"/>
      <c r="Z234" s="13"/>
    </row>
    <row r="235" ht="21.75" customHeight="1">
      <c r="A235" s="25" t="str">
        <f>IF(B235="","","CAN-"&amp;TEXT(234,"000"))</f>
        <v>CAN-234</v>
      </c>
      <c r="B235" s="15" t="s">
        <v>961</v>
      </c>
      <c r="C235" s="8" t="s">
        <v>41</v>
      </c>
      <c r="D235" s="16">
        <v>7.715850699E9</v>
      </c>
      <c r="E235" s="15" t="s">
        <v>248</v>
      </c>
      <c r="F235" s="8" t="s">
        <v>108</v>
      </c>
      <c r="G235" s="16" t="s">
        <v>169</v>
      </c>
      <c r="H235" s="16" t="s">
        <v>132</v>
      </c>
      <c r="I235" s="15" t="s">
        <v>39</v>
      </c>
      <c r="J235" s="17"/>
      <c r="K235" s="9" t="s">
        <v>32</v>
      </c>
      <c r="L235" s="15" t="s">
        <v>33</v>
      </c>
      <c r="M235" s="8" t="s">
        <v>34</v>
      </c>
      <c r="N235" s="15" t="s">
        <v>45</v>
      </c>
      <c r="O235" s="17"/>
      <c r="P235" s="17"/>
      <c r="Q235" s="17"/>
      <c r="R235" s="22" t="s">
        <v>960</v>
      </c>
      <c r="S235" s="18">
        <v>46126.0</v>
      </c>
      <c r="T235" s="19"/>
      <c r="U235" s="8" t="s">
        <v>560</v>
      </c>
      <c r="V235" s="13"/>
      <c r="W235" s="13"/>
      <c r="X235" s="13"/>
      <c r="Z235" s="13"/>
    </row>
    <row r="236" ht="21.75" customHeight="1">
      <c r="A236" s="27" t="str">
        <f>IF(B236="","","CAN-"&amp;TEXT(235,"000"))</f>
        <v>CAN-235</v>
      </c>
      <c r="B236" s="8" t="s">
        <v>962</v>
      </c>
      <c r="C236" s="8" t="s">
        <v>41</v>
      </c>
      <c r="D236" s="9">
        <v>9.82033193E9</v>
      </c>
      <c r="E236" s="8" t="s">
        <v>334</v>
      </c>
      <c r="F236" s="8" t="s">
        <v>108</v>
      </c>
      <c r="G236" s="9" t="s">
        <v>453</v>
      </c>
      <c r="H236" s="9" t="s">
        <v>493</v>
      </c>
      <c r="I236" s="8" t="s">
        <v>39</v>
      </c>
      <c r="J236" s="10"/>
      <c r="K236" s="9" t="s">
        <v>92</v>
      </c>
      <c r="L236" s="15" t="s">
        <v>33</v>
      </c>
      <c r="M236" s="8" t="s">
        <v>34</v>
      </c>
      <c r="N236" s="8" t="s">
        <v>45</v>
      </c>
      <c r="O236" s="10"/>
      <c r="P236" s="10"/>
      <c r="Q236" s="10"/>
      <c r="R236" s="11" t="s">
        <v>963</v>
      </c>
      <c r="S236" s="18">
        <v>46126.0</v>
      </c>
      <c r="T236" s="21"/>
      <c r="U236" s="10"/>
      <c r="V236" s="13"/>
      <c r="W236" s="13"/>
      <c r="X236" s="13"/>
      <c r="Z236" s="13"/>
    </row>
    <row r="237" ht="21.75" customHeight="1">
      <c r="A237" s="25" t="str">
        <f>IF(B237="","","CAN-"&amp;TEXT(236,"000"))</f>
        <v>CAN-236</v>
      </c>
      <c r="B237" s="15" t="s">
        <v>964</v>
      </c>
      <c r="C237" s="8" t="s">
        <v>147</v>
      </c>
      <c r="D237" s="16">
        <v>9.15853664E9</v>
      </c>
      <c r="E237" s="15" t="s">
        <v>223</v>
      </c>
      <c r="F237" s="8" t="s">
        <v>929</v>
      </c>
      <c r="G237" s="16" t="s">
        <v>737</v>
      </c>
      <c r="H237" s="16" t="s">
        <v>43</v>
      </c>
      <c r="I237" s="15" t="s">
        <v>39</v>
      </c>
      <c r="J237" s="15" t="s">
        <v>965</v>
      </c>
      <c r="K237" s="9" t="s">
        <v>32</v>
      </c>
      <c r="L237" s="15" t="s">
        <v>194</v>
      </c>
      <c r="M237" s="8" t="s">
        <v>34</v>
      </c>
      <c r="N237" s="15" t="s">
        <v>45</v>
      </c>
      <c r="O237" s="17"/>
      <c r="P237" s="17"/>
      <c r="Q237" s="17"/>
      <c r="R237" s="22" t="s">
        <v>966</v>
      </c>
      <c r="S237" s="18">
        <v>46129.0</v>
      </c>
      <c r="T237" s="19"/>
      <c r="U237" s="15" t="s">
        <v>480</v>
      </c>
      <c r="V237" s="13"/>
      <c r="W237" s="13"/>
      <c r="X237" s="13"/>
      <c r="Z237" s="13"/>
    </row>
    <row r="238" ht="21.75" customHeight="1">
      <c r="A238" s="27" t="str">
        <f>IF(B238="","","CAN-"&amp;TEXT(237,"000"))</f>
        <v>CAN-237</v>
      </c>
      <c r="B238" s="8" t="s">
        <v>967</v>
      </c>
      <c r="C238" s="8" t="s">
        <v>147</v>
      </c>
      <c r="D238" s="9">
        <v>8.959322688E9</v>
      </c>
      <c r="E238" s="8" t="s">
        <v>334</v>
      </c>
      <c r="F238" s="8" t="s">
        <v>108</v>
      </c>
      <c r="G238" s="9" t="s">
        <v>968</v>
      </c>
      <c r="H238" s="9" t="s">
        <v>102</v>
      </c>
      <c r="I238" s="8" t="s">
        <v>39</v>
      </c>
      <c r="J238" s="8" t="s">
        <v>969</v>
      </c>
      <c r="K238" s="9" t="s">
        <v>92</v>
      </c>
      <c r="L238" s="15" t="s">
        <v>33</v>
      </c>
      <c r="M238" s="8" t="s">
        <v>34</v>
      </c>
      <c r="N238" s="8" t="s">
        <v>35</v>
      </c>
      <c r="O238" s="10"/>
      <c r="P238" s="10"/>
      <c r="Q238" s="10"/>
      <c r="R238" s="11" t="s">
        <v>970</v>
      </c>
      <c r="S238" s="20">
        <v>46129.0</v>
      </c>
      <c r="T238" s="21"/>
      <c r="U238" s="8" t="s">
        <v>541</v>
      </c>
      <c r="V238" s="13"/>
      <c r="W238" s="13"/>
      <c r="X238" s="13"/>
      <c r="Z238" s="13"/>
    </row>
    <row r="239" ht="21.75" customHeight="1">
      <c r="A239" s="25" t="str">
        <f>IF(B239="","","CAN-"&amp;TEXT(238,"000"))</f>
        <v>CAN-238</v>
      </c>
      <c r="B239" s="15" t="s">
        <v>971</v>
      </c>
      <c r="C239" s="8" t="s">
        <v>41</v>
      </c>
      <c r="D239" s="16">
        <v>8.591153178E9</v>
      </c>
      <c r="E239" s="15" t="s">
        <v>63</v>
      </c>
      <c r="F239" s="8" t="s">
        <v>90</v>
      </c>
      <c r="G239" s="16" t="s">
        <v>218</v>
      </c>
      <c r="H239" s="16" t="s">
        <v>44</v>
      </c>
      <c r="I239" s="15" t="s">
        <v>39</v>
      </c>
      <c r="J239" s="15" t="s">
        <v>52</v>
      </c>
      <c r="K239" s="9" t="s">
        <v>32</v>
      </c>
      <c r="L239" s="15" t="s">
        <v>33</v>
      </c>
      <c r="M239" s="8" t="s">
        <v>34</v>
      </c>
      <c r="N239" s="15" t="s">
        <v>45</v>
      </c>
      <c r="O239" s="17"/>
      <c r="P239" s="17"/>
      <c r="Q239" s="17"/>
      <c r="R239" s="22" t="s">
        <v>972</v>
      </c>
      <c r="S239" s="20">
        <v>46129.0</v>
      </c>
      <c r="T239" s="19"/>
      <c r="U239" s="15" t="s">
        <v>125</v>
      </c>
      <c r="V239" s="13"/>
      <c r="W239" s="13"/>
      <c r="X239" s="13"/>
      <c r="Z239" s="13"/>
    </row>
    <row r="240" ht="21.75" customHeight="1">
      <c r="A240" s="27" t="str">
        <f>IF(B240="","","CAN-"&amp;TEXT(239,"000"))</f>
        <v>CAN-239</v>
      </c>
      <c r="B240" s="8" t="s">
        <v>973</v>
      </c>
      <c r="C240" s="8" t="s">
        <v>41</v>
      </c>
      <c r="D240" s="9">
        <v>8.097276145E9</v>
      </c>
      <c r="E240" s="8" t="s">
        <v>573</v>
      </c>
      <c r="F240" s="8" t="s">
        <v>90</v>
      </c>
      <c r="G240" s="9" t="s">
        <v>974</v>
      </c>
      <c r="H240" s="9" t="s">
        <v>51</v>
      </c>
      <c r="I240" s="8" t="s">
        <v>39</v>
      </c>
      <c r="J240" s="8" t="s">
        <v>185</v>
      </c>
      <c r="K240" s="9" t="s">
        <v>32</v>
      </c>
      <c r="L240" s="15" t="s">
        <v>151</v>
      </c>
      <c r="M240" s="8" t="s">
        <v>94</v>
      </c>
      <c r="N240" s="8" t="s">
        <v>45</v>
      </c>
      <c r="O240" s="10"/>
      <c r="P240" s="10"/>
      <c r="Q240" s="10"/>
      <c r="R240" s="11" t="s">
        <v>975</v>
      </c>
      <c r="S240" s="20">
        <v>46129.0</v>
      </c>
      <c r="T240" s="21"/>
      <c r="U240" s="8" t="s">
        <v>125</v>
      </c>
      <c r="V240" s="13"/>
      <c r="W240" s="13"/>
      <c r="X240" s="13"/>
      <c r="Z240" s="13"/>
    </row>
    <row r="241" ht="21.75" customHeight="1">
      <c r="A241" s="25" t="str">
        <f>IF(B241="","","CAN-"&amp;TEXT(240,"000"))</f>
        <v>CAN-240</v>
      </c>
      <c r="B241" s="15" t="s">
        <v>976</v>
      </c>
      <c r="C241" s="8" t="s">
        <v>147</v>
      </c>
      <c r="D241" s="16">
        <v>8.263074241E9</v>
      </c>
      <c r="E241" s="15" t="s">
        <v>519</v>
      </c>
      <c r="F241" s="8" t="s">
        <v>90</v>
      </c>
      <c r="G241" s="16" t="s">
        <v>737</v>
      </c>
      <c r="H241" s="16" t="s">
        <v>43</v>
      </c>
      <c r="I241" s="15" t="s">
        <v>39</v>
      </c>
      <c r="J241" s="15" t="s">
        <v>444</v>
      </c>
      <c r="K241" s="9" t="s">
        <v>32</v>
      </c>
      <c r="L241" s="15" t="s">
        <v>207</v>
      </c>
      <c r="M241" s="8" t="s">
        <v>34</v>
      </c>
      <c r="N241" s="15" t="s">
        <v>48</v>
      </c>
      <c r="O241" s="17"/>
      <c r="P241" s="15" t="s">
        <v>977</v>
      </c>
      <c r="Q241" s="15" t="s">
        <v>978</v>
      </c>
      <c r="R241" s="22" t="s">
        <v>979</v>
      </c>
      <c r="S241" s="18">
        <v>46129.0</v>
      </c>
      <c r="T241" s="19"/>
      <c r="U241" s="17"/>
      <c r="V241" s="13"/>
      <c r="W241" s="13"/>
      <c r="X241" s="13"/>
      <c r="Z241" s="13"/>
    </row>
    <row r="242" ht="21.75" customHeight="1">
      <c r="A242" s="27" t="str">
        <f>IF(B242="","","CAN-"&amp;TEXT(241,"000"))</f>
        <v>CAN-241</v>
      </c>
      <c r="B242" s="8" t="s">
        <v>980</v>
      </c>
      <c r="C242" s="8" t="s">
        <v>41</v>
      </c>
      <c r="D242" s="9">
        <v>9.98733599E9</v>
      </c>
      <c r="E242" s="8" t="s">
        <v>412</v>
      </c>
      <c r="F242" s="8" t="s">
        <v>90</v>
      </c>
      <c r="G242" s="9" t="s">
        <v>981</v>
      </c>
      <c r="H242" s="9" t="s">
        <v>629</v>
      </c>
      <c r="I242" s="8" t="s">
        <v>39</v>
      </c>
      <c r="J242" s="8" t="s">
        <v>862</v>
      </c>
      <c r="K242" s="9" t="s">
        <v>32</v>
      </c>
      <c r="L242" s="15" t="s">
        <v>33</v>
      </c>
      <c r="M242" s="8" t="s">
        <v>34</v>
      </c>
      <c r="N242" s="8" t="s">
        <v>45</v>
      </c>
      <c r="O242" s="10"/>
      <c r="P242" s="10"/>
      <c r="Q242" s="10"/>
      <c r="R242" s="11" t="s">
        <v>982</v>
      </c>
      <c r="S242" s="18">
        <v>46129.0</v>
      </c>
      <c r="T242" s="21"/>
      <c r="U242" s="10"/>
      <c r="V242" s="13"/>
      <c r="W242" s="13"/>
      <c r="X242" s="13"/>
      <c r="Z242" s="13"/>
    </row>
    <row r="243" ht="21.75" customHeight="1">
      <c r="A243" s="25" t="str">
        <f>IF(B243="","","CAN-"&amp;TEXT(242,"000"))</f>
        <v>CAN-242</v>
      </c>
      <c r="B243" s="15" t="s">
        <v>983</v>
      </c>
      <c r="C243" s="8" t="s">
        <v>41</v>
      </c>
      <c r="D243" s="16">
        <v>8.928109911E9</v>
      </c>
      <c r="E243" s="15" t="s">
        <v>98</v>
      </c>
      <c r="F243" s="8" t="s">
        <v>90</v>
      </c>
      <c r="G243" s="16" t="s">
        <v>984</v>
      </c>
      <c r="H243" s="23"/>
      <c r="I243" s="15" t="s">
        <v>39</v>
      </c>
      <c r="J243" s="15" t="s">
        <v>60</v>
      </c>
      <c r="K243" s="9" t="s">
        <v>32</v>
      </c>
      <c r="L243" s="15" t="s">
        <v>61</v>
      </c>
      <c r="M243" s="8" t="s">
        <v>34</v>
      </c>
      <c r="N243" s="15" t="s">
        <v>45</v>
      </c>
      <c r="O243" s="17"/>
      <c r="P243" s="17"/>
      <c r="Q243" s="17"/>
      <c r="R243" s="22" t="s">
        <v>985</v>
      </c>
      <c r="S243" s="18">
        <v>46129.0</v>
      </c>
      <c r="T243" s="19"/>
      <c r="U243" s="17"/>
      <c r="V243" s="13"/>
      <c r="W243" s="13"/>
      <c r="X243" s="13"/>
      <c r="Z243" s="13"/>
    </row>
    <row r="244" ht="21.75" customHeight="1">
      <c r="A244" s="27" t="str">
        <f>IF(B244="","","CAN-"&amp;TEXT(243,"000"))</f>
        <v>CAN-243</v>
      </c>
      <c r="B244" s="8" t="s">
        <v>986</v>
      </c>
      <c r="C244" s="8" t="s">
        <v>147</v>
      </c>
      <c r="D244" s="9">
        <v>9.769879921E9</v>
      </c>
      <c r="E244" s="8" t="s">
        <v>42</v>
      </c>
      <c r="F244" s="8" t="s">
        <v>90</v>
      </c>
      <c r="G244" s="9" t="s">
        <v>44</v>
      </c>
      <c r="H244" s="24"/>
      <c r="I244" s="8" t="s">
        <v>39</v>
      </c>
      <c r="J244" s="8" t="s">
        <v>262</v>
      </c>
      <c r="K244" s="9" t="s">
        <v>32</v>
      </c>
      <c r="L244" s="15" t="s">
        <v>194</v>
      </c>
      <c r="M244" s="8" t="s">
        <v>34</v>
      </c>
      <c r="N244" s="8" t="s">
        <v>48</v>
      </c>
      <c r="O244" s="10"/>
      <c r="P244" s="10"/>
      <c r="Q244" s="10"/>
      <c r="R244" s="11" t="s">
        <v>987</v>
      </c>
      <c r="S244" s="20">
        <v>46129.0</v>
      </c>
      <c r="T244" s="20">
        <v>46130.0</v>
      </c>
      <c r="U244" s="8" t="s">
        <v>125</v>
      </c>
      <c r="V244" s="13"/>
      <c r="W244" s="13"/>
      <c r="X244" s="13"/>
      <c r="Z244" s="13"/>
    </row>
    <row r="245" ht="21.75" customHeight="1">
      <c r="A245" s="25" t="str">
        <f>IF(B245="","","CAN-"&amp;TEXT(244,"000"))</f>
        <v>CAN-244</v>
      </c>
      <c r="B245" s="15" t="s">
        <v>988</v>
      </c>
      <c r="C245" s="8" t="s">
        <v>147</v>
      </c>
      <c r="D245" s="16" t="s">
        <v>989</v>
      </c>
      <c r="E245" s="15" t="s">
        <v>148</v>
      </c>
      <c r="F245" s="8" t="s">
        <v>408</v>
      </c>
      <c r="G245" s="16" t="s">
        <v>725</v>
      </c>
      <c r="H245" s="23"/>
      <c r="I245" s="15" t="s">
        <v>39</v>
      </c>
      <c r="J245" s="15" t="s">
        <v>293</v>
      </c>
      <c r="K245" s="9" t="s">
        <v>32</v>
      </c>
      <c r="L245" s="15" t="s">
        <v>33</v>
      </c>
      <c r="M245" s="8" t="s">
        <v>34</v>
      </c>
      <c r="N245" s="15" t="s">
        <v>48</v>
      </c>
      <c r="O245" s="17"/>
      <c r="P245" s="17"/>
      <c r="Q245" s="17"/>
      <c r="R245" s="22" t="s">
        <v>990</v>
      </c>
      <c r="S245" s="18">
        <v>46129.0</v>
      </c>
      <c r="T245" s="19"/>
      <c r="U245" s="15" t="s">
        <v>511</v>
      </c>
      <c r="V245" s="13"/>
      <c r="W245" s="13"/>
      <c r="X245" s="13"/>
      <c r="Z245" s="13"/>
    </row>
    <row r="246" ht="21.75" customHeight="1">
      <c r="A246" s="27" t="str">
        <f>IF(B246="","","CAN-"&amp;TEXT(245,"000"))</f>
        <v>CAN-245</v>
      </c>
      <c r="B246" s="8" t="s">
        <v>991</v>
      </c>
      <c r="C246" s="8" t="s">
        <v>147</v>
      </c>
      <c r="D246" s="9">
        <v>9.082281247E9</v>
      </c>
      <c r="E246" s="8" t="s">
        <v>120</v>
      </c>
      <c r="F246" s="8" t="s">
        <v>90</v>
      </c>
      <c r="G246" s="9" t="s">
        <v>992</v>
      </c>
      <c r="H246" s="9" t="s">
        <v>116</v>
      </c>
      <c r="I246" s="8" t="s">
        <v>39</v>
      </c>
      <c r="J246" s="8" t="s">
        <v>426</v>
      </c>
      <c r="K246" s="9" t="s">
        <v>32</v>
      </c>
      <c r="L246" s="15" t="s">
        <v>207</v>
      </c>
      <c r="M246" s="8" t="s">
        <v>34</v>
      </c>
      <c r="N246" s="8" t="s">
        <v>31</v>
      </c>
      <c r="O246" s="10"/>
      <c r="P246" s="10"/>
      <c r="Q246" s="10"/>
      <c r="R246" s="11" t="s">
        <v>993</v>
      </c>
      <c r="S246" s="20">
        <v>46129.0</v>
      </c>
      <c r="T246" s="20">
        <v>46139.0</v>
      </c>
      <c r="U246" s="8" t="s">
        <v>125</v>
      </c>
      <c r="V246" s="13"/>
      <c r="W246" s="13"/>
      <c r="X246" s="13"/>
      <c r="Z246" s="13"/>
    </row>
    <row r="247" ht="21.75" customHeight="1">
      <c r="A247" s="25" t="str">
        <f>IF(B247="","","CAN-"&amp;TEXT(246,"000"))</f>
        <v>CAN-246</v>
      </c>
      <c r="B247" s="15" t="s">
        <v>994</v>
      </c>
      <c r="C247" s="8" t="s">
        <v>147</v>
      </c>
      <c r="D247" s="16">
        <v>7.249472952E9</v>
      </c>
      <c r="E247" s="15" t="s">
        <v>205</v>
      </c>
      <c r="F247" s="8" t="s">
        <v>90</v>
      </c>
      <c r="G247" s="16" t="s">
        <v>168</v>
      </c>
      <c r="H247" s="16" t="s">
        <v>169</v>
      </c>
      <c r="I247" s="15" t="s">
        <v>39</v>
      </c>
      <c r="J247" s="15" t="s">
        <v>995</v>
      </c>
      <c r="K247" s="9" t="s">
        <v>32</v>
      </c>
      <c r="L247" s="15" t="s">
        <v>194</v>
      </c>
      <c r="M247" s="8" t="s">
        <v>34</v>
      </c>
      <c r="N247" s="15" t="s">
        <v>45</v>
      </c>
      <c r="O247" s="17"/>
      <c r="P247" s="17"/>
      <c r="Q247" s="17"/>
      <c r="R247" s="22" t="s">
        <v>996</v>
      </c>
      <c r="S247" s="18">
        <v>46129.0</v>
      </c>
      <c r="T247" s="18">
        <v>46132.0</v>
      </c>
      <c r="U247" s="15" t="s">
        <v>125</v>
      </c>
      <c r="V247" s="13"/>
      <c r="W247" s="13"/>
      <c r="X247" s="13"/>
      <c r="Z247" s="13"/>
    </row>
    <row r="248" ht="21.75" customHeight="1">
      <c r="A248" s="27" t="str">
        <f>IF(B248="","","CAN-"&amp;TEXT(247,"000"))</f>
        <v>CAN-247</v>
      </c>
      <c r="B248" s="8" t="s">
        <v>997</v>
      </c>
      <c r="C248" s="8" t="s">
        <v>147</v>
      </c>
      <c r="D248" s="9">
        <v>9.112261449E9</v>
      </c>
      <c r="E248" s="8" t="s">
        <v>50</v>
      </c>
      <c r="F248" s="8" t="s">
        <v>90</v>
      </c>
      <c r="G248" s="9" t="s">
        <v>121</v>
      </c>
      <c r="H248" s="9"/>
      <c r="I248" s="8" t="s">
        <v>39</v>
      </c>
      <c r="J248" s="8" t="s">
        <v>995</v>
      </c>
      <c r="K248" s="9" t="s">
        <v>92</v>
      </c>
      <c r="L248" s="15" t="s">
        <v>207</v>
      </c>
      <c r="M248" s="8" t="s">
        <v>94</v>
      </c>
      <c r="N248" s="8" t="s">
        <v>45</v>
      </c>
      <c r="O248" s="10"/>
      <c r="P248" s="10"/>
      <c r="Q248" s="10"/>
      <c r="R248" s="11" t="s">
        <v>998</v>
      </c>
      <c r="S248" s="20">
        <v>46132.0</v>
      </c>
      <c r="T248" s="20"/>
      <c r="U248" s="8" t="s">
        <v>125</v>
      </c>
      <c r="V248" s="13"/>
      <c r="W248" s="13"/>
      <c r="X248" s="13"/>
      <c r="Z248" s="13"/>
    </row>
    <row r="249" ht="21.75" customHeight="1">
      <c r="A249" s="25" t="str">
        <f>IF(B249="","","CAN-"&amp;TEXT(248,"000"))</f>
        <v>CAN-248</v>
      </c>
      <c r="B249" s="15" t="s">
        <v>832</v>
      </c>
      <c r="C249" s="8" t="s">
        <v>41</v>
      </c>
      <c r="D249" s="16">
        <v>8.788894351E9</v>
      </c>
      <c r="E249" s="15" t="s">
        <v>135</v>
      </c>
      <c r="F249" s="8" t="s">
        <v>90</v>
      </c>
      <c r="G249" s="16" t="s">
        <v>629</v>
      </c>
      <c r="H249" s="16" t="s">
        <v>632</v>
      </c>
      <c r="I249" s="15" t="s">
        <v>39</v>
      </c>
      <c r="J249" s="17"/>
      <c r="K249" s="9" t="s">
        <v>92</v>
      </c>
      <c r="L249" s="15" t="s">
        <v>33</v>
      </c>
      <c r="M249" s="8" t="s">
        <v>34</v>
      </c>
      <c r="N249" s="15" t="s">
        <v>45</v>
      </c>
      <c r="O249" s="17"/>
      <c r="P249" s="17"/>
      <c r="Q249" s="17"/>
      <c r="R249" s="22" t="s">
        <v>999</v>
      </c>
      <c r="S249" s="20">
        <v>46132.0</v>
      </c>
      <c r="T249" s="19"/>
      <c r="U249" s="15" t="s">
        <v>125</v>
      </c>
      <c r="V249" s="13"/>
      <c r="W249" s="13"/>
      <c r="X249" s="13"/>
      <c r="Z249" s="13"/>
    </row>
    <row r="250" ht="21.75" customHeight="1">
      <c r="A250" s="27" t="str">
        <f>IF(B250="","","CAN-"&amp;TEXT(249,"000"))</f>
        <v>CAN-249</v>
      </c>
      <c r="B250" s="8" t="s">
        <v>1000</v>
      </c>
      <c r="C250" s="8" t="s">
        <v>147</v>
      </c>
      <c r="D250" s="9">
        <v>8.850574241E9</v>
      </c>
      <c r="E250" s="8" t="s">
        <v>365</v>
      </c>
      <c r="F250" s="8" t="s">
        <v>90</v>
      </c>
      <c r="G250" s="9" t="s">
        <v>44</v>
      </c>
      <c r="H250" s="9" t="s">
        <v>116</v>
      </c>
      <c r="I250" s="8" t="s">
        <v>39</v>
      </c>
      <c r="J250" s="8" t="s">
        <v>995</v>
      </c>
      <c r="K250" s="9" t="s">
        <v>32</v>
      </c>
      <c r="L250" s="15" t="s">
        <v>61</v>
      </c>
      <c r="M250" s="8" t="s">
        <v>34</v>
      </c>
      <c r="N250" s="8" t="s">
        <v>45</v>
      </c>
      <c r="O250" s="10"/>
      <c r="P250" s="10"/>
      <c r="Q250" s="8" t="s">
        <v>1001</v>
      </c>
      <c r="R250" s="11" t="s">
        <v>1002</v>
      </c>
      <c r="S250" s="20">
        <v>46132.0</v>
      </c>
      <c r="T250" s="21"/>
      <c r="U250" s="10"/>
      <c r="V250" s="13"/>
      <c r="W250" s="13"/>
      <c r="X250" s="13"/>
      <c r="Z250" s="13"/>
    </row>
    <row r="251" ht="21.75" customHeight="1">
      <c r="A251" s="25" t="str">
        <f>IF(B251="","","CAN-"&amp;TEXT(250,"000"))</f>
        <v>CAN-250</v>
      </c>
      <c r="B251" s="15" t="s">
        <v>1003</v>
      </c>
      <c r="C251" s="8" t="s">
        <v>147</v>
      </c>
      <c r="D251" s="16">
        <v>9.321573966E9</v>
      </c>
      <c r="E251" s="15" t="s">
        <v>210</v>
      </c>
      <c r="F251" s="8" t="s">
        <v>408</v>
      </c>
      <c r="G251" s="23"/>
      <c r="H251" s="23"/>
      <c r="I251" s="15" t="s">
        <v>39</v>
      </c>
      <c r="J251" s="15" t="s">
        <v>403</v>
      </c>
      <c r="K251" s="9" t="s">
        <v>32</v>
      </c>
      <c r="L251" s="15" t="s">
        <v>33</v>
      </c>
      <c r="M251" s="8" t="s">
        <v>34</v>
      </c>
      <c r="N251" s="15" t="s">
        <v>35</v>
      </c>
      <c r="O251" s="17"/>
      <c r="P251" s="17"/>
      <c r="Q251" s="17"/>
      <c r="R251" s="22" t="s">
        <v>1004</v>
      </c>
      <c r="S251" s="18">
        <v>46132.0</v>
      </c>
      <c r="T251" s="19"/>
      <c r="U251" s="17"/>
      <c r="V251" s="13"/>
      <c r="W251" s="13"/>
      <c r="X251" s="13"/>
      <c r="Z251" s="13"/>
    </row>
    <row r="252" ht="21.75" customHeight="1">
      <c r="A252" s="27" t="str">
        <f>IF(B252="","","CAN-"&amp;TEXT(251,"000"))</f>
        <v>CAN-251</v>
      </c>
      <c r="B252" s="8" t="s">
        <v>1005</v>
      </c>
      <c r="C252" s="8" t="s">
        <v>147</v>
      </c>
      <c r="D252" s="9">
        <v>7.400123414E9</v>
      </c>
      <c r="E252" s="8" t="s">
        <v>101</v>
      </c>
      <c r="F252" s="8" t="s">
        <v>90</v>
      </c>
      <c r="G252" s="9" t="s">
        <v>122</v>
      </c>
      <c r="H252" s="9" t="s">
        <v>44</v>
      </c>
      <c r="I252" s="8" t="s">
        <v>39</v>
      </c>
      <c r="J252" s="8" t="s">
        <v>1006</v>
      </c>
      <c r="K252" s="9" t="s">
        <v>32</v>
      </c>
      <c r="L252" s="15" t="s">
        <v>207</v>
      </c>
      <c r="M252" s="8" t="s">
        <v>34</v>
      </c>
      <c r="N252" s="8" t="s">
        <v>31</v>
      </c>
      <c r="O252" s="10"/>
      <c r="P252" s="10"/>
      <c r="Q252" s="8" t="s">
        <v>1007</v>
      </c>
      <c r="R252" s="11" t="s">
        <v>1008</v>
      </c>
      <c r="S252" s="20">
        <v>46132.0</v>
      </c>
      <c r="T252" s="20">
        <v>46167.0</v>
      </c>
      <c r="U252" s="8" t="s">
        <v>1009</v>
      </c>
      <c r="V252" s="13"/>
      <c r="W252" s="13"/>
      <c r="X252" s="13"/>
      <c r="Z252" s="13"/>
    </row>
    <row r="253" ht="21.75" customHeight="1">
      <c r="A253" s="25" t="str">
        <f>IF(B253="","","CAN-"&amp;TEXT(252,"000"))</f>
        <v>CAN-252</v>
      </c>
      <c r="B253" s="15" t="s">
        <v>1010</v>
      </c>
      <c r="C253" s="8" t="s">
        <v>147</v>
      </c>
      <c r="D253" s="16">
        <v>9.136204542E9</v>
      </c>
      <c r="E253" s="15" t="s">
        <v>115</v>
      </c>
      <c r="F253" s="8" t="s">
        <v>90</v>
      </c>
      <c r="G253" s="23"/>
      <c r="H253" s="23"/>
      <c r="I253" s="15" t="s">
        <v>39</v>
      </c>
      <c r="J253" s="17"/>
      <c r="K253" s="9" t="s">
        <v>92</v>
      </c>
      <c r="L253" s="15" t="s">
        <v>33</v>
      </c>
      <c r="M253" s="8" t="s">
        <v>34</v>
      </c>
      <c r="N253" s="15" t="s">
        <v>35</v>
      </c>
      <c r="O253" s="17"/>
      <c r="P253" s="17"/>
      <c r="Q253" s="17"/>
      <c r="R253" s="22" t="s">
        <v>1011</v>
      </c>
      <c r="S253" s="18">
        <v>46132.0</v>
      </c>
      <c r="T253" s="19"/>
      <c r="U253" s="17"/>
      <c r="V253" s="13"/>
      <c r="W253" s="13"/>
      <c r="X253" s="13"/>
      <c r="Z253" s="13"/>
    </row>
    <row r="254" ht="21.75" customHeight="1">
      <c r="A254" s="27" t="str">
        <f>IF(B254="","","CAN-"&amp;TEXT(253,"000"))</f>
        <v>CAN-253</v>
      </c>
      <c r="B254" s="8" t="s">
        <v>1012</v>
      </c>
      <c r="C254" s="8" t="s">
        <v>147</v>
      </c>
      <c r="D254" s="9">
        <v>7.678094642E9</v>
      </c>
      <c r="E254" s="8" t="s">
        <v>166</v>
      </c>
      <c r="F254" s="8" t="s">
        <v>90</v>
      </c>
      <c r="G254" s="9" t="s">
        <v>44</v>
      </c>
      <c r="H254" s="24"/>
      <c r="I254" s="8" t="s">
        <v>39</v>
      </c>
      <c r="J254" s="8" t="s">
        <v>1013</v>
      </c>
      <c r="K254" s="9" t="s">
        <v>32</v>
      </c>
      <c r="L254" s="15" t="s">
        <v>207</v>
      </c>
      <c r="M254" s="8" t="s">
        <v>34</v>
      </c>
      <c r="N254" s="8" t="s">
        <v>31</v>
      </c>
      <c r="O254" s="10"/>
      <c r="P254" s="10"/>
      <c r="Q254" s="10"/>
      <c r="R254" s="11" t="s">
        <v>1014</v>
      </c>
      <c r="S254" s="20">
        <v>46132.0</v>
      </c>
      <c r="T254" s="21"/>
      <c r="U254" s="8" t="s">
        <v>125</v>
      </c>
      <c r="V254" s="13"/>
      <c r="W254" s="13"/>
      <c r="X254" s="13"/>
      <c r="Z254" s="13"/>
    </row>
    <row r="255" ht="21.75" customHeight="1">
      <c r="A255" s="25" t="str">
        <f>IF(B255="","","CAN-"&amp;TEXT(254,"000"))</f>
        <v>CAN-254</v>
      </c>
      <c r="B255" s="15" t="s">
        <v>1015</v>
      </c>
      <c r="C255" s="8" t="s">
        <v>147</v>
      </c>
      <c r="D255" s="16">
        <v>9.324640588E9</v>
      </c>
      <c r="E255" s="15" t="s">
        <v>179</v>
      </c>
      <c r="F255" s="8" t="s">
        <v>90</v>
      </c>
      <c r="G255" s="16" t="s">
        <v>44</v>
      </c>
      <c r="H255" s="23"/>
      <c r="I255" s="15" t="s">
        <v>39</v>
      </c>
      <c r="J255" s="15" t="s">
        <v>744</v>
      </c>
      <c r="K255" s="9" t="s">
        <v>32</v>
      </c>
      <c r="L255" s="15" t="s">
        <v>33</v>
      </c>
      <c r="M255" s="8" t="s">
        <v>34</v>
      </c>
      <c r="N255" s="15" t="s">
        <v>31</v>
      </c>
      <c r="O255" s="17"/>
      <c r="P255" s="17"/>
      <c r="Q255" s="15" t="s">
        <v>1016</v>
      </c>
      <c r="R255" s="22" t="s">
        <v>1017</v>
      </c>
      <c r="S255" s="18">
        <v>46132.0</v>
      </c>
      <c r="T255" s="19"/>
      <c r="U255" s="17"/>
      <c r="V255" s="13"/>
      <c r="W255" s="13"/>
      <c r="X255" s="13"/>
      <c r="Z255" s="13"/>
    </row>
    <row r="256" ht="21.75" customHeight="1">
      <c r="A256" s="27" t="str">
        <f>IF(B256="","","CAN-"&amp;TEXT(255,"000"))</f>
        <v>CAN-255</v>
      </c>
      <c r="B256" s="8" t="s">
        <v>1018</v>
      </c>
      <c r="C256" s="8" t="s">
        <v>41</v>
      </c>
      <c r="D256" s="9">
        <v>8.208409922E9</v>
      </c>
      <c r="E256" s="8" t="s">
        <v>42</v>
      </c>
      <c r="F256" s="8" t="s">
        <v>90</v>
      </c>
      <c r="G256" s="9" t="s">
        <v>44</v>
      </c>
      <c r="H256" s="9" t="s">
        <v>102</v>
      </c>
      <c r="I256" s="8" t="s">
        <v>39</v>
      </c>
      <c r="J256" s="8" t="s">
        <v>325</v>
      </c>
      <c r="K256" s="9" t="s">
        <v>32</v>
      </c>
      <c r="L256" s="15" t="s">
        <v>445</v>
      </c>
      <c r="M256" s="8" t="s">
        <v>34</v>
      </c>
      <c r="N256" s="8" t="s">
        <v>31</v>
      </c>
      <c r="O256" s="10"/>
      <c r="P256" s="10"/>
      <c r="Q256" s="10"/>
      <c r="R256" s="11" t="s">
        <v>1019</v>
      </c>
      <c r="S256" s="18">
        <v>46132.0</v>
      </c>
      <c r="T256" s="21"/>
      <c r="U256" s="8" t="s">
        <v>125</v>
      </c>
      <c r="V256" s="13"/>
      <c r="W256" s="13"/>
      <c r="X256" s="13"/>
      <c r="Z256" s="13"/>
    </row>
    <row r="257" ht="21.75" customHeight="1">
      <c r="A257" s="25" t="str">
        <f>IF(B257="","","CAN-"&amp;TEXT(256,"000"))</f>
        <v>CAN-256</v>
      </c>
      <c r="B257" s="15" t="s">
        <v>1020</v>
      </c>
      <c r="C257" s="8" t="s">
        <v>147</v>
      </c>
      <c r="D257" s="16">
        <v>9.833425629E9</v>
      </c>
      <c r="E257" s="15" t="s">
        <v>101</v>
      </c>
      <c r="F257" s="8" t="s">
        <v>90</v>
      </c>
      <c r="G257" s="16" t="s">
        <v>218</v>
      </c>
      <c r="H257" s="23"/>
      <c r="I257" s="15" t="s">
        <v>39</v>
      </c>
      <c r="J257" s="15" t="s">
        <v>325</v>
      </c>
      <c r="K257" s="9" t="s">
        <v>32</v>
      </c>
      <c r="L257" s="15" t="s">
        <v>445</v>
      </c>
      <c r="M257" s="8" t="s">
        <v>34</v>
      </c>
      <c r="N257" s="15" t="s">
        <v>45</v>
      </c>
      <c r="O257" s="17"/>
      <c r="P257" s="17"/>
      <c r="Q257" s="17"/>
      <c r="R257" s="22" t="s">
        <v>1021</v>
      </c>
      <c r="S257" s="18">
        <v>46132.0</v>
      </c>
      <c r="T257" s="19"/>
      <c r="U257" s="15" t="s">
        <v>125</v>
      </c>
      <c r="V257" s="13"/>
      <c r="W257" s="13"/>
      <c r="X257" s="13"/>
      <c r="Z257" s="13"/>
    </row>
    <row r="258" ht="21.75" customHeight="1">
      <c r="A258" s="27" t="str">
        <f>IF(B258="","","CAN-"&amp;TEXT(257,"000"))</f>
        <v>CAN-257</v>
      </c>
      <c r="B258" s="8" t="s">
        <v>1022</v>
      </c>
      <c r="C258" s="8" t="s">
        <v>41</v>
      </c>
      <c r="D258" s="9">
        <v>7.721052115E9</v>
      </c>
      <c r="E258" s="8" t="s">
        <v>290</v>
      </c>
      <c r="F258" s="8" t="s">
        <v>90</v>
      </c>
      <c r="G258" s="9" t="s">
        <v>132</v>
      </c>
      <c r="H258" s="9" t="s">
        <v>360</v>
      </c>
      <c r="I258" s="8" t="s">
        <v>39</v>
      </c>
      <c r="J258" s="8" t="s">
        <v>193</v>
      </c>
      <c r="K258" s="9" t="s">
        <v>32</v>
      </c>
      <c r="L258" s="15" t="s">
        <v>33</v>
      </c>
      <c r="M258" s="8" t="s">
        <v>34</v>
      </c>
      <c r="N258" s="8" t="s">
        <v>45</v>
      </c>
      <c r="O258" s="10"/>
      <c r="P258" s="10"/>
      <c r="Q258" s="10"/>
      <c r="R258" s="11" t="s">
        <v>1023</v>
      </c>
      <c r="S258" s="20">
        <v>46133.0</v>
      </c>
      <c r="T258" s="21"/>
      <c r="U258" s="10"/>
      <c r="V258" s="13"/>
      <c r="W258" s="13"/>
      <c r="X258" s="13"/>
      <c r="Z258" s="13"/>
    </row>
    <row r="259" ht="21.75" customHeight="1">
      <c r="A259" s="25" t="str">
        <f>IF(B259="","","CAN-"&amp;TEXT(258,"000"))</f>
        <v>CAN-258</v>
      </c>
      <c r="B259" s="15" t="s">
        <v>1024</v>
      </c>
      <c r="C259" s="8" t="s">
        <v>147</v>
      </c>
      <c r="D259" s="16">
        <v>9.920889894E9</v>
      </c>
      <c r="E259" s="15" t="s">
        <v>42</v>
      </c>
      <c r="F259" s="8" t="s">
        <v>90</v>
      </c>
      <c r="G259" s="16" t="s">
        <v>44</v>
      </c>
      <c r="H259" s="23"/>
      <c r="I259" s="15" t="s">
        <v>39</v>
      </c>
      <c r="J259" s="15" t="s">
        <v>1025</v>
      </c>
      <c r="K259" s="38" t="s">
        <v>32</v>
      </c>
      <c r="L259" s="15" t="s">
        <v>33</v>
      </c>
      <c r="M259" s="8" t="s">
        <v>34</v>
      </c>
      <c r="N259" s="15" t="s">
        <v>31</v>
      </c>
      <c r="O259" s="17"/>
      <c r="P259" s="17"/>
      <c r="Q259" s="17"/>
      <c r="R259" s="22" t="s">
        <v>1026</v>
      </c>
      <c r="S259" s="18">
        <v>46133.0</v>
      </c>
      <c r="T259" s="19"/>
      <c r="U259" s="15" t="s">
        <v>434</v>
      </c>
      <c r="V259" s="13"/>
      <c r="W259" s="13"/>
      <c r="X259" s="13"/>
      <c r="Z259" s="13"/>
    </row>
    <row r="260" ht="21.75" customHeight="1">
      <c r="A260" s="27" t="str">
        <f>IF(B260="","","CAN-"&amp;TEXT(259,"000"))</f>
        <v>CAN-259</v>
      </c>
      <c r="B260" s="8" t="s">
        <v>1027</v>
      </c>
      <c r="C260" s="8" t="s">
        <v>147</v>
      </c>
      <c r="D260" s="9">
        <v>9.860881436E9</v>
      </c>
      <c r="E260" s="8" t="s">
        <v>47</v>
      </c>
      <c r="F260" s="8" t="s">
        <v>90</v>
      </c>
      <c r="G260" s="9" t="s">
        <v>571</v>
      </c>
      <c r="H260" s="9" t="s">
        <v>121</v>
      </c>
      <c r="I260" s="8" t="s">
        <v>39</v>
      </c>
      <c r="J260" s="8" t="s">
        <v>325</v>
      </c>
      <c r="K260" s="9" t="s">
        <v>32</v>
      </c>
      <c r="L260" s="15" t="s">
        <v>33</v>
      </c>
      <c r="M260" s="8" t="s">
        <v>34</v>
      </c>
      <c r="N260" s="8" t="s">
        <v>45</v>
      </c>
      <c r="O260" s="10"/>
      <c r="P260" s="10"/>
      <c r="Q260" s="10"/>
      <c r="R260" s="11" t="s">
        <v>1028</v>
      </c>
      <c r="S260" s="20">
        <v>46133.0</v>
      </c>
      <c r="T260" s="21"/>
      <c r="U260" s="8" t="s">
        <v>480</v>
      </c>
      <c r="V260" s="13"/>
      <c r="W260" s="13"/>
      <c r="X260" s="13"/>
      <c r="Z260" s="13"/>
    </row>
    <row r="261" ht="21.75" customHeight="1">
      <c r="A261" s="25" t="str">
        <f>IF(B261="","","CAN-"&amp;TEXT(260,"000"))</f>
        <v>CAN-260</v>
      </c>
      <c r="B261" s="15" t="s">
        <v>1029</v>
      </c>
      <c r="C261" s="8" t="s">
        <v>147</v>
      </c>
      <c r="D261" s="16">
        <v>9.867050145E9</v>
      </c>
      <c r="E261" s="15" t="s">
        <v>47</v>
      </c>
      <c r="F261" s="8" t="s">
        <v>90</v>
      </c>
      <c r="G261" s="16" t="s">
        <v>121</v>
      </c>
      <c r="H261" s="16" t="s">
        <v>43</v>
      </c>
      <c r="I261" s="15" t="s">
        <v>39</v>
      </c>
      <c r="J261" s="15" t="s">
        <v>60</v>
      </c>
      <c r="K261" s="38" t="s">
        <v>32</v>
      </c>
      <c r="L261" s="15" t="s">
        <v>220</v>
      </c>
      <c r="M261" s="8" t="s">
        <v>34</v>
      </c>
      <c r="N261" s="8" t="s">
        <v>45</v>
      </c>
      <c r="O261" s="17"/>
      <c r="P261" s="17"/>
      <c r="Q261" s="17"/>
      <c r="R261" s="22" t="s">
        <v>1030</v>
      </c>
      <c r="S261" s="18">
        <v>46133.0</v>
      </c>
      <c r="T261" s="19"/>
      <c r="U261" s="15" t="s">
        <v>480</v>
      </c>
      <c r="V261" s="13"/>
      <c r="W261" s="13"/>
      <c r="X261" s="13"/>
      <c r="Z261" s="13"/>
    </row>
    <row r="262" ht="21.75" customHeight="1">
      <c r="A262" s="27" t="str">
        <f>IF(B262="","","CAN-"&amp;TEXT(261,"000"))</f>
        <v>CAN-261</v>
      </c>
      <c r="B262" s="8" t="s">
        <v>1031</v>
      </c>
      <c r="C262" s="8" t="s">
        <v>147</v>
      </c>
      <c r="D262" s="9">
        <v>9.767417418E9</v>
      </c>
      <c r="E262" s="8" t="s">
        <v>441</v>
      </c>
      <c r="F262" s="8" t="s">
        <v>435</v>
      </c>
      <c r="G262" s="9" t="s">
        <v>1032</v>
      </c>
      <c r="H262" s="9" t="s">
        <v>361</v>
      </c>
      <c r="I262" s="8" t="s">
        <v>39</v>
      </c>
      <c r="J262" s="8" t="s">
        <v>1033</v>
      </c>
      <c r="K262" s="9" t="s">
        <v>92</v>
      </c>
      <c r="L262" s="15" t="s">
        <v>539</v>
      </c>
      <c r="M262" s="8" t="s">
        <v>34</v>
      </c>
      <c r="N262" s="8" t="s">
        <v>48</v>
      </c>
      <c r="O262" s="10"/>
      <c r="P262" s="10"/>
      <c r="Q262" s="10"/>
      <c r="R262" s="11" t="s">
        <v>1034</v>
      </c>
      <c r="S262" s="20">
        <v>46133.0</v>
      </c>
      <c r="T262" s="20"/>
      <c r="U262" s="8" t="s">
        <v>1035</v>
      </c>
      <c r="V262" s="13"/>
      <c r="W262" s="13"/>
      <c r="X262" s="13"/>
      <c r="Z262" s="13"/>
    </row>
    <row r="263" ht="21.75" customHeight="1">
      <c r="A263" s="25" t="str">
        <f>IF(B263="","","CAN-"&amp;TEXT(262,"000"))</f>
        <v>CAN-262</v>
      </c>
      <c r="B263" s="15" t="s">
        <v>1036</v>
      </c>
      <c r="C263" s="8" t="s">
        <v>89</v>
      </c>
      <c r="D263" s="16">
        <v>8.291145707E9</v>
      </c>
      <c r="E263" s="15" t="s">
        <v>126</v>
      </c>
      <c r="F263" s="8" t="s">
        <v>90</v>
      </c>
      <c r="G263" s="16" t="s">
        <v>586</v>
      </c>
      <c r="H263" s="16" t="s">
        <v>121</v>
      </c>
      <c r="I263" s="15" t="s">
        <v>39</v>
      </c>
      <c r="J263" s="15" t="s">
        <v>532</v>
      </c>
      <c r="K263" s="38" t="s">
        <v>32</v>
      </c>
      <c r="L263" s="15" t="s">
        <v>61</v>
      </c>
      <c r="M263" s="15" t="s">
        <v>195</v>
      </c>
      <c r="N263" s="15" t="s">
        <v>75</v>
      </c>
      <c r="O263" s="17"/>
      <c r="P263" s="17"/>
      <c r="Q263" s="17"/>
      <c r="R263" s="22" t="s">
        <v>1037</v>
      </c>
      <c r="S263" s="18">
        <v>46133.0</v>
      </c>
      <c r="T263" s="18">
        <v>46133.0</v>
      </c>
      <c r="U263" s="15" t="s">
        <v>153</v>
      </c>
      <c r="V263" s="13"/>
      <c r="W263" s="13"/>
      <c r="X263" s="13"/>
      <c r="Z263" s="13"/>
    </row>
    <row r="264" ht="21.75" customHeight="1">
      <c r="A264" s="27" t="str">
        <f>IF(B264="","","CAN-"&amp;TEXT(263,"000"))</f>
        <v>CAN-263</v>
      </c>
      <c r="B264" s="8" t="s">
        <v>957</v>
      </c>
      <c r="C264" s="8" t="s">
        <v>89</v>
      </c>
      <c r="D264" s="9">
        <v>7.905813918E9</v>
      </c>
      <c r="E264" s="8" t="s">
        <v>565</v>
      </c>
      <c r="F264" s="8" t="s">
        <v>90</v>
      </c>
      <c r="G264" s="9" t="s">
        <v>122</v>
      </c>
      <c r="H264" s="9" t="s">
        <v>678</v>
      </c>
      <c r="I264" s="8" t="s">
        <v>64</v>
      </c>
      <c r="J264" s="8" t="s">
        <v>337</v>
      </c>
      <c r="K264" s="9" t="s">
        <v>32</v>
      </c>
      <c r="L264" s="8" t="s">
        <v>207</v>
      </c>
      <c r="M264" s="8" t="s">
        <v>34</v>
      </c>
      <c r="N264" s="8" t="s">
        <v>45</v>
      </c>
      <c r="O264" s="10"/>
      <c r="P264" s="10"/>
      <c r="Q264" s="10"/>
      <c r="R264" s="11" t="s">
        <v>958</v>
      </c>
      <c r="S264" s="20">
        <v>46133.0</v>
      </c>
      <c r="T264" s="20">
        <v>46133.0</v>
      </c>
      <c r="U264" s="8" t="s">
        <v>104</v>
      </c>
      <c r="V264" s="13"/>
      <c r="W264" s="13"/>
      <c r="X264" s="13"/>
      <c r="Z264" s="13"/>
    </row>
    <row r="265" ht="21.75" customHeight="1">
      <c r="A265" s="25" t="str">
        <f>IF(B265="","","CAN-"&amp;TEXT(264,"000"))</f>
        <v>CAN-264</v>
      </c>
      <c r="B265" s="15" t="s">
        <v>1038</v>
      </c>
      <c r="C265" s="8" t="s">
        <v>89</v>
      </c>
      <c r="D265" s="16">
        <v>6.909546057E9</v>
      </c>
      <c r="E265" s="15" t="s">
        <v>565</v>
      </c>
      <c r="F265" s="8" t="s">
        <v>90</v>
      </c>
      <c r="G265" s="16" t="s">
        <v>44</v>
      </c>
      <c r="H265" s="16" t="s">
        <v>678</v>
      </c>
      <c r="I265" s="15" t="s">
        <v>64</v>
      </c>
      <c r="J265" s="15" t="s">
        <v>337</v>
      </c>
      <c r="K265" s="38" t="s">
        <v>32</v>
      </c>
      <c r="L265" s="15" t="s">
        <v>61</v>
      </c>
      <c r="M265" s="15" t="s">
        <v>72</v>
      </c>
      <c r="N265" s="15" t="s">
        <v>45</v>
      </c>
      <c r="O265" s="17"/>
      <c r="P265" s="17"/>
      <c r="Q265" s="17"/>
      <c r="R265" s="22" t="s">
        <v>1039</v>
      </c>
      <c r="S265" s="18">
        <v>46133.0</v>
      </c>
      <c r="T265" s="18">
        <v>46133.0</v>
      </c>
      <c r="U265" s="15" t="s">
        <v>104</v>
      </c>
      <c r="V265" s="13"/>
      <c r="W265" s="13"/>
      <c r="X265" s="13"/>
      <c r="Z265" s="13"/>
    </row>
    <row r="266" ht="21.75" customHeight="1">
      <c r="A266" s="27" t="str">
        <f>IF(B266="","","CAN-"&amp;TEXT(265,"000"))</f>
        <v>CAN-265</v>
      </c>
      <c r="B266" s="8" t="s">
        <v>1040</v>
      </c>
      <c r="C266" s="8" t="s">
        <v>147</v>
      </c>
      <c r="D266" s="9">
        <v>7.20860452E9</v>
      </c>
      <c r="E266" s="8" t="s">
        <v>47</v>
      </c>
      <c r="F266" s="8" t="s">
        <v>90</v>
      </c>
      <c r="G266" s="9" t="s">
        <v>586</v>
      </c>
      <c r="H266" s="24"/>
      <c r="I266" s="8" t="s">
        <v>39</v>
      </c>
      <c r="J266" s="8" t="s">
        <v>1041</v>
      </c>
      <c r="K266" s="38" t="s">
        <v>32</v>
      </c>
      <c r="L266" s="15" t="s">
        <v>207</v>
      </c>
      <c r="M266" s="15" t="s">
        <v>195</v>
      </c>
      <c r="N266" s="8" t="s">
        <v>87</v>
      </c>
      <c r="O266" s="10"/>
      <c r="P266" s="10"/>
      <c r="Q266" s="10"/>
      <c r="R266" s="11" t="s">
        <v>1042</v>
      </c>
      <c r="S266" s="20">
        <v>46134.0</v>
      </c>
      <c r="T266" s="20">
        <v>46135.0</v>
      </c>
      <c r="U266" s="8" t="s">
        <v>480</v>
      </c>
      <c r="V266" s="13"/>
      <c r="W266" s="13"/>
      <c r="X266" s="13"/>
      <c r="Z266" s="13"/>
    </row>
    <row r="267" ht="21.75" customHeight="1">
      <c r="A267" s="25" t="str">
        <f>IF(B267="","","CAN-"&amp;TEXT(266,"000"))</f>
        <v>CAN-266</v>
      </c>
      <c r="B267" s="15" t="s">
        <v>1043</v>
      </c>
      <c r="C267" s="8" t="s">
        <v>147</v>
      </c>
      <c r="D267" s="16">
        <v>9.820872671E9</v>
      </c>
      <c r="E267" s="15" t="s">
        <v>210</v>
      </c>
      <c r="F267" s="8" t="s">
        <v>408</v>
      </c>
      <c r="G267" s="16" t="s">
        <v>43</v>
      </c>
      <c r="H267" s="16" t="s">
        <v>201</v>
      </c>
      <c r="I267" s="15" t="s">
        <v>39</v>
      </c>
      <c r="J267" s="15" t="s">
        <v>837</v>
      </c>
      <c r="K267" s="38" t="s">
        <v>32</v>
      </c>
      <c r="L267" s="15" t="s">
        <v>134</v>
      </c>
      <c r="M267" s="15" t="s">
        <v>72</v>
      </c>
      <c r="N267" s="15" t="s">
        <v>48</v>
      </c>
      <c r="O267" s="17"/>
      <c r="P267" s="17"/>
      <c r="Q267" s="17"/>
      <c r="R267" s="22" t="s">
        <v>1044</v>
      </c>
      <c r="S267" s="18">
        <v>46134.0</v>
      </c>
      <c r="T267" s="19"/>
      <c r="U267" s="15" t="s">
        <v>85</v>
      </c>
      <c r="V267" s="13"/>
      <c r="W267" s="13"/>
      <c r="X267" s="13"/>
      <c r="Z267" s="13"/>
    </row>
    <row r="268" ht="21.75" customHeight="1">
      <c r="A268" s="27" t="str">
        <f>IF(B268="","","CAN-"&amp;TEXT(267,"000"))</f>
        <v>CAN-267</v>
      </c>
      <c r="B268" s="8" t="s">
        <v>1045</v>
      </c>
      <c r="C268" s="8" t="s">
        <v>147</v>
      </c>
      <c r="D268" s="9">
        <v>8.262060642E9</v>
      </c>
      <c r="E268" s="8" t="s">
        <v>42</v>
      </c>
      <c r="F268" s="8" t="s">
        <v>90</v>
      </c>
      <c r="G268" s="9" t="s">
        <v>402</v>
      </c>
      <c r="H268" s="9" t="s">
        <v>44</v>
      </c>
      <c r="I268" s="8" t="s">
        <v>39</v>
      </c>
      <c r="J268" s="8" t="s">
        <v>995</v>
      </c>
      <c r="K268" s="38" t="s">
        <v>32</v>
      </c>
      <c r="L268" s="15" t="s">
        <v>93</v>
      </c>
      <c r="M268" s="15" t="s">
        <v>72</v>
      </c>
      <c r="N268" s="8" t="s">
        <v>48</v>
      </c>
      <c r="O268" s="10"/>
      <c r="P268" s="10"/>
      <c r="Q268" s="10"/>
      <c r="R268" s="11" t="s">
        <v>1046</v>
      </c>
      <c r="S268" s="20">
        <v>46134.0</v>
      </c>
      <c r="T268" s="21"/>
      <c r="U268" s="8" t="s">
        <v>480</v>
      </c>
      <c r="V268" s="13"/>
      <c r="W268" s="13"/>
      <c r="X268" s="13"/>
      <c r="Z268" s="13"/>
    </row>
    <row r="269" ht="21.75" customHeight="1">
      <c r="A269" s="25" t="str">
        <f>IF(B269="","","CAN-"&amp;TEXT(268,"000"))</f>
        <v>CAN-268</v>
      </c>
      <c r="B269" s="15" t="s">
        <v>1047</v>
      </c>
      <c r="C269" s="8" t="s">
        <v>147</v>
      </c>
      <c r="D269" s="16">
        <v>8.591441588E9</v>
      </c>
      <c r="E269" s="15" t="s">
        <v>50</v>
      </c>
      <c r="F269" s="8" t="s">
        <v>90</v>
      </c>
      <c r="G269" s="16" t="s">
        <v>571</v>
      </c>
      <c r="H269" s="16" t="s">
        <v>597</v>
      </c>
      <c r="I269" s="15" t="s">
        <v>39</v>
      </c>
      <c r="J269" s="15" t="s">
        <v>753</v>
      </c>
      <c r="K269" s="38" t="s">
        <v>32</v>
      </c>
      <c r="L269" s="15" t="s">
        <v>134</v>
      </c>
      <c r="M269" s="15" t="s">
        <v>54</v>
      </c>
      <c r="N269" s="15" t="s">
        <v>48</v>
      </c>
      <c r="O269" s="17"/>
      <c r="P269" s="17"/>
      <c r="Q269" s="17"/>
      <c r="R269" s="22" t="s">
        <v>1048</v>
      </c>
      <c r="S269" s="18">
        <v>46134.0</v>
      </c>
      <c r="T269" s="18">
        <v>46139.0</v>
      </c>
      <c r="U269" s="15" t="s">
        <v>480</v>
      </c>
      <c r="V269" s="13"/>
      <c r="W269" s="13"/>
      <c r="X269" s="13"/>
      <c r="Z269" s="13"/>
    </row>
    <row r="270" ht="21.75" customHeight="1">
      <c r="A270" s="27" t="str">
        <f>IF(B270="","","CAN-"&amp;TEXT(269,"000"))</f>
        <v>CAN-269</v>
      </c>
      <c r="B270" s="8" t="s">
        <v>1049</v>
      </c>
      <c r="C270" s="8" t="s">
        <v>147</v>
      </c>
      <c r="D270" s="9">
        <v>7.085865577E9</v>
      </c>
      <c r="E270" s="8" t="s">
        <v>101</v>
      </c>
      <c r="F270" s="8" t="s">
        <v>90</v>
      </c>
      <c r="G270" s="9" t="s">
        <v>122</v>
      </c>
      <c r="H270" s="9" t="s">
        <v>44</v>
      </c>
      <c r="I270" s="8" t="s">
        <v>39</v>
      </c>
      <c r="J270" s="8" t="s">
        <v>262</v>
      </c>
      <c r="K270" s="38" t="s">
        <v>92</v>
      </c>
      <c r="L270" s="15" t="s">
        <v>207</v>
      </c>
      <c r="M270" s="15" t="s">
        <v>54</v>
      </c>
      <c r="N270" s="8" t="s">
        <v>45</v>
      </c>
      <c r="O270" s="10"/>
      <c r="P270" s="10"/>
      <c r="Q270" s="10"/>
      <c r="R270" s="11" t="s">
        <v>1050</v>
      </c>
      <c r="S270" s="20">
        <v>46135.0</v>
      </c>
      <c r="T270" s="21"/>
      <c r="U270" s="8" t="s">
        <v>85</v>
      </c>
      <c r="V270" s="13"/>
      <c r="W270" s="13"/>
      <c r="X270" s="13"/>
      <c r="Z270" s="13"/>
    </row>
    <row r="271" ht="21.75" customHeight="1">
      <c r="A271" s="25" t="str">
        <f>IF(B271="","","CAN-"&amp;TEXT(270,"000"))</f>
        <v>CAN-270</v>
      </c>
      <c r="B271" s="15" t="s">
        <v>1051</v>
      </c>
      <c r="C271" s="8" t="s">
        <v>147</v>
      </c>
      <c r="D271" s="16">
        <v>8.070446663E9</v>
      </c>
      <c r="E271" s="15" t="s">
        <v>115</v>
      </c>
      <c r="F271" s="8" t="s">
        <v>90</v>
      </c>
      <c r="G271" s="16" t="s">
        <v>169</v>
      </c>
      <c r="H271" s="16" t="s">
        <v>747</v>
      </c>
      <c r="I271" s="15" t="s">
        <v>39</v>
      </c>
      <c r="J271" s="15" t="s">
        <v>664</v>
      </c>
      <c r="K271" s="38" t="s">
        <v>92</v>
      </c>
      <c r="L271" s="15" t="s">
        <v>207</v>
      </c>
      <c r="M271" s="15" t="s">
        <v>72</v>
      </c>
      <c r="N271" s="15" t="s">
        <v>45</v>
      </c>
      <c r="O271" s="17"/>
      <c r="P271" s="17"/>
      <c r="Q271" s="17"/>
      <c r="R271" s="22" t="s">
        <v>1052</v>
      </c>
      <c r="S271" s="18">
        <v>46135.0</v>
      </c>
      <c r="T271" s="19"/>
      <c r="U271" s="15"/>
      <c r="V271" s="13"/>
      <c r="W271" s="13"/>
      <c r="X271" s="13"/>
      <c r="Z271" s="13"/>
    </row>
    <row r="272" ht="21.75" customHeight="1">
      <c r="A272" s="27" t="str">
        <f>IF(B272="","","CAN-"&amp;TEXT(271,"000"))</f>
        <v>CAN-271</v>
      </c>
      <c r="B272" s="8" t="s">
        <v>1053</v>
      </c>
      <c r="C272" s="8" t="s">
        <v>41</v>
      </c>
      <c r="D272" s="9">
        <v>9.067356031E9</v>
      </c>
      <c r="E272" s="8" t="s">
        <v>42</v>
      </c>
      <c r="F272" s="8" t="s">
        <v>90</v>
      </c>
      <c r="G272" s="9" t="s">
        <v>44</v>
      </c>
      <c r="H272" s="9" t="s">
        <v>501</v>
      </c>
      <c r="I272" s="8" t="s">
        <v>39</v>
      </c>
      <c r="J272" s="8" t="s">
        <v>995</v>
      </c>
      <c r="K272" s="38" t="s">
        <v>32</v>
      </c>
      <c r="L272" s="15" t="s">
        <v>33</v>
      </c>
      <c r="M272" s="15" t="s">
        <v>72</v>
      </c>
      <c r="N272" s="8" t="s">
        <v>45</v>
      </c>
      <c r="O272" s="10"/>
      <c r="P272" s="10"/>
      <c r="Q272" s="10"/>
      <c r="R272" s="11" t="s">
        <v>1054</v>
      </c>
      <c r="S272" s="18">
        <v>46135.0</v>
      </c>
      <c r="T272" s="21"/>
      <c r="U272" s="8" t="s">
        <v>125</v>
      </c>
      <c r="V272" s="13"/>
      <c r="W272" s="13"/>
      <c r="X272" s="13"/>
      <c r="Z272" s="13"/>
    </row>
    <row r="273" ht="21.75" customHeight="1">
      <c r="A273" s="25" t="str">
        <f>IF(B273="","","CAN-"&amp;TEXT(272,"000"))</f>
        <v>CAN-272</v>
      </c>
      <c r="B273" s="15" t="s">
        <v>1055</v>
      </c>
      <c r="C273" s="8" t="s">
        <v>41</v>
      </c>
      <c r="D273" s="16">
        <v>8.779492893E9</v>
      </c>
      <c r="E273" s="15" t="s">
        <v>166</v>
      </c>
      <c r="F273" s="8" t="s">
        <v>90</v>
      </c>
      <c r="G273" s="16" t="s">
        <v>1056</v>
      </c>
      <c r="H273" s="16" t="s">
        <v>132</v>
      </c>
      <c r="I273" s="15" t="s">
        <v>39</v>
      </c>
      <c r="J273" s="17"/>
      <c r="K273" s="38" t="s">
        <v>32</v>
      </c>
      <c r="L273" s="15" t="s">
        <v>33</v>
      </c>
      <c r="M273" s="15" t="s">
        <v>72</v>
      </c>
      <c r="N273" s="15" t="s">
        <v>45</v>
      </c>
      <c r="O273" s="17"/>
      <c r="P273" s="17"/>
      <c r="Q273" s="17"/>
      <c r="R273" s="22" t="s">
        <v>1057</v>
      </c>
      <c r="S273" s="18">
        <v>46135.0</v>
      </c>
      <c r="T273" s="19"/>
      <c r="U273" s="15" t="s">
        <v>125</v>
      </c>
      <c r="V273" s="13"/>
      <c r="W273" s="13"/>
      <c r="X273" s="13"/>
      <c r="Z273" s="13"/>
    </row>
    <row r="274" ht="21.75" customHeight="1">
      <c r="A274" s="27" t="str">
        <f>IF(B274="","","CAN-"&amp;TEXT(273,"000"))</f>
        <v>CAN-273</v>
      </c>
      <c r="B274" s="8" t="s">
        <v>1058</v>
      </c>
      <c r="C274" s="8" t="s">
        <v>41</v>
      </c>
      <c r="D274" s="9">
        <v>9.930067544E9</v>
      </c>
      <c r="E274" s="8" t="s">
        <v>105</v>
      </c>
      <c r="F274" s="8" t="s">
        <v>90</v>
      </c>
      <c r="G274" s="9" t="s">
        <v>635</v>
      </c>
      <c r="H274" s="9" t="s">
        <v>468</v>
      </c>
      <c r="I274" s="8" t="s">
        <v>39</v>
      </c>
      <c r="J274" s="8" t="s">
        <v>558</v>
      </c>
      <c r="K274" s="38" t="s">
        <v>32</v>
      </c>
      <c r="L274" s="15" t="s">
        <v>207</v>
      </c>
      <c r="M274" s="15" t="s">
        <v>72</v>
      </c>
      <c r="N274" s="8" t="s">
        <v>45</v>
      </c>
      <c r="O274" s="10"/>
      <c r="P274" s="10"/>
      <c r="Q274" s="10"/>
      <c r="R274" s="11" t="s">
        <v>1059</v>
      </c>
      <c r="S274" s="18">
        <v>46135.0</v>
      </c>
      <c r="T274" s="21"/>
      <c r="U274" s="8" t="s">
        <v>171</v>
      </c>
      <c r="V274" s="13"/>
      <c r="W274" s="13"/>
      <c r="X274" s="13"/>
      <c r="Z274" s="13"/>
    </row>
    <row r="275" ht="21.75" customHeight="1">
      <c r="A275" s="25" t="str">
        <f>IF(B275="","","CAN-"&amp;TEXT(274,"000"))</f>
        <v>CAN-274</v>
      </c>
      <c r="B275" s="15" t="s">
        <v>1060</v>
      </c>
      <c r="C275" s="8" t="s">
        <v>41</v>
      </c>
      <c r="D275" s="16">
        <v>7.710875108E9</v>
      </c>
      <c r="E275" s="15" t="s">
        <v>370</v>
      </c>
      <c r="F275" s="8" t="s">
        <v>90</v>
      </c>
      <c r="G275" s="16" t="s">
        <v>132</v>
      </c>
      <c r="H275" s="16" t="s">
        <v>133</v>
      </c>
      <c r="I275" s="15" t="s">
        <v>118</v>
      </c>
      <c r="J275" s="15"/>
      <c r="K275" s="38" t="s">
        <v>32</v>
      </c>
      <c r="L275" s="15" t="s">
        <v>220</v>
      </c>
      <c r="M275" s="15" t="s">
        <v>72</v>
      </c>
      <c r="N275" s="15" t="s">
        <v>45</v>
      </c>
      <c r="O275" s="17"/>
      <c r="P275" s="17"/>
      <c r="Q275" s="17"/>
      <c r="R275" s="22" t="s">
        <v>1061</v>
      </c>
      <c r="S275" s="18">
        <v>46135.0</v>
      </c>
      <c r="T275" s="19"/>
      <c r="U275" s="15" t="s">
        <v>85</v>
      </c>
      <c r="V275" s="13"/>
      <c r="W275" s="13"/>
      <c r="X275" s="13"/>
      <c r="Z275" s="13"/>
    </row>
    <row r="276" ht="21.75" customHeight="1">
      <c r="A276" s="27" t="str">
        <f>IF(B276="","","CAN-"&amp;TEXT(275,"000"))</f>
        <v>CAN-275</v>
      </c>
      <c r="B276" s="8" t="s">
        <v>1062</v>
      </c>
      <c r="C276" s="8" t="s">
        <v>41</v>
      </c>
      <c r="D276" s="9">
        <v>8.984189319E9</v>
      </c>
      <c r="E276" s="8" t="s">
        <v>42</v>
      </c>
      <c r="F276" s="8" t="s">
        <v>90</v>
      </c>
      <c r="G276" s="9" t="s">
        <v>44</v>
      </c>
      <c r="H276" s="9" t="s">
        <v>102</v>
      </c>
      <c r="I276" s="8" t="s">
        <v>1063</v>
      </c>
      <c r="J276" s="10"/>
      <c r="K276" s="38" t="s">
        <v>32</v>
      </c>
      <c r="L276" s="15" t="s">
        <v>61</v>
      </c>
      <c r="M276" s="15" t="s">
        <v>72</v>
      </c>
      <c r="N276" s="8" t="s">
        <v>45</v>
      </c>
      <c r="O276" s="10"/>
      <c r="P276" s="10"/>
      <c r="Q276" s="10"/>
      <c r="R276" s="11" t="s">
        <v>1064</v>
      </c>
      <c r="S276" s="18">
        <v>46135.0</v>
      </c>
      <c r="T276" s="21"/>
      <c r="U276" s="8" t="s">
        <v>125</v>
      </c>
      <c r="V276" s="13"/>
      <c r="W276" s="13"/>
      <c r="X276" s="13"/>
      <c r="Z276" s="13"/>
    </row>
    <row r="277" ht="21.75" customHeight="1">
      <c r="A277" s="25" t="str">
        <f>IF(B277="","","CAN-"&amp;TEXT(276,"000"))</f>
        <v>CAN-276</v>
      </c>
      <c r="B277" s="15" t="s">
        <v>1065</v>
      </c>
      <c r="C277" s="8" t="s">
        <v>41</v>
      </c>
      <c r="D277" s="16">
        <v>9.76988376E9</v>
      </c>
      <c r="E277" s="15" t="s">
        <v>42</v>
      </c>
      <c r="F277" s="8" t="s">
        <v>90</v>
      </c>
      <c r="G277" s="16" t="s">
        <v>201</v>
      </c>
      <c r="H277" s="16" t="s">
        <v>102</v>
      </c>
      <c r="I277" s="15" t="s">
        <v>39</v>
      </c>
      <c r="J277" s="15" t="s">
        <v>462</v>
      </c>
      <c r="K277" s="38" t="s">
        <v>92</v>
      </c>
      <c r="L277" s="15" t="s">
        <v>220</v>
      </c>
      <c r="M277" s="15" t="s">
        <v>72</v>
      </c>
      <c r="N277" s="15" t="s">
        <v>45</v>
      </c>
      <c r="O277" s="17"/>
      <c r="P277" s="17"/>
      <c r="Q277" s="17"/>
      <c r="R277" s="22" t="s">
        <v>1066</v>
      </c>
      <c r="S277" s="18">
        <v>46135.0</v>
      </c>
      <c r="T277" s="19"/>
      <c r="U277" s="15" t="s">
        <v>560</v>
      </c>
      <c r="V277" s="13"/>
      <c r="W277" s="13"/>
      <c r="X277" s="13"/>
      <c r="Z277" s="13"/>
    </row>
    <row r="278" ht="21.75" customHeight="1">
      <c r="A278" s="27" t="str">
        <f>IF(B278="","","CAN-"&amp;TEXT(277,"000"))</f>
        <v>CAN-277</v>
      </c>
      <c r="B278" s="8" t="s">
        <v>1067</v>
      </c>
      <c r="C278" s="8" t="s">
        <v>147</v>
      </c>
      <c r="D278" s="9">
        <v>8.104725782E9</v>
      </c>
      <c r="E278" s="8" t="s">
        <v>42</v>
      </c>
      <c r="F278" s="8" t="s">
        <v>90</v>
      </c>
      <c r="G278" s="9" t="s">
        <v>44</v>
      </c>
      <c r="H278" s="9" t="s">
        <v>169</v>
      </c>
      <c r="I278" s="8" t="s">
        <v>39</v>
      </c>
      <c r="J278" s="10"/>
      <c r="K278" s="38" t="s">
        <v>32</v>
      </c>
      <c r="L278" s="15" t="s">
        <v>93</v>
      </c>
      <c r="M278" s="15" t="s">
        <v>72</v>
      </c>
      <c r="N278" s="8" t="s">
        <v>35</v>
      </c>
      <c r="O278" s="10"/>
      <c r="P278" s="10"/>
      <c r="Q278" s="10"/>
      <c r="R278" s="11" t="s">
        <v>1068</v>
      </c>
      <c r="S278" s="20">
        <v>46136.0</v>
      </c>
      <c r="T278" s="21"/>
      <c r="U278" s="10"/>
      <c r="V278" s="13"/>
      <c r="W278" s="13"/>
      <c r="X278" s="13"/>
      <c r="Z278" s="13"/>
    </row>
    <row r="279" ht="21.75" customHeight="1">
      <c r="A279" s="25" t="str">
        <f>IF(B279="","","CAN-"&amp;TEXT(278,"000"))</f>
        <v>CAN-278</v>
      </c>
      <c r="B279" s="15" t="s">
        <v>1069</v>
      </c>
      <c r="C279" s="8" t="s">
        <v>147</v>
      </c>
      <c r="D279" s="16">
        <v>9.004826528E9</v>
      </c>
      <c r="E279" s="15" t="s">
        <v>79</v>
      </c>
      <c r="F279" s="8" t="s">
        <v>90</v>
      </c>
      <c r="G279" s="16" t="s">
        <v>343</v>
      </c>
      <c r="H279" s="16" t="s">
        <v>468</v>
      </c>
      <c r="I279" s="15" t="s">
        <v>39</v>
      </c>
      <c r="J279" s="17"/>
      <c r="K279" s="38" t="s">
        <v>32</v>
      </c>
      <c r="L279" s="15" t="s">
        <v>61</v>
      </c>
      <c r="M279" s="15" t="s">
        <v>72</v>
      </c>
      <c r="N279" s="15" t="s">
        <v>31</v>
      </c>
      <c r="O279" s="17"/>
      <c r="P279" s="17"/>
      <c r="Q279" s="17"/>
      <c r="R279" s="22" t="s">
        <v>1070</v>
      </c>
      <c r="S279" s="18">
        <v>46136.0</v>
      </c>
      <c r="T279" s="18">
        <v>46141.0</v>
      </c>
      <c r="U279" s="15" t="s">
        <v>1009</v>
      </c>
      <c r="V279" s="13"/>
      <c r="W279" s="13"/>
      <c r="X279" s="13"/>
      <c r="Z279" s="13"/>
    </row>
    <row r="280" ht="21.75" customHeight="1">
      <c r="A280" s="27" t="str">
        <f>IF(B280="","","CAN-"&amp;TEXT(279,"000"))</f>
        <v>CAN-279</v>
      </c>
      <c r="B280" s="8" t="s">
        <v>1071</v>
      </c>
      <c r="C280" s="8" t="s">
        <v>41</v>
      </c>
      <c r="D280" s="9">
        <v>7.304321931E9</v>
      </c>
      <c r="E280" s="8" t="s">
        <v>553</v>
      </c>
      <c r="F280" s="8" t="s">
        <v>90</v>
      </c>
      <c r="G280" s="24"/>
      <c r="H280" s="24"/>
      <c r="I280" s="8" t="s">
        <v>39</v>
      </c>
      <c r="J280" s="8" t="s">
        <v>185</v>
      </c>
      <c r="K280" s="38" t="s">
        <v>32</v>
      </c>
      <c r="L280" s="15" t="s">
        <v>220</v>
      </c>
      <c r="M280" s="15" t="s">
        <v>72</v>
      </c>
      <c r="N280" s="8" t="s">
        <v>31</v>
      </c>
      <c r="O280" s="10"/>
      <c r="P280" s="10"/>
      <c r="Q280" s="10"/>
      <c r="R280" s="11" t="s">
        <v>1072</v>
      </c>
      <c r="S280" s="18">
        <v>46136.0</v>
      </c>
      <c r="T280" s="20">
        <v>46137.0</v>
      </c>
      <c r="U280" s="8" t="s">
        <v>125</v>
      </c>
      <c r="V280" s="13"/>
      <c r="W280" s="13"/>
      <c r="X280" s="13"/>
      <c r="Z280" s="13"/>
    </row>
    <row r="281" ht="21.75" customHeight="1">
      <c r="A281" s="25" t="str">
        <f>IF(B281="","","CAN-"&amp;TEXT(280,"000"))</f>
        <v>CAN-280</v>
      </c>
      <c r="B281" s="15" t="s">
        <v>1073</v>
      </c>
      <c r="C281" s="8" t="s">
        <v>41</v>
      </c>
      <c r="D281" s="16">
        <v>9.76940996E9</v>
      </c>
      <c r="E281" s="15" t="s">
        <v>38</v>
      </c>
      <c r="F281" s="8" t="s">
        <v>90</v>
      </c>
      <c r="G281" s="23"/>
      <c r="H281" s="23"/>
      <c r="I281" s="15" t="s">
        <v>39</v>
      </c>
      <c r="J281" s="15" t="s">
        <v>664</v>
      </c>
      <c r="K281" s="38" t="s">
        <v>32</v>
      </c>
      <c r="L281" s="15" t="s">
        <v>93</v>
      </c>
      <c r="M281" s="15" t="s">
        <v>72</v>
      </c>
      <c r="N281" s="15" t="s">
        <v>45</v>
      </c>
      <c r="O281" s="17"/>
      <c r="P281" s="17"/>
      <c r="Q281" s="17"/>
      <c r="R281" s="22" t="s">
        <v>1074</v>
      </c>
      <c r="S281" s="18">
        <v>46136.0</v>
      </c>
      <c r="T281" s="19"/>
      <c r="U281" s="17"/>
      <c r="V281" s="13"/>
      <c r="W281" s="13"/>
      <c r="X281" s="13"/>
      <c r="Z281" s="13"/>
    </row>
    <row r="282" ht="21.75" customHeight="1">
      <c r="A282" s="27" t="str">
        <f>IF(B282="","","CAN-"&amp;TEXT(281,"000"))</f>
        <v>CAN-281</v>
      </c>
      <c r="B282" s="8" t="s">
        <v>1075</v>
      </c>
      <c r="C282" s="8" t="s">
        <v>41</v>
      </c>
      <c r="D282" s="9">
        <v>9.167784788E9</v>
      </c>
      <c r="E282" s="8" t="s">
        <v>210</v>
      </c>
      <c r="F282" s="8" t="s">
        <v>108</v>
      </c>
      <c r="G282" s="9" t="s">
        <v>168</v>
      </c>
      <c r="H282" s="9" t="s">
        <v>501</v>
      </c>
      <c r="I282" s="8" t="s">
        <v>39</v>
      </c>
      <c r="J282" s="8" t="s">
        <v>462</v>
      </c>
      <c r="K282" s="38" t="s">
        <v>92</v>
      </c>
      <c r="L282" s="15" t="s">
        <v>220</v>
      </c>
      <c r="M282" s="15" t="s">
        <v>72</v>
      </c>
      <c r="N282" s="8" t="s">
        <v>45</v>
      </c>
      <c r="O282" s="10"/>
      <c r="P282" s="10"/>
      <c r="Q282" s="10"/>
      <c r="R282" s="22" t="s">
        <v>1076</v>
      </c>
      <c r="S282" s="18">
        <v>46139.0</v>
      </c>
      <c r="T282" s="21"/>
      <c r="U282" s="10"/>
      <c r="V282" s="13"/>
      <c r="W282" s="13"/>
      <c r="X282" s="13"/>
      <c r="Z282" s="13"/>
    </row>
    <row r="283" ht="21.75" customHeight="1">
      <c r="A283" s="25" t="str">
        <f>IF(B283="","","CAN-"&amp;TEXT(282,"000"))</f>
        <v>CAN-282</v>
      </c>
      <c r="B283" s="15" t="s">
        <v>1077</v>
      </c>
      <c r="C283" s="8" t="s">
        <v>41</v>
      </c>
      <c r="D283" s="16">
        <v>7.977625265E9</v>
      </c>
      <c r="E283" s="15" t="s">
        <v>223</v>
      </c>
      <c r="F283" s="8" t="s">
        <v>108</v>
      </c>
      <c r="G283" s="16" t="s">
        <v>586</v>
      </c>
      <c r="H283" s="16" t="s">
        <v>586</v>
      </c>
      <c r="I283" s="15" t="s">
        <v>39</v>
      </c>
      <c r="J283" s="15" t="s">
        <v>1078</v>
      </c>
      <c r="K283" s="38" t="s">
        <v>92</v>
      </c>
      <c r="L283" s="15" t="s">
        <v>220</v>
      </c>
      <c r="M283" s="15" t="s">
        <v>195</v>
      </c>
      <c r="N283" s="15" t="s">
        <v>45</v>
      </c>
      <c r="O283" s="17"/>
      <c r="P283" s="17"/>
      <c r="Q283" s="17"/>
      <c r="R283" s="22" t="s">
        <v>1079</v>
      </c>
      <c r="S283" s="18">
        <v>46139.0</v>
      </c>
      <c r="T283" s="19"/>
      <c r="U283" s="15" t="s">
        <v>295</v>
      </c>
      <c r="V283" s="13"/>
      <c r="W283" s="13"/>
      <c r="X283" s="13"/>
      <c r="Z283" s="13"/>
    </row>
    <row r="284" ht="21.75" customHeight="1">
      <c r="A284" s="27" t="str">
        <f>IF(B284="","","CAN-"&amp;TEXT(283,"000"))</f>
        <v>CAN-283</v>
      </c>
      <c r="B284" s="8" t="s">
        <v>1080</v>
      </c>
      <c r="C284" s="8" t="s">
        <v>41</v>
      </c>
      <c r="D284" s="9">
        <v>8.017381105E9</v>
      </c>
      <c r="E284" s="8" t="s">
        <v>210</v>
      </c>
      <c r="F284" s="8" t="s">
        <v>108</v>
      </c>
      <c r="G284" s="9" t="s">
        <v>44</v>
      </c>
      <c r="H284" s="9" t="s">
        <v>102</v>
      </c>
      <c r="I284" s="8" t="s">
        <v>1081</v>
      </c>
      <c r="J284" s="10"/>
      <c r="K284" s="38" t="s">
        <v>92</v>
      </c>
      <c r="L284" s="15" t="s">
        <v>220</v>
      </c>
      <c r="M284" s="15" t="s">
        <v>72</v>
      </c>
      <c r="N284" s="15" t="s">
        <v>45</v>
      </c>
      <c r="O284" s="10"/>
      <c r="P284" s="10"/>
      <c r="Q284" s="10"/>
      <c r="R284" s="11" t="s">
        <v>1082</v>
      </c>
      <c r="S284" s="18">
        <v>46139.0</v>
      </c>
      <c r="T284" s="21"/>
      <c r="U284" s="10"/>
      <c r="V284" s="13"/>
      <c r="W284" s="13"/>
      <c r="X284" s="13"/>
      <c r="Z284" s="13"/>
    </row>
    <row r="285" ht="21.75" customHeight="1">
      <c r="A285" s="25" t="str">
        <f>IF(B285="","","CAN-"&amp;TEXT(284,"000"))</f>
        <v>CAN-284</v>
      </c>
      <c r="B285" s="15" t="s">
        <v>1083</v>
      </c>
      <c r="C285" s="8" t="s">
        <v>41</v>
      </c>
      <c r="D285" s="16">
        <v>8.850376305E9</v>
      </c>
      <c r="E285" s="15" t="s">
        <v>210</v>
      </c>
      <c r="F285" s="8" t="s">
        <v>108</v>
      </c>
      <c r="G285" s="16" t="s">
        <v>121</v>
      </c>
      <c r="H285" s="16" t="s">
        <v>402</v>
      </c>
      <c r="I285" s="15" t="s">
        <v>39</v>
      </c>
      <c r="J285" s="15" t="s">
        <v>1084</v>
      </c>
      <c r="K285" s="38" t="s">
        <v>32</v>
      </c>
      <c r="L285" s="15" t="s">
        <v>207</v>
      </c>
      <c r="M285" s="15" t="s">
        <v>72</v>
      </c>
      <c r="N285" s="15" t="s">
        <v>45</v>
      </c>
      <c r="O285" s="17"/>
      <c r="P285" s="17"/>
      <c r="Q285" s="17"/>
      <c r="R285" s="22" t="s">
        <v>1085</v>
      </c>
      <c r="S285" s="18">
        <v>46139.0</v>
      </c>
      <c r="T285" s="19"/>
      <c r="U285" s="15" t="s">
        <v>560</v>
      </c>
      <c r="V285" s="13"/>
      <c r="W285" s="13"/>
      <c r="X285" s="13"/>
      <c r="Z285" s="13"/>
    </row>
    <row r="286" ht="21.75" customHeight="1">
      <c r="A286" s="27" t="str">
        <f>IF(B286="","","CAN-"&amp;TEXT(285,"000"))</f>
        <v>CAN-285</v>
      </c>
      <c r="B286" s="8" t="s">
        <v>1086</v>
      </c>
      <c r="C286" s="8" t="s">
        <v>41</v>
      </c>
      <c r="D286" s="16">
        <v>7.016982838E9</v>
      </c>
      <c r="E286" s="8" t="s">
        <v>210</v>
      </c>
      <c r="F286" s="8" t="s">
        <v>108</v>
      </c>
      <c r="G286" s="24"/>
      <c r="H286" s="9" t="s">
        <v>44</v>
      </c>
      <c r="I286" s="8" t="s">
        <v>31</v>
      </c>
      <c r="J286" s="10"/>
      <c r="K286" s="38" t="s">
        <v>32</v>
      </c>
      <c r="L286" s="8" t="s">
        <v>1087</v>
      </c>
      <c r="M286" s="15" t="s">
        <v>72</v>
      </c>
      <c r="N286" s="8" t="s">
        <v>45</v>
      </c>
      <c r="O286" s="10"/>
      <c r="P286" s="10"/>
      <c r="Q286" s="10"/>
      <c r="R286" s="11" t="s">
        <v>1088</v>
      </c>
      <c r="S286" s="18">
        <v>46139.0</v>
      </c>
      <c r="T286" s="21"/>
      <c r="U286" s="8" t="s">
        <v>125</v>
      </c>
      <c r="V286" s="13"/>
      <c r="W286" s="13"/>
      <c r="X286" s="13"/>
      <c r="Z286" s="13"/>
    </row>
    <row r="287" ht="21.75" customHeight="1">
      <c r="A287" s="25" t="str">
        <f>IF(B287="","","CAN-"&amp;TEXT(286,"000"))</f>
        <v>CAN-286</v>
      </c>
      <c r="B287" s="15" t="s">
        <v>1089</v>
      </c>
      <c r="C287" s="8" t="s">
        <v>41</v>
      </c>
      <c r="D287" s="16">
        <v>8.055567581E9</v>
      </c>
      <c r="E287" s="15" t="s">
        <v>50</v>
      </c>
      <c r="F287" s="8" t="s">
        <v>90</v>
      </c>
      <c r="G287" s="16" t="s">
        <v>121</v>
      </c>
      <c r="H287" s="16" t="s">
        <v>122</v>
      </c>
      <c r="I287" s="15" t="s">
        <v>39</v>
      </c>
      <c r="J287" s="15" t="s">
        <v>388</v>
      </c>
      <c r="K287" s="38" t="s">
        <v>32</v>
      </c>
      <c r="L287" s="15" t="s">
        <v>93</v>
      </c>
      <c r="M287" s="15" t="s">
        <v>72</v>
      </c>
      <c r="N287" s="8" t="s">
        <v>45</v>
      </c>
      <c r="O287" s="17"/>
      <c r="P287" s="17"/>
      <c r="Q287" s="17"/>
      <c r="R287" s="22" t="s">
        <v>1090</v>
      </c>
      <c r="S287" s="18">
        <v>46139.0</v>
      </c>
      <c r="T287" s="18">
        <v>46140.0</v>
      </c>
      <c r="U287" s="15" t="s">
        <v>125</v>
      </c>
      <c r="V287" s="13"/>
      <c r="W287" s="13"/>
      <c r="X287" s="13"/>
      <c r="Z287" s="13"/>
    </row>
    <row r="288" ht="21.75" customHeight="1">
      <c r="A288" s="27" t="str">
        <f>IF(B288="","","CAN-"&amp;TEXT(287,"000"))</f>
        <v>CAN-287</v>
      </c>
      <c r="B288" s="8" t="s">
        <v>1091</v>
      </c>
      <c r="C288" s="8" t="s">
        <v>89</v>
      </c>
      <c r="D288" s="9">
        <v>7.900037579E9</v>
      </c>
      <c r="E288" s="8" t="s">
        <v>205</v>
      </c>
      <c r="F288" s="8" t="s">
        <v>90</v>
      </c>
      <c r="G288" s="24"/>
      <c r="H288" s="9" t="s">
        <v>360</v>
      </c>
      <c r="I288" s="8" t="s">
        <v>118</v>
      </c>
      <c r="J288" s="10"/>
      <c r="K288" s="9" t="s">
        <v>32</v>
      </c>
      <c r="L288" s="8" t="s">
        <v>134</v>
      </c>
      <c r="M288" s="8" t="s">
        <v>72</v>
      </c>
      <c r="N288" s="8" t="s">
        <v>48</v>
      </c>
      <c r="O288" s="10"/>
      <c r="P288" s="10"/>
      <c r="Q288" s="10"/>
      <c r="R288" s="11" t="s">
        <v>1092</v>
      </c>
      <c r="S288" s="20">
        <v>46139.0</v>
      </c>
      <c r="T288" s="21"/>
      <c r="U288" s="8" t="s">
        <v>182</v>
      </c>
      <c r="V288" s="13"/>
      <c r="W288" s="13"/>
      <c r="X288" s="13"/>
      <c r="Z288" s="13"/>
    </row>
    <row r="289" ht="21.75" customHeight="1">
      <c r="A289" s="25" t="str">
        <f>IF(B289="","","CAN-"&amp;TEXT(288,"000"))</f>
        <v>CAN-288</v>
      </c>
      <c r="B289" s="15" t="s">
        <v>1093</v>
      </c>
      <c r="C289" s="8" t="s">
        <v>89</v>
      </c>
      <c r="D289" s="16">
        <v>8.777388904E9</v>
      </c>
      <c r="E289" s="15" t="s">
        <v>38</v>
      </c>
      <c r="F289" s="8" t="s">
        <v>90</v>
      </c>
      <c r="G289" s="16" t="s">
        <v>168</v>
      </c>
      <c r="H289" s="16" t="s">
        <v>747</v>
      </c>
      <c r="I289" s="15" t="s">
        <v>39</v>
      </c>
      <c r="J289" s="17"/>
      <c r="K289" s="38" t="s">
        <v>32</v>
      </c>
      <c r="L289" s="15" t="s">
        <v>134</v>
      </c>
      <c r="M289" s="15" t="s">
        <v>72</v>
      </c>
      <c r="N289" s="15" t="s">
        <v>45</v>
      </c>
      <c r="O289" s="17"/>
      <c r="P289" s="17"/>
      <c r="Q289" s="17"/>
      <c r="R289" s="22" t="s">
        <v>1094</v>
      </c>
      <c r="S289" s="18">
        <v>46139.0</v>
      </c>
      <c r="T289" s="18">
        <v>46139.0</v>
      </c>
      <c r="U289" s="15" t="s">
        <v>1095</v>
      </c>
      <c r="V289" s="13"/>
      <c r="W289" s="13"/>
      <c r="X289" s="13"/>
      <c r="Z289" s="13"/>
    </row>
    <row r="290" ht="21.75" customHeight="1">
      <c r="A290" s="27" t="str">
        <f>IF(B290="","","CAN-"&amp;TEXT(289,"000"))</f>
        <v>CAN-289</v>
      </c>
      <c r="B290" s="8" t="s">
        <v>1096</v>
      </c>
      <c r="C290" s="8" t="s">
        <v>89</v>
      </c>
      <c r="D290" s="9">
        <v>9.772760802E9</v>
      </c>
      <c r="E290" s="8" t="s">
        <v>465</v>
      </c>
      <c r="F290" s="8" t="s">
        <v>108</v>
      </c>
      <c r="G290" s="9" t="s">
        <v>501</v>
      </c>
      <c r="H290" s="9" t="s">
        <v>710</v>
      </c>
      <c r="I290" s="8" t="s">
        <v>118</v>
      </c>
      <c r="J290" s="8" t="s">
        <v>1097</v>
      </c>
      <c r="K290" s="9" t="s">
        <v>32</v>
      </c>
      <c r="L290" s="8" t="s">
        <v>134</v>
      </c>
      <c r="M290" s="8" t="s">
        <v>72</v>
      </c>
      <c r="N290" s="8" t="s">
        <v>45</v>
      </c>
      <c r="O290" s="10"/>
      <c r="P290" s="10"/>
      <c r="Q290" s="10"/>
      <c r="R290" s="11" t="s">
        <v>1098</v>
      </c>
      <c r="S290" s="18">
        <v>46139.0</v>
      </c>
      <c r="T290" s="21"/>
      <c r="U290" s="8" t="s">
        <v>182</v>
      </c>
      <c r="V290" s="13"/>
      <c r="W290" s="13"/>
      <c r="X290" s="13"/>
      <c r="Z290" s="13"/>
    </row>
    <row r="291" ht="21.75" customHeight="1">
      <c r="A291" s="25" t="str">
        <f>IF(B291="","","CAN-"&amp;TEXT(290,"000"))</f>
        <v>CAN-290</v>
      </c>
      <c r="B291" s="15" t="s">
        <v>1099</v>
      </c>
      <c r="C291" s="8" t="s">
        <v>41</v>
      </c>
      <c r="D291" s="16">
        <v>9.326368967E9</v>
      </c>
      <c r="E291" s="15" t="s">
        <v>210</v>
      </c>
      <c r="F291" s="8" t="s">
        <v>108</v>
      </c>
      <c r="G291" s="16" t="s">
        <v>453</v>
      </c>
      <c r="H291" s="16" t="s">
        <v>1100</v>
      </c>
      <c r="I291" s="15" t="s">
        <v>1081</v>
      </c>
      <c r="J291" s="17"/>
      <c r="K291" s="38" t="s">
        <v>32</v>
      </c>
      <c r="L291" s="15" t="s">
        <v>220</v>
      </c>
      <c r="M291" s="15" t="s">
        <v>72</v>
      </c>
      <c r="N291" s="15" t="s">
        <v>45</v>
      </c>
      <c r="O291" s="17"/>
      <c r="P291" s="17"/>
      <c r="Q291" s="17"/>
      <c r="R291" s="22" t="s">
        <v>1101</v>
      </c>
      <c r="S291" s="18">
        <v>46139.0</v>
      </c>
      <c r="T291" s="19"/>
      <c r="U291" s="17"/>
      <c r="V291" s="13"/>
      <c r="W291" s="13"/>
      <c r="X291" s="13"/>
      <c r="Z291" s="13"/>
    </row>
    <row r="292" ht="21.75" customHeight="1">
      <c r="A292" s="27" t="str">
        <f>IF(B292="","","CAN-"&amp;TEXT(291,"000"))</f>
        <v>CAN-291</v>
      </c>
      <c r="B292" s="8" t="s">
        <v>1102</v>
      </c>
      <c r="C292" s="8" t="s">
        <v>147</v>
      </c>
      <c r="D292" s="9">
        <v>8.789000477E9</v>
      </c>
      <c r="E292" s="8" t="s">
        <v>50</v>
      </c>
      <c r="F292" s="8" t="s">
        <v>90</v>
      </c>
      <c r="G292" s="9" t="s">
        <v>571</v>
      </c>
      <c r="H292" s="9" t="s">
        <v>121</v>
      </c>
      <c r="I292" s="8" t="s">
        <v>39</v>
      </c>
      <c r="J292" s="8" t="s">
        <v>426</v>
      </c>
      <c r="K292" s="38" t="s">
        <v>92</v>
      </c>
      <c r="L292" s="15" t="s">
        <v>61</v>
      </c>
      <c r="M292" s="15" t="s">
        <v>195</v>
      </c>
      <c r="N292" s="8" t="s">
        <v>45</v>
      </c>
      <c r="O292" s="10"/>
      <c r="P292" s="10"/>
      <c r="Q292" s="10"/>
      <c r="R292" s="11" t="s">
        <v>1103</v>
      </c>
      <c r="S292" s="20">
        <v>46139.0</v>
      </c>
      <c r="T292" s="20">
        <v>46144.0</v>
      </c>
      <c r="U292" s="8" t="s">
        <v>125</v>
      </c>
      <c r="V292" s="13"/>
      <c r="W292" s="13"/>
      <c r="X292" s="13"/>
      <c r="Z292" s="13"/>
    </row>
    <row r="293" ht="21.75" customHeight="1">
      <c r="A293" s="25" t="str">
        <f>IF(B293="","","CAN-"&amp;TEXT(292,"000"))</f>
        <v>CAN-292</v>
      </c>
      <c r="B293" s="15" t="s">
        <v>1104</v>
      </c>
      <c r="C293" s="8" t="s">
        <v>147</v>
      </c>
      <c r="D293" s="16">
        <v>9.930766537E9</v>
      </c>
      <c r="E293" s="15" t="s">
        <v>248</v>
      </c>
      <c r="F293" s="8" t="s">
        <v>425</v>
      </c>
      <c r="G293" s="16" t="s">
        <v>169</v>
      </c>
      <c r="H293" s="16" t="s">
        <v>501</v>
      </c>
      <c r="I293" s="15" t="s">
        <v>39</v>
      </c>
      <c r="J293" s="15" t="s">
        <v>1105</v>
      </c>
      <c r="K293" s="38" t="s">
        <v>92</v>
      </c>
      <c r="L293" s="15" t="s">
        <v>61</v>
      </c>
      <c r="M293" s="15" t="s">
        <v>34</v>
      </c>
      <c r="N293" s="15" t="s">
        <v>31</v>
      </c>
      <c r="O293" s="17"/>
      <c r="P293" s="17"/>
      <c r="Q293" s="17"/>
      <c r="R293" s="22" t="s">
        <v>1106</v>
      </c>
      <c r="S293" s="18">
        <v>46140.0</v>
      </c>
      <c r="T293" s="19"/>
      <c r="U293" s="15" t="s">
        <v>1009</v>
      </c>
      <c r="V293" s="13"/>
      <c r="W293" s="13"/>
      <c r="X293" s="13"/>
      <c r="Z293" s="13"/>
    </row>
    <row r="294" ht="21.75" customHeight="1">
      <c r="A294" s="27" t="str">
        <f>IF(B294="","","CAN-"&amp;TEXT(293,"000"))</f>
        <v>CAN-293</v>
      </c>
      <c r="B294" s="8" t="s">
        <v>1107</v>
      </c>
      <c r="C294" s="8" t="s">
        <v>41</v>
      </c>
      <c r="D294" s="9">
        <v>9.136295158E9</v>
      </c>
      <c r="E294" s="8" t="s">
        <v>120</v>
      </c>
      <c r="F294" s="8" t="s">
        <v>90</v>
      </c>
      <c r="G294" s="9" t="s">
        <v>1108</v>
      </c>
      <c r="H294" s="9" t="s">
        <v>452</v>
      </c>
      <c r="I294" s="8" t="s">
        <v>39</v>
      </c>
      <c r="J294" s="8" t="s">
        <v>995</v>
      </c>
      <c r="K294" s="38" t="s">
        <v>32</v>
      </c>
      <c r="L294" s="15" t="s">
        <v>53</v>
      </c>
      <c r="M294" s="15" t="s">
        <v>94</v>
      </c>
      <c r="N294" s="8" t="s">
        <v>45</v>
      </c>
      <c r="O294" s="10"/>
      <c r="P294" s="10"/>
      <c r="Q294" s="10"/>
      <c r="R294" s="11" t="s">
        <v>1109</v>
      </c>
      <c r="S294" s="18">
        <v>46140.0</v>
      </c>
      <c r="T294" s="20">
        <v>46142.0</v>
      </c>
      <c r="U294" s="8" t="s">
        <v>125</v>
      </c>
      <c r="V294" s="13"/>
      <c r="W294" s="13"/>
      <c r="X294" s="13"/>
      <c r="Z294" s="13"/>
    </row>
    <row r="295" ht="21.75" customHeight="1">
      <c r="A295" s="25" t="str">
        <f>IF(B295="","","CAN-"&amp;TEXT(294,"000"))</f>
        <v>CAN-294</v>
      </c>
      <c r="B295" s="15" t="s">
        <v>1110</v>
      </c>
      <c r="C295" s="8" t="s">
        <v>41</v>
      </c>
      <c r="D295" s="16">
        <v>8.739698996E9</v>
      </c>
      <c r="E295" s="15" t="s">
        <v>67</v>
      </c>
      <c r="F295" s="8" t="s">
        <v>108</v>
      </c>
      <c r="G295" s="16" t="s">
        <v>1111</v>
      </c>
      <c r="H295" s="23"/>
      <c r="I295" s="15" t="s">
        <v>39</v>
      </c>
      <c r="J295" s="15" t="s">
        <v>1112</v>
      </c>
      <c r="K295" s="38" t="s">
        <v>32</v>
      </c>
      <c r="L295" s="15" t="s">
        <v>53</v>
      </c>
      <c r="M295" s="15" t="s">
        <v>34</v>
      </c>
      <c r="N295" s="15" t="s">
        <v>45</v>
      </c>
      <c r="O295" s="17"/>
      <c r="P295" s="17"/>
      <c r="Q295" s="17"/>
      <c r="R295" s="22" t="s">
        <v>1113</v>
      </c>
      <c r="S295" s="18">
        <v>46140.0</v>
      </c>
      <c r="T295" s="19"/>
      <c r="U295" s="15" t="s">
        <v>1114</v>
      </c>
      <c r="V295" s="13"/>
      <c r="W295" s="13"/>
      <c r="X295" s="13"/>
      <c r="Z295" s="13"/>
    </row>
    <row r="296" ht="21.75" customHeight="1">
      <c r="A296" s="27" t="str">
        <f>IF(B296="","","CAN-"&amp;TEXT(295,"000"))</f>
        <v>CAN-295</v>
      </c>
      <c r="B296" s="8" t="s">
        <v>1115</v>
      </c>
      <c r="C296" s="8" t="s">
        <v>147</v>
      </c>
      <c r="D296" s="9">
        <v>7.710911702E9</v>
      </c>
      <c r="E296" s="8" t="s">
        <v>120</v>
      </c>
      <c r="F296" s="8" t="s">
        <v>90</v>
      </c>
      <c r="G296" s="9" t="s">
        <v>169</v>
      </c>
      <c r="H296" s="24"/>
      <c r="I296" s="8" t="s">
        <v>39</v>
      </c>
      <c r="J296" s="8" t="s">
        <v>702</v>
      </c>
      <c r="K296" s="38" t="s">
        <v>32</v>
      </c>
      <c r="L296" s="15" t="s">
        <v>61</v>
      </c>
      <c r="M296" s="15" t="s">
        <v>34</v>
      </c>
      <c r="N296" s="8" t="s">
        <v>75</v>
      </c>
      <c r="O296" s="10"/>
      <c r="P296" s="10"/>
      <c r="Q296" s="10"/>
      <c r="R296" s="11" t="s">
        <v>1116</v>
      </c>
      <c r="S296" s="18">
        <v>46140.0</v>
      </c>
      <c r="T296" s="20">
        <v>46141.0</v>
      </c>
      <c r="U296" s="8" t="s">
        <v>85</v>
      </c>
      <c r="V296" s="13"/>
      <c r="W296" s="13"/>
      <c r="X296" s="13"/>
      <c r="Z296" s="13"/>
    </row>
    <row r="297" ht="21.75" customHeight="1">
      <c r="A297" s="25"/>
      <c r="B297" s="15" t="s">
        <v>1117</v>
      </c>
      <c r="C297" s="8" t="s">
        <v>41</v>
      </c>
      <c r="D297" s="16">
        <v>8.070775191E9</v>
      </c>
      <c r="E297" s="15" t="s">
        <v>50</v>
      </c>
      <c r="F297" s="8" t="s">
        <v>90</v>
      </c>
      <c r="G297" s="16" t="s">
        <v>121</v>
      </c>
      <c r="H297" s="16" t="s">
        <v>122</v>
      </c>
      <c r="I297" s="15" t="s">
        <v>39</v>
      </c>
      <c r="J297" s="17"/>
      <c r="K297" s="38" t="s">
        <v>32</v>
      </c>
      <c r="L297" s="15" t="s">
        <v>33</v>
      </c>
      <c r="M297" s="15" t="s">
        <v>34</v>
      </c>
      <c r="N297" s="15" t="s">
        <v>35</v>
      </c>
      <c r="O297" s="17"/>
      <c r="P297" s="17"/>
      <c r="Q297" s="17"/>
      <c r="R297" s="22" t="s">
        <v>1118</v>
      </c>
      <c r="S297" s="18">
        <v>46140.0</v>
      </c>
      <c r="T297" s="19"/>
      <c r="U297" s="17"/>
      <c r="V297" s="13"/>
      <c r="W297" s="13"/>
      <c r="X297" s="13"/>
      <c r="Z297" s="13"/>
    </row>
    <row r="298" ht="21.75" customHeight="1">
      <c r="A298" s="27"/>
      <c r="B298" s="8" t="s">
        <v>1119</v>
      </c>
      <c r="C298" s="8" t="s">
        <v>41</v>
      </c>
      <c r="D298" s="9">
        <v>9.32601186E9</v>
      </c>
      <c r="E298" s="8" t="s">
        <v>519</v>
      </c>
      <c r="F298" s="8" t="s">
        <v>90</v>
      </c>
      <c r="G298" s="9" t="s">
        <v>737</v>
      </c>
      <c r="H298" s="9" t="s">
        <v>122</v>
      </c>
      <c r="I298" s="8" t="s">
        <v>39</v>
      </c>
      <c r="J298" s="8" t="s">
        <v>388</v>
      </c>
      <c r="K298" s="38" t="s">
        <v>32</v>
      </c>
      <c r="L298" s="15" t="s">
        <v>207</v>
      </c>
      <c r="M298" s="15" t="s">
        <v>34</v>
      </c>
      <c r="N298" s="8" t="s">
        <v>75</v>
      </c>
      <c r="O298" s="10"/>
      <c r="P298" s="10"/>
      <c r="Q298" s="10"/>
      <c r="R298" s="11" t="s">
        <v>1120</v>
      </c>
      <c r="S298" s="20">
        <v>46141.0</v>
      </c>
      <c r="T298" s="21"/>
      <c r="U298" s="8" t="s">
        <v>560</v>
      </c>
      <c r="V298" s="13"/>
      <c r="W298" s="13"/>
      <c r="X298" s="13"/>
      <c r="Z298" s="13"/>
    </row>
    <row r="299" ht="21.75" customHeight="1">
      <c r="A299" s="25" t="str">
        <f>IF(B299="","","CAN-"&amp;TEXT(298,"000"))</f>
        <v>CAN-298</v>
      </c>
      <c r="B299" s="15" t="s">
        <v>1121</v>
      </c>
      <c r="C299" s="8" t="s">
        <v>41</v>
      </c>
      <c r="D299" s="16">
        <v>9.321324326E9</v>
      </c>
      <c r="E299" s="15" t="s">
        <v>115</v>
      </c>
      <c r="F299" s="8" t="s">
        <v>90</v>
      </c>
      <c r="G299" s="16" t="s">
        <v>116</v>
      </c>
      <c r="H299" s="16" t="s">
        <v>102</v>
      </c>
      <c r="I299" s="15" t="s">
        <v>39</v>
      </c>
      <c r="J299" s="15" t="s">
        <v>444</v>
      </c>
      <c r="K299" s="38" t="s">
        <v>92</v>
      </c>
      <c r="L299" s="15" t="s">
        <v>207</v>
      </c>
      <c r="M299" s="15" t="s">
        <v>34</v>
      </c>
      <c r="N299" s="15" t="s">
        <v>75</v>
      </c>
      <c r="O299" s="17"/>
      <c r="P299" s="17"/>
      <c r="Q299" s="17"/>
      <c r="R299" s="22" t="s">
        <v>1122</v>
      </c>
      <c r="S299" s="20">
        <v>46141.0</v>
      </c>
      <c r="T299" s="19"/>
      <c r="U299" s="15" t="s">
        <v>560</v>
      </c>
      <c r="V299" s="13"/>
      <c r="W299" s="13"/>
      <c r="X299" s="13"/>
      <c r="Z299" s="13"/>
    </row>
    <row r="300" ht="21.75" customHeight="1">
      <c r="A300" s="27" t="str">
        <f>IF(B300="","","CAN-"&amp;TEXT(299,"000"))</f>
        <v>CAN-299</v>
      </c>
      <c r="B300" s="8" t="s">
        <v>1123</v>
      </c>
      <c r="C300" s="8" t="s">
        <v>41</v>
      </c>
      <c r="D300" s="9">
        <v>8.691923901E9</v>
      </c>
      <c r="E300" s="8" t="s">
        <v>210</v>
      </c>
      <c r="F300" s="8" t="s">
        <v>108</v>
      </c>
      <c r="G300" s="9" t="s">
        <v>778</v>
      </c>
      <c r="H300" s="9" t="s">
        <v>1124</v>
      </c>
      <c r="I300" s="8" t="s">
        <v>39</v>
      </c>
      <c r="J300" s="10"/>
      <c r="K300" s="38" t="s">
        <v>32</v>
      </c>
      <c r="L300" s="15" t="s">
        <v>61</v>
      </c>
      <c r="M300" s="15" t="s">
        <v>34</v>
      </c>
      <c r="N300" s="8" t="s">
        <v>45</v>
      </c>
      <c r="O300" s="10"/>
      <c r="P300" s="10"/>
      <c r="Q300" s="10"/>
      <c r="R300" s="11" t="s">
        <v>1125</v>
      </c>
      <c r="S300" s="20">
        <v>46141.0</v>
      </c>
      <c r="T300" s="21"/>
      <c r="U300" s="8" t="s">
        <v>125</v>
      </c>
      <c r="V300" s="13"/>
      <c r="W300" s="13"/>
      <c r="X300" s="13"/>
      <c r="Z300" s="13"/>
    </row>
    <row r="301" ht="21.75" customHeight="1">
      <c r="A301" s="25" t="str">
        <f>IF(B301="","","CAN-"&amp;TEXT(300,"000"))</f>
        <v>CAN-300</v>
      </c>
      <c r="B301" s="15" t="s">
        <v>1126</v>
      </c>
      <c r="C301" s="8" t="s">
        <v>147</v>
      </c>
      <c r="D301" s="16">
        <v>8.454806127E9</v>
      </c>
      <c r="E301" s="15" t="s">
        <v>525</v>
      </c>
      <c r="F301" s="8" t="s">
        <v>543</v>
      </c>
      <c r="G301" s="16" t="s">
        <v>133</v>
      </c>
      <c r="H301" s="16" t="s">
        <v>361</v>
      </c>
      <c r="I301" s="15" t="s">
        <v>39</v>
      </c>
      <c r="J301" s="15" t="s">
        <v>293</v>
      </c>
      <c r="K301" s="38" t="s">
        <v>32</v>
      </c>
      <c r="L301" s="15" t="s">
        <v>33</v>
      </c>
      <c r="M301" s="15" t="s">
        <v>34</v>
      </c>
      <c r="N301" s="15" t="s">
        <v>48</v>
      </c>
      <c r="O301" s="17"/>
      <c r="P301" s="17"/>
      <c r="Q301" s="17"/>
      <c r="R301" s="22" t="s">
        <v>1127</v>
      </c>
      <c r="S301" s="18">
        <v>46142.0</v>
      </c>
      <c r="T301" s="19"/>
      <c r="U301" s="15" t="s">
        <v>480</v>
      </c>
      <c r="V301" s="13"/>
      <c r="W301" s="13"/>
      <c r="X301" s="13"/>
      <c r="Z301" s="13"/>
    </row>
    <row r="302" ht="21.75" customHeight="1">
      <c r="A302" s="27" t="str">
        <f>IF(B302="","","CAN-"&amp;TEXT(301,"000"))</f>
        <v>CAN-301</v>
      </c>
      <c r="B302" s="8" t="s">
        <v>1128</v>
      </c>
      <c r="C302" s="8" t="s">
        <v>147</v>
      </c>
      <c r="D302" s="9">
        <v>9.664660102E9</v>
      </c>
      <c r="E302" s="8" t="s">
        <v>525</v>
      </c>
      <c r="F302" s="8" t="s">
        <v>408</v>
      </c>
      <c r="G302" s="9" t="s">
        <v>361</v>
      </c>
      <c r="H302" s="24"/>
      <c r="I302" s="8" t="s">
        <v>39</v>
      </c>
      <c r="J302" s="10"/>
      <c r="K302" s="38" t="s">
        <v>32</v>
      </c>
      <c r="L302" s="15" t="s">
        <v>33</v>
      </c>
      <c r="M302" s="15" t="s">
        <v>34</v>
      </c>
      <c r="N302" s="8" t="s">
        <v>35</v>
      </c>
      <c r="O302" s="10"/>
      <c r="P302" s="10"/>
      <c r="Q302" s="10"/>
      <c r="R302" s="11" t="s">
        <v>1129</v>
      </c>
      <c r="S302" s="20">
        <v>46142.0</v>
      </c>
      <c r="T302" s="21"/>
      <c r="U302" s="8" t="s">
        <v>85</v>
      </c>
      <c r="V302" s="13"/>
      <c r="W302" s="13"/>
      <c r="X302" s="13"/>
      <c r="Z302" s="13"/>
    </row>
    <row r="303" ht="21.75" customHeight="1">
      <c r="A303" s="25" t="str">
        <f>IF(B303="","","CAN-"&amp;TEXT(302,"000"))</f>
        <v>CAN-302</v>
      </c>
      <c r="B303" s="15" t="s">
        <v>1130</v>
      </c>
      <c r="C303" s="8" t="s">
        <v>41</v>
      </c>
      <c r="D303" s="16">
        <v>9.833214506E9</v>
      </c>
      <c r="E303" s="15" t="s">
        <v>38</v>
      </c>
      <c r="F303" s="8" t="s">
        <v>90</v>
      </c>
      <c r="G303" s="16" t="s">
        <v>132</v>
      </c>
      <c r="H303" s="16" t="s">
        <v>133</v>
      </c>
      <c r="I303" s="15" t="s">
        <v>39</v>
      </c>
      <c r="J303" s="15" t="s">
        <v>1131</v>
      </c>
      <c r="K303" s="38" t="s">
        <v>32</v>
      </c>
      <c r="L303" s="15" t="s">
        <v>33</v>
      </c>
      <c r="M303" s="15" t="s">
        <v>34</v>
      </c>
      <c r="N303" s="15" t="s">
        <v>45</v>
      </c>
      <c r="O303" s="17"/>
      <c r="P303" s="17"/>
      <c r="Q303" s="17"/>
      <c r="R303" s="22" t="s">
        <v>1132</v>
      </c>
      <c r="S303" s="20">
        <v>46142.0</v>
      </c>
      <c r="T303" s="19"/>
      <c r="U303" s="15" t="s">
        <v>246</v>
      </c>
      <c r="V303" s="13"/>
      <c r="W303" s="13"/>
      <c r="X303" s="13"/>
      <c r="Z303" s="13"/>
    </row>
    <row r="304" ht="21.75" customHeight="1">
      <c r="A304" s="27"/>
      <c r="B304" s="8" t="s">
        <v>1133</v>
      </c>
      <c r="C304" s="8" t="s">
        <v>41</v>
      </c>
      <c r="D304" s="9">
        <v>6.294647252E9</v>
      </c>
      <c r="E304" s="8" t="s">
        <v>241</v>
      </c>
      <c r="F304" s="8" t="s">
        <v>108</v>
      </c>
      <c r="G304" s="9" t="s">
        <v>955</v>
      </c>
      <c r="H304" s="9" t="s">
        <v>361</v>
      </c>
      <c r="I304" s="8" t="s">
        <v>1134</v>
      </c>
      <c r="J304" s="10"/>
      <c r="K304" s="38" t="s">
        <v>32</v>
      </c>
      <c r="L304" s="15" t="s">
        <v>93</v>
      </c>
      <c r="M304" s="15" t="s">
        <v>34</v>
      </c>
      <c r="N304" s="8" t="s">
        <v>45</v>
      </c>
      <c r="O304" s="10"/>
      <c r="P304" s="10"/>
      <c r="Q304" s="10"/>
      <c r="R304" s="36" t="s">
        <v>1135</v>
      </c>
      <c r="S304" s="20">
        <v>46142.0</v>
      </c>
      <c r="T304" s="21"/>
      <c r="U304" s="8" t="s">
        <v>480</v>
      </c>
      <c r="V304" s="13"/>
      <c r="W304" s="13"/>
      <c r="X304" s="13"/>
      <c r="Z304" s="13"/>
    </row>
    <row r="305" ht="21.75" customHeight="1">
      <c r="A305" s="25" t="str">
        <f>IF(B305="","","CAN-"&amp;TEXT(304,"000"))</f>
        <v>CAN-304</v>
      </c>
      <c r="B305" s="15" t="s">
        <v>1136</v>
      </c>
      <c r="C305" s="8" t="s">
        <v>147</v>
      </c>
      <c r="D305" s="16">
        <v>9.004768629E9</v>
      </c>
      <c r="E305" s="15" t="s">
        <v>248</v>
      </c>
      <c r="F305" s="8" t="s">
        <v>408</v>
      </c>
      <c r="G305" s="16" t="s">
        <v>102</v>
      </c>
      <c r="H305" s="16" t="s">
        <v>132</v>
      </c>
      <c r="I305" s="15" t="s">
        <v>39</v>
      </c>
      <c r="J305" s="15" t="s">
        <v>325</v>
      </c>
      <c r="K305" s="38" t="s">
        <v>32</v>
      </c>
      <c r="L305" s="15" t="s">
        <v>33</v>
      </c>
      <c r="M305" s="15" t="s">
        <v>34</v>
      </c>
      <c r="N305" s="15" t="s">
        <v>35</v>
      </c>
      <c r="O305" s="17"/>
      <c r="P305" s="17"/>
      <c r="Q305" s="17"/>
      <c r="R305" s="22" t="s">
        <v>1137</v>
      </c>
      <c r="S305" s="18">
        <v>46142.0</v>
      </c>
      <c r="T305" s="18">
        <v>46153.0</v>
      </c>
      <c r="U305" s="15" t="s">
        <v>1009</v>
      </c>
      <c r="V305" s="13"/>
      <c r="W305" s="13"/>
      <c r="X305" s="13"/>
      <c r="Z305" s="13"/>
    </row>
    <row r="306" ht="21.75" customHeight="1">
      <c r="A306" s="27" t="str">
        <f>IF(B306="","","CAN-"&amp;TEXT(305,"000"))</f>
        <v>CAN-305</v>
      </c>
      <c r="B306" s="8" t="s">
        <v>1138</v>
      </c>
      <c r="C306" s="8" t="s">
        <v>41</v>
      </c>
      <c r="D306" s="9">
        <v>9.765722648E9</v>
      </c>
      <c r="E306" s="8" t="s">
        <v>155</v>
      </c>
      <c r="F306" s="8" t="s">
        <v>108</v>
      </c>
      <c r="G306" s="9" t="s">
        <v>132</v>
      </c>
      <c r="H306" s="9" t="s">
        <v>324</v>
      </c>
      <c r="I306" s="8" t="s">
        <v>39</v>
      </c>
      <c r="J306" s="8" t="s">
        <v>388</v>
      </c>
      <c r="K306" s="38" t="s">
        <v>32</v>
      </c>
      <c r="L306" s="15" t="s">
        <v>33</v>
      </c>
      <c r="M306" s="15" t="s">
        <v>34</v>
      </c>
      <c r="N306" s="8" t="s">
        <v>45</v>
      </c>
      <c r="O306" s="10"/>
      <c r="P306" s="10"/>
      <c r="Q306" s="10"/>
      <c r="R306" s="11" t="s">
        <v>1139</v>
      </c>
      <c r="S306" s="20">
        <v>46142.0</v>
      </c>
      <c r="T306" s="21"/>
      <c r="U306" s="8" t="s">
        <v>1009</v>
      </c>
      <c r="V306" s="13"/>
      <c r="W306" s="13"/>
      <c r="X306" s="13"/>
      <c r="Z306" s="13"/>
    </row>
    <row r="307" ht="21.75" customHeight="1">
      <c r="A307" s="25" t="str">
        <f>IF(B307="","","CAN-"&amp;TEXT(306,"000"))</f>
        <v>CAN-306</v>
      </c>
      <c r="B307" s="15" t="s">
        <v>1140</v>
      </c>
      <c r="C307" s="8" t="s">
        <v>41</v>
      </c>
      <c r="D307" s="16">
        <v>7.498489353E9</v>
      </c>
      <c r="E307" s="15" t="s">
        <v>210</v>
      </c>
      <c r="F307" s="8" t="s">
        <v>108</v>
      </c>
      <c r="G307" s="23"/>
      <c r="H307" s="16" t="s">
        <v>501</v>
      </c>
      <c r="I307" s="15" t="s">
        <v>39</v>
      </c>
      <c r="J307" s="15" t="s">
        <v>31</v>
      </c>
      <c r="K307" s="38" t="s">
        <v>32</v>
      </c>
      <c r="L307" s="15" t="s">
        <v>207</v>
      </c>
      <c r="M307" s="15" t="s">
        <v>34</v>
      </c>
      <c r="N307" s="15" t="s">
        <v>45</v>
      </c>
      <c r="O307" s="17"/>
      <c r="P307" s="17"/>
      <c r="Q307" s="17"/>
      <c r="R307" s="22" t="s">
        <v>1141</v>
      </c>
      <c r="S307" s="18">
        <v>46146.0</v>
      </c>
      <c r="T307" s="19"/>
      <c r="U307" s="15" t="s">
        <v>1142</v>
      </c>
      <c r="V307" s="13"/>
      <c r="W307" s="13"/>
      <c r="X307" s="13"/>
      <c r="Z307" s="13"/>
    </row>
    <row r="308" ht="21.75" customHeight="1">
      <c r="A308" s="27" t="str">
        <f>IF(B308="","","CAN-"&amp;TEXT(307,"000"))</f>
        <v>CAN-307</v>
      </c>
      <c r="B308" s="8" t="s">
        <v>1143</v>
      </c>
      <c r="C308" s="8" t="s">
        <v>41</v>
      </c>
      <c r="D308" s="9">
        <v>7.99051974E9</v>
      </c>
      <c r="E308" s="8" t="s">
        <v>188</v>
      </c>
      <c r="F308" s="8" t="s">
        <v>90</v>
      </c>
      <c r="G308" s="24"/>
      <c r="H308" s="24"/>
      <c r="I308" s="8" t="s">
        <v>113</v>
      </c>
      <c r="J308" s="8" t="s">
        <v>31</v>
      </c>
      <c r="K308" s="38" t="s">
        <v>32</v>
      </c>
      <c r="L308" s="15" t="s">
        <v>61</v>
      </c>
      <c r="M308" s="15" t="s">
        <v>34</v>
      </c>
      <c r="N308" s="8" t="s">
        <v>45</v>
      </c>
      <c r="O308" s="10"/>
      <c r="P308" s="10"/>
      <c r="Q308" s="10"/>
      <c r="R308" s="11" t="s">
        <v>1144</v>
      </c>
      <c r="S308" s="18">
        <v>46146.0</v>
      </c>
      <c r="T308" s="21"/>
      <c r="U308" s="8" t="s">
        <v>125</v>
      </c>
      <c r="V308" s="13"/>
      <c r="W308" s="13"/>
      <c r="X308" s="13"/>
      <c r="Z308" s="13"/>
    </row>
    <row r="309" ht="21.75" customHeight="1">
      <c r="A309" s="25" t="str">
        <f>IF(B309="","","CAN-"&amp;TEXT(308,"000"))</f>
        <v>CAN-308</v>
      </c>
      <c r="B309" s="15" t="s">
        <v>1145</v>
      </c>
      <c r="C309" s="8" t="s">
        <v>41</v>
      </c>
      <c r="D309" s="16">
        <v>8.76760156E9</v>
      </c>
      <c r="E309" s="15" t="s">
        <v>50</v>
      </c>
      <c r="F309" s="8" t="s">
        <v>90</v>
      </c>
      <c r="G309" s="23"/>
      <c r="H309" s="23"/>
      <c r="I309" s="15" t="s">
        <v>39</v>
      </c>
      <c r="J309" s="15" t="s">
        <v>388</v>
      </c>
      <c r="K309" s="38" t="s">
        <v>32</v>
      </c>
      <c r="L309" s="15" t="s">
        <v>61</v>
      </c>
      <c r="M309" s="15" t="s">
        <v>94</v>
      </c>
      <c r="N309" s="15" t="s">
        <v>45</v>
      </c>
      <c r="O309" s="17"/>
      <c r="P309" s="17"/>
      <c r="Q309" s="17"/>
      <c r="R309" s="22" t="s">
        <v>1146</v>
      </c>
      <c r="S309" s="18">
        <v>46146.0</v>
      </c>
      <c r="T309" s="19"/>
      <c r="U309" s="15" t="s">
        <v>125</v>
      </c>
      <c r="V309" s="13"/>
      <c r="W309" s="13"/>
      <c r="X309" s="13"/>
      <c r="Z309" s="13"/>
    </row>
    <row r="310" ht="21.75" customHeight="1">
      <c r="A310" s="27" t="str">
        <f>IF(B310="","","CAN-"&amp;TEXT(309,"000"))</f>
        <v>CAN-309</v>
      </c>
      <c r="B310" s="8" t="s">
        <v>1147</v>
      </c>
      <c r="C310" s="8" t="s">
        <v>41</v>
      </c>
      <c r="D310" s="9">
        <v>9.983674188E9</v>
      </c>
      <c r="E310" s="8" t="s">
        <v>365</v>
      </c>
      <c r="F310" s="8" t="s">
        <v>90</v>
      </c>
      <c r="G310" s="24"/>
      <c r="H310" s="24"/>
      <c r="I310" s="8" t="s">
        <v>1148</v>
      </c>
      <c r="J310" s="10"/>
      <c r="K310" s="38" t="s">
        <v>32</v>
      </c>
      <c r="L310" s="15" t="s">
        <v>220</v>
      </c>
      <c r="M310" s="15" t="s">
        <v>34</v>
      </c>
      <c r="N310" s="8" t="s">
        <v>45</v>
      </c>
      <c r="O310" s="10"/>
      <c r="P310" s="10"/>
      <c r="Q310" s="10"/>
      <c r="R310" s="11" t="s">
        <v>1149</v>
      </c>
      <c r="S310" s="18">
        <v>46146.0</v>
      </c>
      <c r="T310" s="21"/>
      <c r="U310" s="10"/>
      <c r="V310" s="13"/>
      <c r="W310" s="13"/>
      <c r="X310" s="13"/>
      <c r="Z310" s="13"/>
    </row>
    <row r="311" ht="21.75" customHeight="1">
      <c r="A311" s="25" t="str">
        <f>IF(B311="","","CAN-"&amp;TEXT(310,"000"))</f>
        <v>CAN-310</v>
      </c>
      <c r="B311" s="15" t="s">
        <v>1150</v>
      </c>
      <c r="C311" s="8" t="s">
        <v>41</v>
      </c>
      <c r="D311" s="16">
        <v>9.168799685E9</v>
      </c>
      <c r="E311" s="15" t="s">
        <v>260</v>
      </c>
      <c r="F311" s="8" t="s">
        <v>90</v>
      </c>
      <c r="G311" s="23"/>
      <c r="H311" s="23"/>
      <c r="I311" s="15" t="s">
        <v>39</v>
      </c>
      <c r="J311" s="15" t="s">
        <v>740</v>
      </c>
      <c r="K311" s="38" t="s">
        <v>92</v>
      </c>
      <c r="L311" s="15" t="s">
        <v>220</v>
      </c>
      <c r="M311" s="15" t="s">
        <v>34</v>
      </c>
      <c r="N311" s="15" t="s">
        <v>45</v>
      </c>
      <c r="O311" s="17"/>
      <c r="P311" s="17"/>
      <c r="Q311" s="17"/>
      <c r="R311" s="22" t="s">
        <v>1151</v>
      </c>
      <c r="S311" s="18">
        <v>46146.0</v>
      </c>
      <c r="T311" s="19"/>
      <c r="U311" s="17"/>
      <c r="V311" s="13"/>
      <c r="W311" s="13"/>
      <c r="X311" s="13"/>
      <c r="Z311" s="13"/>
    </row>
    <row r="312" ht="21.75" customHeight="1">
      <c r="A312" s="27" t="str">
        <f>IF(B312="","","CAN-"&amp;TEXT(311,"000"))</f>
        <v>CAN-311</v>
      </c>
      <c r="B312" s="8" t="s">
        <v>1152</v>
      </c>
      <c r="C312" s="8" t="s">
        <v>147</v>
      </c>
      <c r="D312" s="9">
        <v>8.788606556E9</v>
      </c>
      <c r="E312" s="8" t="s">
        <v>290</v>
      </c>
      <c r="F312" s="8" t="s">
        <v>90</v>
      </c>
      <c r="G312" s="9" t="s">
        <v>324</v>
      </c>
      <c r="H312" s="9" t="s">
        <v>133</v>
      </c>
      <c r="I312" s="8" t="s">
        <v>39</v>
      </c>
      <c r="J312" s="8" t="s">
        <v>995</v>
      </c>
      <c r="K312" s="38" t="s">
        <v>32</v>
      </c>
      <c r="L312" s="15" t="s">
        <v>220</v>
      </c>
      <c r="M312" s="15" t="s">
        <v>34</v>
      </c>
      <c r="N312" s="8" t="s">
        <v>35</v>
      </c>
      <c r="O312" s="10"/>
      <c r="P312" s="10"/>
      <c r="Q312" s="10"/>
      <c r="R312" s="11" t="s">
        <v>1153</v>
      </c>
      <c r="S312" s="20">
        <v>46146.0</v>
      </c>
      <c r="T312" s="21"/>
      <c r="U312" s="10"/>
      <c r="V312" s="13"/>
      <c r="W312" s="13"/>
      <c r="X312" s="13"/>
      <c r="Z312" s="13"/>
    </row>
    <row r="313" ht="21.75" customHeight="1">
      <c r="A313" s="25" t="str">
        <f>IF(B313="","","CAN-"&amp;TEXT(312,"000"))</f>
        <v>CAN-312</v>
      </c>
      <c r="B313" s="15" t="s">
        <v>1154</v>
      </c>
      <c r="C313" s="8" t="s">
        <v>41</v>
      </c>
      <c r="D313" s="16">
        <v>8.14135168E9</v>
      </c>
      <c r="E313" s="15" t="s">
        <v>115</v>
      </c>
      <c r="F313" s="8" t="s">
        <v>90</v>
      </c>
      <c r="G313" s="16" t="s">
        <v>865</v>
      </c>
      <c r="H313" s="16" t="s">
        <v>453</v>
      </c>
      <c r="I313" s="15" t="s">
        <v>1155</v>
      </c>
      <c r="J313" s="17"/>
      <c r="K313" s="38" t="s">
        <v>92</v>
      </c>
      <c r="L313" s="15" t="s">
        <v>220</v>
      </c>
      <c r="M313" s="15" t="s">
        <v>34</v>
      </c>
      <c r="N313" s="15" t="s">
        <v>45</v>
      </c>
      <c r="O313" s="17"/>
      <c r="P313" s="17"/>
      <c r="Q313" s="17"/>
      <c r="R313" s="22" t="s">
        <v>1156</v>
      </c>
      <c r="S313" s="20">
        <v>46147.0</v>
      </c>
      <c r="T313" s="19"/>
      <c r="U313" s="15" t="s">
        <v>125</v>
      </c>
      <c r="V313" s="13"/>
      <c r="W313" s="13"/>
      <c r="X313" s="13"/>
      <c r="Z313" s="13"/>
    </row>
    <row r="314" ht="21.75" customHeight="1">
      <c r="A314" s="27" t="str">
        <f>IF(B314="","","CAN-"&amp;TEXT(313,"000"))</f>
        <v>CAN-313</v>
      </c>
      <c r="B314" s="8" t="s">
        <v>1157</v>
      </c>
      <c r="C314" s="8" t="s">
        <v>147</v>
      </c>
      <c r="D314" s="9">
        <v>8.530718246E9</v>
      </c>
      <c r="E314" s="8" t="s">
        <v>290</v>
      </c>
      <c r="F314" s="8" t="s">
        <v>90</v>
      </c>
      <c r="G314" s="9" t="s">
        <v>501</v>
      </c>
      <c r="H314" s="24"/>
      <c r="I314" s="8" t="s">
        <v>39</v>
      </c>
      <c r="J314" s="8" t="s">
        <v>262</v>
      </c>
      <c r="K314" s="38" t="s">
        <v>32</v>
      </c>
      <c r="L314" s="15" t="s">
        <v>220</v>
      </c>
      <c r="M314" s="15" t="s">
        <v>34</v>
      </c>
      <c r="N314" s="8" t="s">
        <v>45</v>
      </c>
      <c r="O314" s="10"/>
      <c r="P314" s="10"/>
      <c r="Q314" s="10"/>
      <c r="R314" s="11" t="s">
        <v>1158</v>
      </c>
      <c r="S314" s="20">
        <v>46146.0</v>
      </c>
      <c r="T314" s="21"/>
      <c r="U314" s="8" t="s">
        <v>1009</v>
      </c>
      <c r="V314" s="13"/>
      <c r="W314" s="13"/>
      <c r="X314" s="13"/>
      <c r="Z314" s="13"/>
    </row>
    <row r="315" ht="21.75" customHeight="1">
      <c r="A315" s="25" t="str">
        <f>IF(B315="","","CAN-"&amp;TEXT(314,"000"))</f>
        <v>CAN-314</v>
      </c>
      <c r="B315" s="15" t="s">
        <v>1159</v>
      </c>
      <c r="C315" s="8" t="s">
        <v>41</v>
      </c>
      <c r="D315" s="16">
        <v>7.984440812E9</v>
      </c>
      <c r="E315" s="15" t="s">
        <v>166</v>
      </c>
      <c r="F315" s="8" t="s">
        <v>90</v>
      </c>
      <c r="G315" s="16" t="s">
        <v>1160</v>
      </c>
      <c r="H315" s="16" t="s">
        <v>484</v>
      </c>
      <c r="I315" s="15" t="s">
        <v>113</v>
      </c>
      <c r="J315" s="17"/>
      <c r="K315" s="38" t="s">
        <v>32</v>
      </c>
      <c r="L315" s="15" t="s">
        <v>220</v>
      </c>
      <c r="M315" s="15" t="s">
        <v>34</v>
      </c>
      <c r="N315" s="15" t="s">
        <v>45</v>
      </c>
      <c r="O315" s="17"/>
      <c r="P315" s="17"/>
      <c r="Q315" s="17"/>
      <c r="R315" s="22" t="s">
        <v>1161</v>
      </c>
      <c r="S315" s="20">
        <v>46147.0</v>
      </c>
      <c r="T315" s="19"/>
      <c r="U315" s="15" t="s">
        <v>125</v>
      </c>
      <c r="V315" s="13"/>
      <c r="W315" s="13"/>
      <c r="X315" s="13"/>
      <c r="Z315" s="13"/>
    </row>
    <row r="316" ht="21.75" customHeight="1">
      <c r="A316" s="27" t="str">
        <f>IF(B316="","","CAN-"&amp;TEXT(315,"000"))</f>
        <v>CAN-315</v>
      </c>
      <c r="B316" s="8" t="s">
        <v>1162</v>
      </c>
      <c r="C316" s="8" t="s">
        <v>41</v>
      </c>
      <c r="D316" s="9">
        <v>9.128338284E9</v>
      </c>
      <c r="E316" s="8" t="s">
        <v>112</v>
      </c>
      <c r="F316" s="8" t="s">
        <v>90</v>
      </c>
      <c r="G316" s="9" t="s">
        <v>133</v>
      </c>
      <c r="H316" s="9" t="s">
        <v>906</v>
      </c>
      <c r="I316" s="8" t="s">
        <v>64</v>
      </c>
      <c r="J316" s="10"/>
      <c r="K316" s="38" t="s">
        <v>32</v>
      </c>
      <c r="L316" s="15" t="s">
        <v>220</v>
      </c>
      <c r="M316" s="15" t="s">
        <v>34</v>
      </c>
      <c r="N316" s="8" t="s">
        <v>45</v>
      </c>
      <c r="O316" s="10"/>
      <c r="P316" s="10"/>
      <c r="Q316" s="10"/>
      <c r="R316" s="11" t="s">
        <v>1163</v>
      </c>
      <c r="S316" s="20">
        <v>46147.0</v>
      </c>
      <c r="T316" s="21"/>
      <c r="U316" s="10"/>
      <c r="V316" s="13"/>
      <c r="W316" s="13"/>
      <c r="X316" s="13"/>
      <c r="Z316" s="13"/>
    </row>
    <row r="317" ht="21.75" customHeight="1">
      <c r="A317" s="25" t="str">
        <f>IF(B317="","","CAN-"&amp;TEXT(316,"000"))</f>
        <v>CAN-316</v>
      </c>
      <c r="B317" s="15" t="s">
        <v>1164</v>
      </c>
      <c r="C317" s="8" t="s">
        <v>41</v>
      </c>
      <c r="D317" s="16">
        <v>8.208080653E9</v>
      </c>
      <c r="E317" s="15" t="s">
        <v>101</v>
      </c>
      <c r="F317" s="8" t="s">
        <v>90</v>
      </c>
      <c r="G317" s="16" t="s">
        <v>402</v>
      </c>
      <c r="H317" s="16" t="s">
        <v>168</v>
      </c>
      <c r="I317" s="15" t="s">
        <v>39</v>
      </c>
      <c r="J317" s="15" t="s">
        <v>1165</v>
      </c>
      <c r="K317" s="38" t="s">
        <v>32</v>
      </c>
      <c r="L317" s="15" t="s">
        <v>220</v>
      </c>
      <c r="M317" s="15" t="s">
        <v>34</v>
      </c>
      <c r="N317" s="15" t="s">
        <v>45</v>
      </c>
      <c r="O317" s="17"/>
      <c r="P317" s="17"/>
      <c r="Q317" s="17"/>
      <c r="R317" s="22" t="s">
        <v>1166</v>
      </c>
      <c r="S317" s="20">
        <v>46147.0</v>
      </c>
      <c r="T317" s="19"/>
      <c r="U317" s="15" t="s">
        <v>1167</v>
      </c>
      <c r="V317" s="13"/>
      <c r="W317" s="13"/>
      <c r="X317" s="13"/>
      <c r="Z317" s="13"/>
    </row>
    <row r="318" ht="21.75" customHeight="1">
      <c r="A318" s="27" t="str">
        <f>IF(B318="","","CAN-"&amp;TEXT(317,"000"))</f>
        <v>CAN-317</v>
      </c>
      <c r="B318" s="8" t="s">
        <v>1168</v>
      </c>
      <c r="C318" s="8" t="s">
        <v>41</v>
      </c>
      <c r="D318" s="9">
        <v>9.892720723E9</v>
      </c>
      <c r="E318" s="8" t="s">
        <v>553</v>
      </c>
      <c r="F318" s="8" t="s">
        <v>90</v>
      </c>
      <c r="G318" s="24"/>
      <c r="H318" s="24"/>
      <c r="I318" s="8" t="s">
        <v>39</v>
      </c>
      <c r="J318" s="10"/>
      <c r="K318" s="38" t="s">
        <v>32</v>
      </c>
      <c r="L318" s="15" t="s">
        <v>220</v>
      </c>
      <c r="M318" s="15" t="s">
        <v>34</v>
      </c>
      <c r="N318" s="8" t="s">
        <v>45</v>
      </c>
      <c r="O318" s="10"/>
      <c r="P318" s="10"/>
      <c r="Q318" s="10"/>
      <c r="R318" s="11" t="s">
        <v>1169</v>
      </c>
      <c r="S318" s="20">
        <v>46147.0</v>
      </c>
      <c r="T318" s="21"/>
      <c r="U318" s="10"/>
      <c r="V318" s="13"/>
      <c r="W318" s="13"/>
      <c r="X318" s="13"/>
      <c r="Z318" s="13"/>
    </row>
    <row r="319" ht="21.75" customHeight="1">
      <c r="A319" s="25" t="str">
        <f>IF(B319="","","CAN-"&amp;TEXT(318,"000"))</f>
        <v>CAN-318</v>
      </c>
      <c r="B319" s="15" t="s">
        <v>1170</v>
      </c>
      <c r="C319" s="8" t="s">
        <v>147</v>
      </c>
      <c r="D319" s="16">
        <v>9.76856007E9</v>
      </c>
      <c r="E319" s="15" t="s">
        <v>155</v>
      </c>
      <c r="F319" s="8" t="s">
        <v>408</v>
      </c>
      <c r="G319" s="16" t="s">
        <v>261</v>
      </c>
      <c r="H319" s="23"/>
      <c r="I319" s="15" t="s">
        <v>39</v>
      </c>
      <c r="J319" s="15" t="s">
        <v>1171</v>
      </c>
      <c r="K319" s="38" t="s">
        <v>32</v>
      </c>
      <c r="L319" s="15" t="s">
        <v>220</v>
      </c>
      <c r="M319" s="15" t="s">
        <v>34</v>
      </c>
      <c r="N319" s="15" t="s">
        <v>35</v>
      </c>
      <c r="O319" s="17"/>
      <c r="P319" s="17"/>
      <c r="Q319" s="17"/>
      <c r="R319" s="22" t="s">
        <v>1172</v>
      </c>
      <c r="S319" s="18">
        <v>46146.0</v>
      </c>
      <c r="T319" s="18">
        <v>46148.0</v>
      </c>
      <c r="U319" s="15" t="s">
        <v>1173</v>
      </c>
      <c r="V319" s="13"/>
      <c r="W319" s="13"/>
      <c r="X319" s="13"/>
      <c r="Z319" s="13"/>
    </row>
    <row r="320" ht="21.75" customHeight="1">
      <c r="A320" s="27" t="str">
        <f>IF(B320="","","CAN-"&amp;TEXT(319,"000"))</f>
        <v>CAN-319</v>
      </c>
      <c r="B320" s="8" t="s">
        <v>1174</v>
      </c>
      <c r="C320" s="8" t="s">
        <v>147</v>
      </c>
      <c r="D320" s="9">
        <v>7.499087142E9</v>
      </c>
      <c r="E320" s="8" t="s">
        <v>248</v>
      </c>
      <c r="F320" s="8" t="s">
        <v>408</v>
      </c>
      <c r="G320" s="9" t="s">
        <v>102</v>
      </c>
      <c r="H320" s="9" t="s">
        <v>132</v>
      </c>
      <c r="I320" s="8" t="s">
        <v>39</v>
      </c>
      <c r="J320" s="10"/>
      <c r="K320" s="38" t="s">
        <v>32</v>
      </c>
      <c r="L320" s="15" t="s">
        <v>53</v>
      </c>
      <c r="M320" s="15" t="s">
        <v>34</v>
      </c>
      <c r="N320" s="8" t="s">
        <v>45</v>
      </c>
      <c r="O320" s="10"/>
      <c r="P320" s="10"/>
      <c r="Q320" s="10"/>
      <c r="R320" s="11" t="s">
        <v>1175</v>
      </c>
      <c r="S320" s="20">
        <v>46146.0</v>
      </c>
      <c r="T320" s="20">
        <v>46149.0</v>
      </c>
      <c r="U320" s="8" t="s">
        <v>1173</v>
      </c>
      <c r="V320" s="13"/>
      <c r="W320" s="13"/>
      <c r="X320" s="13"/>
      <c r="Z320" s="13"/>
    </row>
    <row r="321" ht="21.75" customHeight="1">
      <c r="A321" s="25" t="str">
        <f>IF(B321="","","CAN-"&amp;TEXT(320,"000"))</f>
        <v>CAN-320</v>
      </c>
      <c r="B321" s="15" t="s">
        <v>1176</v>
      </c>
      <c r="C321" s="8" t="s">
        <v>147</v>
      </c>
      <c r="D321" s="16">
        <v>9.372874484E9</v>
      </c>
      <c r="E321" s="15" t="s">
        <v>210</v>
      </c>
      <c r="F321" s="8" t="s">
        <v>408</v>
      </c>
      <c r="G321" s="16" t="s">
        <v>44</v>
      </c>
      <c r="H321" s="16" t="s">
        <v>168</v>
      </c>
      <c r="I321" s="15" t="s">
        <v>39</v>
      </c>
      <c r="J321" s="15" t="s">
        <v>702</v>
      </c>
      <c r="K321" s="38" t="s">
        <v>32</v>
      </c>
      <c r="L321" s="15" t="s">
        <v>53</v>
      </c>
      <c r="M321" s="15" t="s">
        <v>34</v>
      </c>
      <c r="N321" s="15" t="s">
        <v>45</v>
      </c>
      <c r="O321" s="17"/>
      <c r="P321" s="17"/>
      <c r="Q321" s="17"/>
      <c r="R321" s="22" t="s">
        <v>1177</v>
      </c>
      <c r="S321" s="18">
        <v>46146.0</v>
      </c>
      <c r="T321" s="18">
        <v>46157.0</v>
      </c>
      <c r="U321" s="15" t="s">
        <v>1009</v>
      </c>
      <c r="V321" s="13"/>
      <c r="W321" s="13"/>
      <c r="X321" s="13"/>
      <c r="Z321" s="13"/>
    </row>
    <row r="322" ht="21.75" customHeight="1">
      <c r="A322" s="27" t="str">
        <f>IF(B322="","","CAN-"&amp;TEXT(321,"000"))</f>
        <v>CAN-321</v>
      </c>
      <c r="B322" s="8" t="s">
        <v>1178</v>
      </c>
      <c r="C322" s="8" t="s">
        <v>41</v>
      </c>
      <c r="D322" s="9">
        <v>9.755590766E9</v>
      </c>
      <c r="E322" s="8" t="s">
        <v>223</v>
      </c>
      <c r="F322" s="8" t="s">
        <v>108</v>
      </c>
      <c r="G322" s="9" t="s">
        <v>586</v>
      </c>
      <c r="H322" s="9" t="s">
        <v>1179</v>
      </c>
      <c r="I322" s="8" t="s">
        <v>39</v>
      </c>
      <c r="J322" s="8" t="s">
        <v>469</v>
      </c>
      <c r="K322" s="38" t="s">
        <v>92</v>
      </c>
      <c r="L322" s="15" t="s">
        <v>220</v>
      </c>
      <c r="M322" s="15" t="s">
        <v>34</v>
      </c>
      <c r="N322" s="8" t="s">
        <v>75</v>
      </c>
      <c r="O322" s="10"/>
      <c r="P322" s="10"/>
      <c r="Q322" s="10"/>
      <c r="R322" s="11" t="s">
        <v>1180</v>
      </c>
      <c r="S322" s="20">
        <v>46147.0</v>
      </c>
      <c r="T322" s="21"/>
      <c r="U322" s="8" t="s">
        <v>560</v>
      </c>
      <c r="V322" s="13"/>
      <c r="W322" s="13"/>
      <c r="X322" s="13"/>
      <c r="Z322" s="13"/>
    </row>
    <row r="323" ht="21.75" customHeight="1">
      <c r="A323" s="25" t="str">
        <f>IF(B323="","","CAN-"&amp;TEXT(322,"000"))</f>
        <v>CAN-322</v>
      </c>
      <c r="B323" s="15" t="s">
        <v>1181</v>
      </c>
      <c r="C323" s="8" t="s">
        <v>24</v>
      </c>
      <c r="D323" s="23"/>
      <c r="E323" s="15" t="s">
        <v>26</v>
      </c>
      <c r="F323" s="8" t="s">
        <v>90</v>
      </c>
      <c r="G323" s="16" t="s">
        <v>655</v>
      </c>
      <c r="H323" s="16" t="s">
        <v>129</v>
      </c>
      <c r="I323" s="15" t="s">
        <v>39</v>
      </c>
      <c r="J323" s="15" t="s">
        <v>462</v>
      </c>
      <c r="K323" s="38" t="s">
        <v>32</v>
      </c>
      <c r="L323" s="15" t="s">
        <v>220</v>
      </c>
      <c r="M323" s="15" t="s">
        <v>34</v>
      </c>
      <c r="N323" s="15" t="s">
        <v>35</v>
      </c>
      <c r="O323" s="17"/>
      <c r="P323" s="17"/>
      <c r="Q323" s="17"/>
      <c r="R323" s="17"/>
      <c r="S323" s="19"/>
      <c r="T323" s="19"/>
      <c r="U323" s="17"/>
      <c r="V323" s="13"/>
      <c r="W323" s="13"/>
      <c r="X323" s="13"/>
      <c r="Z323" s="13"/>
    </row>
    <row r="324" ht="21.75" customHeight="1">
      <c r="A324" s="27" t="str">
        <f>IF(B324="","","CAN-"&amp;TEXT(323,"000"))</f>
        <v>CAN-323</v>
      </c>
      <c r="B324" s="8" t="s">
        <v>1182</v>
      </c>
      <c r="C324" s="8" t="s">
        <v>24</v>
      </c>
      <c r="D324" s="24"/>
      <c r="E324" s="8" t="s">
        <v>365</v>
      </c>
      <c r="F324" s="8" t="s">
        <v>90</v>
      </c>
      <c r="G324" s="9" t="s">
        <v>201</v>
      </c>
      <c r="H324" s="9" t="s">
        <v>1183</v>
      </c>
      <c r="I324" s="8" t="s">
        <v>39</v>
      </c>
      <c r="J324" s="8" t="s">
        <v>262</v>
      </c>
      <c r="K324" s="38" t="s">
        <v>92</v>
      </c>
      <c r="L324" s="15" t="s">
        <v>220</v>
      </c>
      <c r="M324" s="15" t="s">
        <v>34</v>
      </c>
      <c r="N324" s="15" t="s">
        <v>35</v>
      </c>
      <c r="O324" s="10"/>
      <c r="P324" s="10"/>
      <c r="Q324" s="10"/>
      <c r="R324" s="10"/>
      <c r="S324" s="21"/>
      <c r="T324" s="21"/>
      <c r="U324" s="8" t="s">
        <v>85</v>
      </c>
      <c r="V324" s="13"/>
      <c r="W324" s="13"/>
      <c r="X324" s="13"/>
      <c r="Z324" s="13"/>
    </row>
    <row r="325" ht="21.75" customHeight="1">
      <c r="A325" s="25" t="str">
        <f>IF(B325="","","CAN-"&amp;TEXT(324,"000"))</f>
        <v>CAN-324</v>
      </c>
      <c r="B325" s="15" t="s">
        <v>782</v>
      </c>
      <c r="C325" s="8" t="s">
        <v>24</v>
      </c>
      <c r="D325" s="16" t="s">
        <v>783</v>
      </c>
      <c r="E325" s="15" t="s">
        <v>42</v>
      </c>
      <c r="F325" s="8" t="s">
        <v>90</v>
      </c>
      <c r="G325" s="16" t="s">
        <v>218</v>
      </c>
      <c r="H325" s="16" t="s">
        <v>201</v>
      </c>
      <c r="I325" s="15" t="s">
        <v>39</v>
      </c>
      <c r="J325" s="15" t="s">
        <v>262</v>
      </c>
      <c r="K325" s="38" t="s">
        <v>32</v>
      </c>
      <c r="L325" s="15" t="s">
        <v>220</v>
      </c>
      <c r="M325" s="15" t="s">
        <v>34</v>
      </c>
      <c r="N325" s="15" t="s">
        <v>35</v>
      </c>
      <c r="O325" s="17"/>
      <c r="P325" s="17"/>
      <c r="Q325" s="17"/>
      <c r="R325" s="17"/>
      <c r="S325" s="19"/>
      <c r="T325" s="19"/>
      <c r="U325" s="15" t="s">
        <v>85</v>
      </c>
      <c r="V325" s="13"/>
      <c r="W325" s="13"/>
      <c r="X325" s="13"/>
      <c r="Z325" s="13"/>
    </row>
    <row r="326" ht="21.75" customHeight="1">
      <c r="A326" s="27" t="str">
        <f>IF(B326="","","CAN-"&amp;TEXT(325,"000"))</f>
        <v>CAN-325</v>
      </c>
      <c r="B326" s="8" t="s">
        <v>1184</v>
      </c>
      <c r="C326" s="8" t="s">
        <v>24</v>
      </c>
      <c r="D326" s="9" t="s">
        <v>1185</v>
      </c>
      <c r="E326" s="8" t="s">
        <v>67</v>
      </c>
      <c r="F326" s="8" t="s">
        <v>67</v>
      </c>
      <c r="G326" s="9" t="s">
        <v>695</v>
      </c>
      <c r="H326" s="9" t="s">
        <v>69</v>
      </c>
      <c r="I326" s="8" t="s">
        <v>39</v>
      </c>
      <c r="J326" s="8" t="s">
        <v>262</v>
      </c>
      <c r="K326" s="38" t="s">
        <v>32</v>
      </c>
      <c r="L326" s="15" t="s">
        <v>220</v>
      </c>
      <c r="M326" s="15" t="s">
        <v>34</v>
      </c>
      <c r="N326" s="15" t="s">
        <v>35</v>
      </c>
      <c r="O326" s="10"/>
      <c r="P326" s="10"/>
      <c r="Q326" s="10"/>
      <c r="R326" s="10"/>
      <c r="S326" s="21"/>
      <c r="T326" s="21"/>
      <c r="U326" s="8" t="s">
        <v>172</v>
      </c>
      <c r="V326" s="13"/>
      <c r="W326" s="13"/>
      <c r="X326" s="13"/>
      <c r="Z326" s="13"/>
    </row>
    <row r="327" ht="21.75" customHeight="1">
      <c r="A327" s="25" t="str">
        <f>IF(B327="","","CAN-"&amp;TEXT(326,"000"))</f>
        <v>CAN-326</v>
      </c>
      <c r="B327" s="15" t="s">
        <v>1186</v>
      </c>
      <c r="C327" s="8" t="s">
        <v>24</v>
      </c>
      <c r="D327" s="16" t="s">
        <v>1187</v>
      </c>
      <c r="E327" s="15" t="s">
        <v>241</v>
      </c>
      <c r="F327" s="8" t="s">
        <v>108</v>
      </c>
      <c r="G327" s="16" t="s">
        <v>1188</v>
      </c>
      <c r="H327" s="16" t="s">
        <v>1189</v>
      </c>
      <c r="I327" s="15" t="s">
        <v>39</v>
      </c>
      <c r="J327" s="15" t="s">
        <v>39</v>
      </c>
      <c r="K327" s="38" t="s">
        <v>32</v>
      </c>
      <c r="L327" s="15" t="s">
        <v>220</v>
      </c>
      <c r="M327" s="15" t="s">
        <v>34</v>
      </c>
      <c r="N327" s="15" t="s">
        <v>35</v>
      </c>
      <c r="O327" s="17"/>
      <c r="P327" s="17"/>
      <c r="Q327" s="17"/>
      <c r="R327" s="17"/>
      <c r="S327" s="19"/>
      <c r="T327" s="19"/>
      <c r="U327" s="15" t="s">
        <v>85</v>
      </c>
      <c r="V327" s="13"/>
      <c r="W327" s="13"/>
      <c r="X327" s="13"/>
      <c r="Z327" s="13"/>
    </row>
    <row r="328" ht="21.75" customHeight="1">
      <c r="A328" s="27" t="str">
        <f>IF(B328="","","CAN-"&amp;TEXT(327,"000"))</f>
        <v>CAN-327</v>
      </c>
      <c r="B328" s="8" t="s">
        <v>1190</v>
      </c>
      <c r="C328" s="8" t="s">
        <v>24</v>
      </c>
      <c r="D328" s="24">
        <f>971544961088 </f>
        <v>971544961088</v>
      </c>
      <c r="E328" s="8" t="s">
        <v>67</v>
      </c>
      <c r="F328" s="8" t="s">
        <v>108</v>
      </c>
      <c r="G328" s="9" t="s">
        <v>278</v>
      </c>
      <c r="H328" s="9" t="s">
        <v>70</v>
      </c>
      <c r="I328" s="8" t="s">
        <v>30</v>
      </c>
      <c r="J328" s="8" t="s">
        <v>744</v>
      </c>
      <c r="K328" s="38" t="s">
        <v>32</v>
      </c>
      <c r="L328" s="15" t="s">
        <v>220</v>
      </c>
      <c r="M328" s="15" t="s">
        <v>34</v>
      </c>
      <c r="N328" s="15" t="s">
        <v>35</v>
      </c>
      <c r="O328" s="10"/>
      <c r="P328" s="10"/>
      <c r="Q328" s="10"/>
      <c r="R328" s="10"/>
      <c r="S328" s="21"/>
      <c r="T328" s="21"/>
      <c r="U328" s="8" t="s">
        <v>172</v>
      </c>
      <c r="V328" s="13"/>
      <c r="W328" s="13"/>
      <c r="X328" s="13"/>
      <c r="Z328" s="13"/>
    </row>
    <row r="329" ht="21.75" customHeight="1">
      <c r="A329" s="25" t="str">
        <f>IF(B329="","","CAN-"&amp;TEXT(328,"000"))</f>
        <v>CAN-328</v>
      </c>
      <c r="B329" s="15" t="s">
        <v>1191</v>
      </c>
      <c r="C329" s="8" t="s">
        <v>24</v>
      </c>
      <c r="D329" s="16" t="s">
        <v>1192</v>
      </c>
      <c r="E329" s="15" t="s">
        <v>67</v>
      </c>
      <c r="F329" s="8" t="s">
        <v>142</v>
      </c>
      <c r="G329" s="16" t="s">
        <v>129</v>
      </c>
      <c r="H329" s="16" t="s">
        <v>70</v>
      </c>
      <c r="I329" s="15" t="s">
        <v>30</v>
      </c>
      <c r="J329" s="15" t="s">
        <v>366</v>
      </c>
      <c r="K329" s="38" t="s">
        <v>32</v>
      </c>
      <c r="L329" s="15" t="s">
        <v>220</v>
      </c>
      <c r="M329" s="15" t="s">
        <v>34</v>
      </c>
      <c r="N329" s="15" t="s">
        <v>35</v>
      </c>
      <c r="O329" s="17"/>
      <c r="P329" s="17"/>
      <c r="Q329" s="17"/>
      <c r="R329" s="17"/>
      <c r="S329" s="19"/>
      <c r="T329" s="19"/>
      <c r="U329" s="15" t="s">
        <v>172</v>
      </c>
      <c r="V329" s="13"/>
      <c r="W329" s="13"/>
      <c r="X329" s="13"/>
      <c r="Z329" s="13"/>
    </row>
    <row r="330" ht="21.75" customHeight="1">
      <c r="A330" s="27" t="str">
        <f>IF(B330="","","CAN-"&amp;TEXT(329,"000"))</f>
        <v>CAN-329</v>
      </c>
      <c r="B330" s="8" t="s">
        <v>1193</v>
      </c>
      <c r="C330" s="8" t="s">
        <v>24</v>
      </c>
      <c r="D330" s="9" t="s">
        <v>1194</v>
      </c>
      <c r="E330" s="8" t="s">
        <v>67</v>
      </c>
      <c r="F330" s="8" t="s">
        <v>108</v>
      </c>
      <c r="G330" s="9" t="s">
        <v>29</v>
      </c>
      <c r="H330" s="9" t="s">
        <v>1195</v>
      </c>
      <c r="I330" s="8" t="s">
        <v>39</v>
      </c>
      <c r="J330" s="8" t="s">
        <v>366</v>
      </c>
      <c r="K330" s="38" t="s">
        <v>32</v>
      </c>
      <c r="L330" s="15" t="s">
        <v>220</v>
      </c>
      <c r="M330" s="15" t="s">
        <v>34</v>
      </c>
      <c r="N330" s="15" t="s">
        <v>35</v>
      </c>
      <c r="O330" s="10"/>
      <c r="P330" s="10"/>
      <c r="Q330" s="10"/>
      <c r="R330" s="10"/>
      <c r="S330" s="21"/>
      <c r="T330" s="21"/>
      <c r="U330" s="8" t="s">
        <v>162</v>
      </c>
      <c r="V330" s="13"/>
      <c r="W330" s="13"/>
      <c r="X330" s="13"/>
      <c r="Z330" s="13"/>
    </row>
    <row r="331" ht="21.75" customHeight="1">
      <c r="A331" s="25" t="str">
        <f>IF(B331="","","CAN-"&amp;TEXT(330,"000"))</f>
        <v>CAN-330</v>
      </c>
      <c r="B331" s="15" t="s">
        <v>1196</v>
      </c>
      <c r="C331" s="8" t="s">
        <v>24</v>
      </c>
      <c r="D331" s="16" t="s">
        <v>1197</v>
      </c>
      <c r="E331" s="15" t="s">
        <v>370</v>
      </c>
      <c r="F331" s="8" t="s">
        <v>90</v>
      </c>
      <c r="G331" s="16" t="s">
        <v>158</v>
      </c>
      <c r="H331" s="16" t="s">
        <v>802</v>
      </c>
      <c r="I331" s="15" t="s">
        <v>30</v>
      </c>
      <c r="J331" s="15" t="s">
        <v>366</v>
      </c>
      <c r="K331" s="38" t="s">
        <v>32</v>
      </c>
      <c r="L331" s="15" t="s">
        <v>220</v>
      </c>
      <c r="M331" s="15" t="s">
        <v>34</v>
      </c>
      <c r="N331" s="15" t="s">
        <v>35</v>
      </c>
      <c r="O331" s="17"/>
      <c r="P331" s="17"/>
      <c r="Q331" s="17"/>
      <c r="R331" s="17"/>
      <c r="S331" s="19"/>
      <c r="T331" s="19"/>
      <c r="U331" s="15" t="s">
        <v>0</v>
      </c>
      <c r="V331" s="13"/>
      <c r="W331" s="13"/>
      <c r="X331" s="13"/>
      <c r="Z331" s="13"/>
    </row>
    <row r="332" ht="21.75" customHeight="1">
      <c r="A332" s="27" t="str">
        <f>IF(B332="","","CAN-"&amp;TEXT(331,"000"))</f>
        <v>CAN-331</v>
      </c>
      <c r="B332" s="8" t="s">
        <v>1198</v>
      </c>
      <c r="C332" s="8" t="s">
        <v>24</v>
      </c>
      <c r="D332" s="9" t="s">
        <v>1199</v>
      </c>
      <c r="E332" s="8" t="s">
        <v>370</v>
      </c>
      <c r="F332" s="8" t="s">
        <v>90</v>
      </c>
      <c r="G332" s="9" t="s">
        <v>158</v>
      </c>
      <c r="H332" s="9" t="s">
        <v>802</v>
      </c>
      <c r="I332" s="8" t="s">
        <v>30</v>
      </c>
      <c r="J332" s="8" t="s">
        <v>366</v>
      </c>
      <c r="K332" s="38" t="s">
        <v>32</v>
      </c>
      <c r="L332" s="15" t="s">
        <v>220</v>
      </c>
      <c r="M332" s="15" t="s">
        <v>34</v>
      </c>
      <c r="N332" s="15" t="s">
        <v>35</v>
      </c>
      <c r="O332" s="10"/>
      <c r="P332" s="10"/>
      <c r="Q332" s="10"/>
      <c r="R332" s="10"/>
      <c r="S332" s="21"/>
      <c r="T332" s="21"/>
      <c r="U332" s="8" t="s">
        <v>0</v>
      </c>
      <c r="V332" s="13"/>
      <c r="W332" s="13"/>
      <c r="X332" s="13"/>
      <c r="Z332" s="13"/>
    </row>
    <row r="333" ht="21.75" customHeight="1">
      <c r="A333" s="25" t="str">
        <f>IF(B333="","","CAN-"&amp;TEXT(332,"000"))</f>
        <v>CAN-332</v>
      </c>
      <c r="B333" s="15" t="s">
        <v>1200</v>
      </c>
      <c r="C333" s="8" t="s">
        <v>24</v>
      </c>
      <c r="D333" s="16" t="s">
        <v>1201</v>
      </c>
      <c r="E333" s="15" t="s">
        <v>370</v>
      </c>
      <c r="F333" s="8" t="s">
        <v>90</v>
      </c>
      <c r="G333" s="16" t="s">
        <v>29</v>
      </c>
      <c r="H333" s="16" t="s">
        <v>158</v>
      </c>
      <c r="I333" s="15" t="s">
        <v>39</v>
      </c>
      <c r="J333" s="15" t="s">
        <v>366</v>
      </c>
      <c r="K333" s="38" t="s">
        <v>32</v>
      </c>
      <c r="L333" s="15" t="s">
        <v>220</v>
      </c>
      <c r="M333" s="15" t="s">
        <v>34</v>
      </c>
      <c r="N333" s="15" t="s">
        <v>35</v>
      </c>
      <c r="O333" s="17"/>
      <c r="P333" s="17"/>
      <c r="Q333" s="17"/>
      <c r="R333" s="17"/>
      <c r="S333" s="19"/>
      <c r="T333" s="19"/>
      <c r="U333" s="15" t="s">
        <v>37</v>
      </c>
      <c r="V333" s="13"/>
      <c r="W333" s="13"/>
      <c r="X333" s="13"/>
      <c r="Z333" s="13"/>
    </row>
    <row r="334" ht="21.75" customHeight="1">
      <c r="A334" s="27" t="str">
        <f>IF(B334="","","CAN-"&amp;TEXT(333,"000"))</f>
        <v>CAN-333</v>
      </c>
      <c r="B334" s="8" t="s">
        <v>1202</v>
      </c>
      <c r="C334" s="8" t="s">
        <v>24</v>
      </c>
      <c r="D334" s="9" t="s">
        <v>1203</v>
      </c>
      <c r="E334" s="8" t="s">
        <v>67</v>
      </c>
      <c r="F334" s="8" t="s">
        <v>142</v>
      </c>
      <c r="G334" s="9" t="s">
        <v>802</v>
      </c>
      <c r="H334" s="9" t="s">
        <v>1204</v>
      </c>
      <c r="I334" s="8" t="s">
        <v>39</v>
      </c>
      <c r="J334" s="8" t="s">
        <v>366</v>
      </c>
      <c r="K334" s="38" t="s">
        <v>32</v>
      </c>
      <c r="L334" s="15" t="s">
        <v>220</v>
      </c>
      <c r="M334" s="15" t="s">
        <v>34</v>
      </c>
      <c r="N334" s="15" t="s">
        <v>35</v>
      </c>
      <c r="O334" s="10"/>
      <c r="P334" s="10"/>
      <c r="Q334" s="10"/>
      <c r="R334" s="10"/>
      <c r="S334" s="21"/>
      <c r="T334" s="21"/>
      <c r="U334" s="10"/>
      <c r="V334" s="13"/>
      <c r="W334" s="13"/>
      <c r="X334" s="13"/>
      <c r="Z334" s="13"/>
    </row>
    <row r="335" ht="21.75" customHeight="1">
      <c r="A335" s="25" t="str">
        <f>IF(B335="","","CAN-"&amp;TEXT(334,"000"))</f>
        <v>CAN-334</v>
      </c>
      <c r="B335" s="15" t="s">
        <v>1205</v>
      </c>
      <c r="C335" s="8" t="s">
        <v>24</v>
      </c>
      <c r="D335" s="16" t="s">
        <v>1206</v>
      </c>
      <c r="E335" s="15" t="s">
        <v>67</v>
      </c>
      <c r="F335" s="8" t="s">
        <v>142</v>
      </c>
      <c r="G335" s="16" t="s">
        <v>129</v>
      </c>
      <c r="H335" s="16" t="s">
        <v>70</v>
      </c>
      <c r="I335" s="15" t="s">
        <v>39</v>
      </c>
      <c r="J335" s="15" t="s">
        <v>1207</v>
      </c>
      <c r="K335" s="38" t="s">
        <v>32</v>
      </c>
      <c r="L335" s="15" t="s">
        <v>220</v>
      </c>
      <c r="M335" s="15" t="s">
        <v>34</v>
      </c>
      <c r="N335" s="15" t="s">
        <v>35</v>
      </c>
      <c r="O335" s="17"/>
      <c r="P335" s="17"/>
      <c r="Q335" s="17"/>
      <c r="R335" s="17"/>
      <c r="S335" s="19"/>
      <c r="T335" s="19"/>
      <c r="U335" s="17"/>
      <c r="V335" s="13"/>
      <c r="W335" s="13"/>
      <c r="X335" s="13"/>
      <c r="Z335" s="13"/>
    </row>
    <row r="336" ht="21.75" customHeight="1">
      <c r="A336" s="27" t="str">
        <f>IF(B336="","","CAN-"&amp;TEXT(335,"000"))</f>
        <v>CAN-335</v>
      </c>
      <c r="B336" s="8" t="s">
        <v>1208</v>
      </c>
      <c r="C336" s="8" t="s">
        <v>24</v>
      </c>
      <c r="D336" s="9" t="s">
        <v>1209</v>
      </c>
      <c r="E336" s="8" t="s">
        <v>321</v>
      </c>
      <c r="F336" s="8" t="s">
        <v>90</v>
      </c>
      <c r="G336" s="9" t="s">
        <v>1210</v>
      </c>
      <c r="H336" s="9" t="s">
        <v>133</v>
      </c>
      <c r="I336" s="8" t="s">
        <v>39</v>
      </c>
      <c r="J336" s="8" t="s">
        <v>1211</v>
      </c>
      <c r="K336" s="38" t="s">
        <v>92</v>
      </c>
      <c r="L336" s="15" t="s">
        <v>220</v>
      </c>
      <c r="M336" s="15" t="s">
        <v>34</v>
      </c>
      <c r="N336" s="15" t="s">
        <v>35</v>
      </c>
      <c r="O336" s="10"/>
      <c r="P336" s="10"/>
      <c r="Q336" s="10"/>
      <c r="R336" s="10"/>
      <c r="S336" s="21"/>
      <c r="T336" s="21"/>
      <c r="U336" s="10"/>
      <c r="V336" s="13"/>
      <c r="W336" s="13"/>
      <c r="X336" s="13"/>
      <c r="Z336" s="13"/>
    </row>
    <row r="337" ht="21.75" customHeight="1">
      <c r="A337" s="25" t="str">
        <f>IF(B337="","","CAN-"&amp;TEXT(336,"000"))</f>
        <v>CAN-336</v>
      </c>
      <c r="B337" s="15" t="s">
        <v>1212</v>
      </c>
      <c r="C337" s="8" t="s">
        <v>24</v>
      </c>
      <c r="D337" s="16" t="s">
        <v>1213</v>
      </c>
      <c r="E337" s="15" t="s">
        <v>166</v>
      </c>
      <c r="F337" s="8" t="s">
        <v>90</v>
      </c>
      <c r="G337" s="16" t="s">
        <v>169</v>
      </c>
      <c r="H337" s="16" t="s">
        <v>102</v>
      </c>
      <c r="I337" s="15" t="s">
        <v>39</v>
      </c>
      <c r="J337" s="15" t="s">
        <v>1211</v>
      </c>
      <c r="K337" s="38" t="s">
        <v>32</v>
      </c>
      <c r="L337" s="15" t="s">
        <v>220</v>
      </c>
      <c r="M337" s="15" t="s">
        <v>34</v>
      </c>
      <c r="N337" s="15" t="s">
        <v>35</v>
      </c>
      <c r="O337" s="17"/>
      <c r="P337" s="17"/>
      <c r="Q337" s="17"/>
      <c r="R337" s="17"/>
      <c r="S337" s="19"/>
      <c r="T337" s="19"/>
      <c r="U337" s="17"/>
      <c r="V337" s="13"/>
      <c r="W337" s="13"/>
      <c r="X337" s="13"/>
      <c r="Z337" s="13"/>
    </row>
    <row r="338" ht="21.75" customHeight="1">
      <c r="A338" s="27" t="str">
        <f>IF(B338="","","CAN-"&amp;TEXT(337,"000"))</f>
        <v>CAN-337</v>
      </c>
      <c r="B338" s="8" t="s">
        <v>1214</v>
      </c>
      <c r="C338" s="8" t="s">
        <v>24</v>
      </c>
      <c r="D338" s="9" t="s">
        <v>1215</v>
      </c>
      <c r="E338" s="8" t="s">
        <v>101</v>
      </c>
      <c r="F338" s="8" t="s">
        <v>101</v>
      </c>
      <c r="G338" s="9" t="s">
        <v>43</v>
      </c>
      <c r="H338" s="9" t="s">
        <v>44</v>
      </c>
      <c r="I338" s="8" t="s">
        <v>39</v>
      </c>
      <c r="J338" s="8" t="s">
        <v>1211</v>
      </c>
      <c r="K338" s="38" t="s">
        <v>32</v>
      </c>
      <c r="L338" s="15" t="s">
        <v>220</v>
      </c>
      <c r="M338" s="15" t="s">
        <v>34</v>
      </c>
      <c r="N338" s="15" t="s">
        <v>35</v>
      </c>
      <c r="O338" s="10"/>
      <c r="P338" s="10"/>
      <c r="Q338" s="10"/>
      <c r="R338" s="10"/>
      <c r="S338" s="21"/>
      <c r="T338" s="21"/>
      <c r="U338" s="10"/>
      <c r="V338" s="13"/>
      <c r="W338" s="13"/>
      <c r="X338" s="13"/>
      <c r="Z338" s="13"/>
    </row>
    <row r="339" ht="21.75" customHeight="1">
      <c r="A339" s="25" t="str">
        <f>IF(B339="","","CAN-"&amp;TEXT(338,"000"))</f>
        <v>CAN-338</v>
      </c>
      <c r="B339" s="15" t="s">
        <v>1216</v>
      </c>
      <c r="C339" s="8" t="s">
        <v>24</v>
      </c>
      <c r="D339" s="16" t="s">
        <v>1217</v>
      </c>
      <c r="E339" s="15" t="s">
        <v>115</v>
      </c>
      <c r="F339" s="8" t="s">
        <v>90</v>
      </c>
      <c r="G339" s="16" t="s">
        <v>218</v>
      </c>
      <c r="H339" s="16" t="s">
        <v>201</v>
      </c>
      <c r="I339" s="15" t="s">
        <v>39</v>
      </c>
      <c r="J339" s="15" t="s">
        <v>507</v>
      </c>
      <c r="K339" s="38" t="s">
        <v>92</v>
      </c>
      <c r="L339" s="15" t="s">
        <v>220</v>
      </c>
      <c r="M339" s="15" t="s">
        <v>34</v>
      </c>
      <c r="N339" s="15" t="s">
        <v>35</v>
      </c>
      <c r="O339" s="17"/>
      <c r="P339" s="17"/>
      <c r="Q339" s="17"/>
      <c r="R339" s="17"/>
      <c r="S339" s="19"/>
      <c r="T339" s="19"/>
      <c r="U339" s="17"/>
      <c r="V339" s="13"/>
      <c r="W339" s="13"/>
      <c r="X339" s="13"/>
      <c r="Z339" s="13"/>
    </row>
    <row r="340" ht="21.75" customHeight="1">
      <c r="A340" s="27" t="str">
        <f>IF(B340="","","CAN-"&amp;TEXT(339,"000"))</f>
        <v>CAN-339</v>
      </c>
      <c r="B340" s="8" t="s">
        <v>1218</v>
      </c>
      <c r="C340" s="8" t="s">
        <v>24</v>
      </c>
      <c r="D340" s="9" t="s">
        <v>1219</v>
      </c>
      <c r="E340" s="8" t="s">
        <v>307</v>
      </c>
      <c r="F340" s="8" t="s">
        <v>90</v>
      </c>
      <c r="G340" s="9" t="s">
        <v>168</v>
      </c>
      <c r="H340" s="9" t="s">
        <v>169</v>
      </c>
      <c r="I340" s="8" t="s">
        <v>39</v>
      </c>
      <c r="J340" s="8" t="s">
        <v>590</v>
      </c>
      <c r="K340" s="38" t="s">
        <v>32</v>
      </c>
      <c r="L340" s="15" t="s">
        <v>220</v>
      </c>
      <c r="M340" s="15" t="s">
        <v>34</v>
      </c>
      <c r="N340" s="15" t="s">
        <v>35</v>
      </c>
      <c r="O340" s="10"/>
      <c r="P340" s="10"/>
      <c r="Q340" s="10"/>
      <c r="R340" s="10"/>
      <c r="S340" s="21"/>
      <c r="T340" s="21"/>
      <c r="U340" s="10"/>
      <c r="V340" s="13"/>
      <c r="W340" s="13"/>
      <c r="X340" s="13"/>
      <c r="Z340" s="13"/>
    </row>
    <row r="341" ht="21.75" customHeight="1">
      <c r="A341" s="25" t="str">
        <f>IF(B341="","","CAN-"&amp;TEXT(340,"000"))</f>
        <v>CAN-340</v>
      </c>
      <c r="B341" s="15" t="s">
        <v>1220</v>
      </c>
      <c r="C341" s="8" t="s">
        <v>24</v>
      </c>
      <c r="D341" s="16" t="s">
        <v>1221</v>
      </c>
      <c r="E341" s="15" t="s">
        <v>115</v>
      </c>
      <c r="F341" s="8" t="s">
        <v>90</v>
      </c>
      <c r="G341" s="16" t="s">
        <v>43</v>
      </c>
      <c r="H341" s="16" t="s">
        <v>122</v>
      </c>
      <c r="I341" s="15" t="s">
        <v>39</v>
      </c>
      <c r="J341" s="15" t="s">
        <v>325</v>
      </c>
      <c r="K341" s="38" t="s">
        <v>92</v>
      </c>
      <c r="L341" s="15" t="s">
        <v>220</v>
      </c>
      <c r="M341" s="15" t="s">
        <v>34</v>
      </c>
      <c r="N341" s="15" t="s">
        <v>35</v>
      </c>
      <c r="O341" s="17"/>
      <c r="P341" s="17"/>
      <c r="Q341" s="17"/>
      <c r="R341" s="17"/>
      <c r="S341" s="19"/>
      <c r="T341" s="19"/>
      <c r="U341" s="17"/>
      <c r="V341" s="13"/>
      <c r="W341" s="13"/>
      <c r="X341" s="13"/>
      <c r="Z341" s="13"/>
    </row>
    <row r="342" ht="21.75" customHeight="1">
      <c r="A342" s="27" t="str">
        <f>IF(B342="","","CAN-"&amp;TEXT(341,"000"))</f>
        <v>CAN-341</v>
      </c>
      <c r="B342" s="8" t="s">
        <v>1222</v>
      </c>
      <c r="C342" s="8" t="s">
        <v>24</v>
      </c>
      <c r="D342" s="9">
        <v>9.868362741E9</v>
      </c>
      <c r="E342" s="8" t="s">
        <v>79</v>
      </c>
      <c r="F342" s="8" t="s">
        <v>80</v>
      </c>
      <c r="G342" s="9" t="s">
        <v>129</v>
      </c>
      <c r="H342" s="9" t="s">
        <v>70</v>
      </c>
      <c r="I342" s="8" t="s">
        <v>30</v>
      </c>
      <c r="J342" s="8" t="s">
        <v>366</v>
      </c>
      <c r="K342" s="38" t="s">
        <v>32</v>
      </c>
      <c r="L342" s="15" t="s">
        <v>220</v>
      </c>
      <c r="M342" s="15" t="s">
        <v>34</v>
      </c>
      <c r="N342" s="15" t="s">
        <v>35</v>
      </c>
      <c r="O342" s="10"/>
      <c r="P342" s="10"/>
      <c r="Q342" s="10"/>
      <c r="R342" s="10"/>
      <c r="S342" s="21"/>
      <c r="T342" s="21"/>
      <c r="U342" s="10"/>
      <c r="V342" s="13"/>
      <c r="W342" s="13"/>
      <c r="X342" s="13"/>
      <c r="Z342" s="13"/>
    </row>
    <row r="343" ht="21.75" customHeight="1">
      <c r="A343" s="25" t="str">
        <f>IF(B343="","","CAN-"&amp;TEXT(342,"000"))</f>
        <v>CAN-342</v>
      </c>
      <c r="B343" s="15" t="s">
        <v>1223</v>
      </c>
      <c r="C343" s="8" t="s">
        <v>24</v>
      </c>
      <c r="D343" s="23"/>
      <c r="E343" s="15" t="s">
        <v>67</v>
      </c>
      <c r="F343" s="8" t="s">
        <v>142</v>
      </c>
      <c r="G343" s="16" t="s">
        <v>70</v>
      </c>
      <c r="H343" s="16" t="s">
        <v>29</v>
      </c>
      <c r="I343" s="15" t="s">
        <v>30</v>
      </c>
      <c r="J343" s="15" t="s">
        <v>366</v>
      </c>
      <c r="K343" s="38" t="s">
        <v>32</v>
      </c>
      <c r="L343" s="15" t="s">
        <v>220</v>
      </c>
      <c r="M343" s="15" t="s">
        <v>34</v>
      </c>
      <c r="N343" s="15" t="s">
        <v>35</v>
      </c>
      <c r="O343" s="17"/>
      <c r="P343" s="17"/>
      <c r="Q343" s="17"/>
      <c r="R343" s="17"/>
      <c r="S343" s="19"/>
      <c r="T343" s="19"/>
      <c r="U343" s="17"/>
      <c r="V343" s="13"/>
      <c r="W343" s="13"/>
      <c r="X343" s="13"/>
      <c r="Z343" s="13"/>
    </row>
    <row r="344" ht="21.75" customHeight="1">
      <c r="A344" s="27" t="str">
        <f>IF(B344="","","CAN-"&amp;TEXT(343,"000"))</f>
        <v>CAN-343</v>
      </c>
      <c r="B344" s="8" t="s">
        <v>1224</v>
      </c>
      <c r="C344" s="8" t="s">
        <v>24</v>
      </c>
      <c r="D344" s="24"/>
      <c r="E344" s="8" t="s">
        <v>465</v>
      </c>
      <c r="F344" s="8" t="s">
        <v>80</v>
      </c>
      <c r="G344" s="9" t="s">
        <v>70</v>
      </c>
      <c r="H344" s="9" t="s">
        <v>29</v>
      </c>
      <c r="I344" s="8" t="s">
        <v>39</v>
      </c>
      <c r="J344" s="8" t="s">
        <v>1225</v>
      </c>
      <c r="K344" s="38" t="s">
        <v>32</v>
      </c>
      <c r="L344" s="15" t="s">
        <v>220</v>
      </c>
      <c r="M344" s="15" t="s">
        <v>34</v>
      </c>
      <c r="N344" s="15" t="s">
        <v>35</v>
      </c>
      <c r="O344" s="10"/>
      <c r="P344" s="10"/>
      <c r="Q344" s="10"/>
      <c r="R344" s="10"/>
      <c r="S344" s="21"/>
      <c r="T344" s="21"/>
      <c r="U344" s="10"/>
      <c r="V344" s="13"/>
      <c r="W344" s="13"/>
      <c r="X344" s="13"/>
      <c r="Z344" s="13"/>
    </row>
    <row r="345" ht="21.75" customHeight="1">
      <c r="A345" s="25" t="str">
        <f>IF(B345="","","CAN-"&amp;TEXT(344,"000"))</f>
        <v>CAN-344</v>
      </c>
      <c r="B345" s="15" t="s">
        <v>1226</v>
      </c>
      <c r="C345" s="8" t="s">
        <v>24</v>
      </c>
      <c r="D345" s="23"/>
      <c r="E345" s="15" t="s">
        <v>519</v>
      </c>
      <c r="F345" s="8" t="s">
        <v>90</v>
      </c>
      <c r="G345" s="16" t="s">
        <v>121</v>
      </c>
      <c r="H345" s="16" t="s">
        <v>43</v>
      </c>
      <c r="I345" s="15" t="s">
        <v>39</v>
      </c>
      <c r="J345" s="15" t="s">
        <v>293</v>
      </c>
      <c r="K345" s="38" t="s">
        <v>32</v>
      </c>
      <c r="L345" s="15" t="s">
        <v>220</v>
      </c>
      <c r="M345" s="15" t="s">
        <v>34</v>
      </c>
      <c r="N345" s="15" t="s">
        <v>35</v>
      </c>
      <c r="O345" s="17"/>
      <c r="P345" s="17"/>
      <c r="Q345" s="17"/>
      <c r="R345" s="17"/>
      <c r="S345" s="19"/>
      <c r="T345" s="19"/>
      <c r="U345" s="17"/>
      <c r="V345" s="13"/>
      <c r="W345" s="13"/>
      <c r="X345" s="13"/>
      <c r="Z345" s="13"/>
    </row>
    <row r="346" ht="21.75" customHeight="1">
      <c r="A346" s="27" t="str">
        <f>IF(B346="","","CAN-"&amp;TEXT(345,"000"))</f>
        <v>CAN-345</v>
      </c>
      <c r="B346" s="8" t="s">
        <v>1227</v>
      </c>
      <c r="C346" s="8" t="s">
        <v>24</v>
      </c>
      <c r="D346" s="24"/>
      <c r="E346" s="8" t="s">
        <v>215</v>
      </c>
      <c r="F346" s="8" t="s">
        <v>108</v>
      </c>
      <c r="G346" s="9" t="s">
        <v>122</v>
      </c>
      <c r="H346" s="9" t="s">
        <v>122</v>
      </c>
      <c r="I346" s="8" t="s">
        <v>39</v>
      </c>
      <c r="J346" s="8" t="s">
        <v>469</v>
      </c>
      <c r="K346" s="38" t="s">
        <v>32</v>
      </c>
      <c r="L346" s="15" t="s">
        <v>220</v>
      </c>
      <c r="M346" s="15" t="s">
        <v>34</v>
      </c>
      <c r="N346" s="15" t="s">
        <v>35</v>
      </c>
      <c r="O346" s="10"/>
      <c r="P346" s="10"/>
      <c r="Q346" s="10"/>
      <c r="R346" s="10"/>
      <c r="S346" s="21"/>
      <c r="T346" s="21"/>
      <c r="U346" s="10"/>
      <c r="V346" s="13"/>
      <c r="W346" s="13"/>
      <c r="X346" s="13"/>
      <c r="Z346" s="13"/>
    </row>
    <row r="347" ht="21.75" customHeight="1">
      <c r="A347" s="25" t="str">
        <f>IF(B347="","","CAN-"&amp;TEXT(346,"000"))</f>
        <v>CAN-346</v>
      </c>
      <c r="B347" s="15" t="s">
        <v>1228</v>
      </c>
      <c r="C347" s="8" t="s">
        <v>24</v>
      </c>
      <c r="D347" s="23"/>
      <c r="E347" s="15" t="s">
        <v>50</v>
      </c>
      <c r="F347" s="8" t="s">
        <v>90</v>
      </c>
      <c r="G347" s="16" t="s">
        <v>218</v>
      </c>
      <c r="H347" s="16" t="s">
        <v>201</v>
      </c>
      <c r="I347" s="15" t="s">
        <v>39</v>
      </c>
      <c r="J347" s="15" t="s">
        <v>469</v>
      </c>
      <c r="K347" s="38" t="s">
        <v>32</v>
      </c>
      <c r="L347" s="15" t="s">
        <v>220</v>
      </c>
      <c r="M347" s="15" t="s">
        <v>34</v>
      </c>
      <c r="N347" s="15" t="s">
        <v>35</v>
      </c>
      <c r="O347" s="17"/>
      <c r="P347" s="17"/>
      <c r="Q347" s="17"/>
      <c r="R347" s="17"/>
      <c r="S347" s="19"/>
      <c r="T347" s="19"/>
      <c r="U347" s="17"/>
      <c r="V347" s="13"/>
      <c r="W347" s="13"/>
      <c r="X347" s="13"/>
      <c r="Z347" s="13"/>
    </row>
    <row r="348" ht="21.75" customHeight="1">
      <c r="A348" s="27" t="str">
        <f>IF(B348="","","CAN-"&amp;TEXT(347,"000"))</f>
        <v>CAN-347</v>
      </c>
      <c r="B348" s="8" t="s">
        <v>1229</v>
      </c>
      <c r="C348" s="8" t="s">
        <v>24</v>
      </c>
      <c r="D348" s="24"/>
      <c r="E348" s="8" t="s">
        <v>210</v>
      </c>
      <c r="F348" s="8" t="s">
        <v>108</v>
      </c>
      <c r="G348" s="9" t="s">
        <v>122</v>
      </c>
      <c r="H348" s="9" t="s">
        <v>44</v>
      </c>
      <c r="I348" s="8" t="s">
        <v>39</v>
      </c>
      <c r="J348" s="8" t="s">
        <v>1230</v>
      </c>
      <c r="K348" s="38" t="s">
        <v>92</v>
      </c>
      <c r="L348" s="15" t="s">
        <v>220</v>
      </c>
      <c r="M348" s="15" t="s">
        <v>34</v>
      </c>
      <c r="N348" s="15" t="s">
        <v>35</v>
      </c>
      <c r="O348" s="10"/>
      <c r="P348" s="10"/>
      <c r="Q348" s="10"/>
      <c r="R348" s="10"/>
      <c r="S348" s="21"/>
      <c r="T348" s="21"/>
      <c r="U348" s="10"/>
      <c r="V348" s="13"/>
      <c r="W348" s="13"/>
      <c r="X348" s="13"/>
      <c r="Z348" s="13"/>
    </row>
    <row r="349" ht="21.75" customHeight="1">
      <c r="A349" s="25" t="str">
        <f>IF(B349="","","CAN-"&amp;TEXT(348,"000"))</f>
        <v>CAN-348</v>
      </c>
      <c r="B349" s="15" t="s">
        <v>1231</v>
      </c>
      <c r="C349" s="8" t="s">
        <v>24</v>
      </c>
      <c r="D349" s="23"/>
      <c r="E349" s="15" t="s">
        <v>67</v>
      </c>
      <c r="F349" s="8" t="s">
        <v>108</v>
      </c>
      <c r="G349" s="16" t="s">
        <v>129</v>
      </c>
      <c r="H349" s="16" t="s">
        <v>279</v>
      </c>
      <c r="I349" s="15" t="s">
        <v>30</v>
      </c>
      <c r="J349" s="15" t="s">
        <v>366</v>
      </c>
      <c r="K349" s="38" t="s">
        <v>32</v>
      </c>
      <c r="L349" s="15" t="s">
        <v>220</v>
      </c>
      <c r="M349" s="15" t="s">
        <v>34</v>
      </c>
      <c r="N349" s="15" t="s">
        <v>35</v>
      </c>
      <c r="O349" s="17"/>
      <c r="P349" s="17"/>
      <c r="Q349" s="17"/>
      <c r="R349" s="17"/>
      <c r="S349" s="19"/>
      <c r="T349" s="19"/>
      <c r="U349" s="17"/>
      <c r="V349" s="13"/>
      <c r="W349" s="13"/>
      <c r="X349" s="13"/>
      <c r="Z349" s="13"/>
    </row>
    <row r="350" ht="21.75" customHeight="1">
      <c r="A350" s="27" t="str">
        <f>IF(B350="","","CAN-"&amp;TEXT(349,"000"))</f>
        <v>CAN-349</v>
      </c>
      <c r="B350" s="8" t="s">
        <v>1232</v>
      </c>
      <c r="C350" s="8" t="s">
        <v>24</v>
      </c>
      <c r="D350" s="24"/>
      <c r="E350" s="8" t="s">
        <v>42</v>
      </c>
      <c r="F350" s="8" t="s">
        <v>90</v>
      </c>
      <c r="G350" s="9" t="s">
        <v>122</v>
      </c>
      <c r="H350" s="9" t="s">
        <v>201</v>
      </c>
      <c r="I350" s="8" t="s">
        <v>39</v>
      </c>
      <c r="J350" s="8" t="s">
        <v>366</v>
      </c>
      <c r="K350" s="38" t="s">
        <v>92</v>
      </c>
      <c r="L350" s="15" t="s">
        <v>220</v>
      </c>
      <c r="M350" s="15" t="s">
        <v>34</v>
      </c>
      <c r="N350" s="15" t="s">
        <v>35</v>
      </c>
      <c r="O350" s="10"/>
      <c r="P350" s="10"/>
      <c r="Q350" s="10"/>
      <c r="R350" s="10"/>
      <c r="S350" s="21"/>
      <c r="T350" s="21"/>
      <c r="U350" s="10"/>
      <c r="V350" s="13"/>
      <c r="W350" s="13"/>
      <c r="X350" s="13"/>
      <c r="Z350" s="13"/>
    </row>
    <row r="351" ht="21.75" customHeight="1">
      <c r="A351" s="25" t="str">
        <f>IF(B351="","","CAN-"&amp;TEXT(350,"000"))</f>
        <v>CAN-350</v>
      </c>
      <c r="B351" s="15" t="s">
        <v>1233</v>
      </c>
      <c r="C351" s="8" t="s">
        <v>24</v>
      </c>
      <c r="D351" s="23"/>
      <c r="E351" s="15" t="s">
        <v>525</v>
      </c>
      <c r="F351" s="8" t="s">
        <v>108</v>
      </c>
      <c r="G351" s="16" t="s">
        <v>1234</v>
      </c>
      <c r="H351" s="16" t="s">
        <v>129</v>
      </c>
      <c r="I351" s="15" t="s">
        <v>30</v>
      </c>
      <c r="J351" s="15" t="s">
        <v>366</v>
      </c>
      <c r="K351" s="38" t="s">
        <v>32</v>
      </c>
      <c r="L351" s="15" t="s">
        <v>220</v>
      </c>
      <c r="M351" s="15" t="s">
        <v>34</v>
      </c>
      <c r="N351" s="15" t="s">
        <v>35</v>
      </c>
      <c r="O351" s="17"/>
      <c r="P351" s="17"/>
      <c r="Q351" s="17"/>
      <c r="R351" s="17"/>
      <c r="S351" s="19"/>
      <c r="T351" s="19"/>
      <c r="U351" s="17"/>
      <c r="V351" s="13"/>
      <c r="W351" s="13"/>
      <c r="X351" s="13"/>
      <c r="Z351" s="13"/>
    </row>
    <row r="352" ht="21.75" customHeight="1">
      <c r="A352" s="27" t="str">
        <f>IF(B352="","","CAN-"&amp;TEXT(351,"000"))</f>
        <v>CAN-351</v>
      </c>
      <c r="B352" s="8" t="s">
        <v>1235</v>
      </c>
      <c r="C352" s="8" t="s">
        <v>24</v>
      </c>
      <c r="D352" s="24"/>
      <c r="E352" s="8" t="s">
        <v>525</v>
      </c>
      <c r="F352" s="8" t="s">
        <v>108</v>
      </c>
      <c r="G352" s="9" t="s">
        <v>361</v>
      </c>
      <c r="H352" s="9" t="s">
        <v>635</v>
      </c>
      <c r="I352" s="8" t="s">
        <v>39</v>
      </c>
      <c r="J352" s="8" t="s">
        <v>366</v>
      </c>
      <c r="K352" s="38" t="s">
        <v>92</v>
      </c>
      <c r="L352" s="15" t="s">
        <v>220</v>
      </c>
      <c r="M352" s="15" t="s">
        <v>34</v>
      </c>
      <c r="N352" s="15" t="s">
        <v>35</v>
      </c>
      <c r="O352" s="10"/>
      <c r="P352" s="10"/>
      <c r="Q352" s="10"/>
      <c r="R352" s="10"/>
      <c r="S352" s="21"/>
      <c r="T352" s="21"/>
      <c r="U352" s="10"/>
      <c r="V352" s="13"/>
      <c r="W352" s="13"/>
      <c r="X352" s="13"/>
      <c r="Z352" s="13"/>
    </row>
    <row r="353" ht="21.75" customHeight="1">
      <c r="A353" s="25" t="str">
        <f>IF(B353="","","CAN-"&amp;TEXT(352,"000"))</f>
        <v>CAN-352</v>
      </c>
      <c r="B353" s="15" t="s">
        <v>1236</v>
      </c>
      <c r="C353" s="8" t="s">
        <v>24</v>
      </c>
      <c r="D353" s="23"/>
      <c r="E353" s="15" t="s">
        <v>112</v>
      </c>
      <c r="F353" s="8" t="s">
        <v>90</v>
      </c>
      <c r="G353" s="16" t="s">
        <v>1237</v>
      </c>
      <c r="H353" s="16" t="s">
        <v>129</v>
      </c>
      <c r="I353" s="15" t="s">
        <v>39</v>
      </c>
      <c r="J353" s="15" t="s">
        <v>366</v>
      </c>
      <c r="K353" s="38" t="s">
        <v>32</v>
      </c>
      <c r="L353" s="15" t="s">
        <v>220</v>
      </c>
      <c r="M353" s="15" t="s">
        <v>34</v>
      </c>
      <c r="N353" s="15" t="s">
        <v>35</v>
      </c>
      <c r="O353" s="17"/>
      <c r="P353" s="17"/>
      <c r="Q353" s="17"/>
      <c r="R353" s="17"/>
      <c r="S353" s="19"/>
      <c r="T353" s="19"/>
      <c r="U353" s="17"/>
      <c r="V353" s="13"/>
      <c r="W353" s="13"/>
      <c r="X353" s="13"/>
      <c r="Z353" s="13"/>
    </row>
    <row r="354" ht="21.75" customHeight="1">
      <c r="A354" s="27" t="str">
        <f>IF(B354="","","CAN-"&amp;TEXT(353,"000"))</f>
        <v>CAN-353</v>
      </c>
      <c r="B354" s="8" t="s">
        <v>1238</v>
      </c>
      <c r="C354" s="8" t="s">
        <v>147</v>
      </c>
      <c r="D354" s="9">
        <v>8.60482504E9</v>
      </c>
      <c r="E354" s="8" t="s">
        <v>248</v>
      </c>
      <c r="F354" s="8" t="s">
        <v>929</v>
      </c>
      <c r="G354" s="9" t="s">
        <v>116</v>
      </c>
      <c r="H354" s="9" t="s">
        <v>102</v>
      </c>
      <c r="I354" s="8" t="s">
        <v>39</v>
      </c>
      <c r="J354" s="8" t="s">
        <v>469</v>
      </c>
      <c r="K354" s="38" t="s">
        <v>32</v>
      </c>
      <c r="L354" s="15" t="s">
        <v>61</v>
      </c>
      <c r="M354" s="15" t="s">
        <v>34</v>
      </c>
      <c r="N354" s="8" t="s">
        <v>45</v>
      </c>
      <c r="O354" s="10"/>
      <c r="P354" s="10"/>
      <c r="Q354" s="10"/>
      <c r="R354" s="11" t="s">
        <v>1239</v>
      </c>
      <c r="S354" s="20">
        <v>46148.0</v>
      </c>
      <c r="T354" s="21"/>
      <c r="U354" s="10"/>
      <c r="V354" s="13"/>
      <c r="W354" s="13"/>
      <c r="X354" s="13"/>
      <c r="Z354" s="13"/>
    </row>
    <row r="355" ht="21.75" customHeight="1">
      <c r="A355" s="25" t="str">
        <f>IF(B355="","","CAN-"&amp;TEXT(354,"000"))</f>
        <v>CAN-354</v>
      </c>
      <c r="B355" s="15" t="s">
        <v>1240</v>
      </c>
      <c r="C355" s="8" t="s">
        <v>41</v>
      </c>
      <c r="D355" s="16">
        <v>8.657644619E9</v>
      </c>
      <c r="E355" s="15" t="s">
        <v>120</v>
      </c>
      <c r="F355" s="8" t="s">
        <v>90</v>
      </c>
      <c r="G355" s="16" t="s">
        <v>132</v>
      </c>
      <c r="H355" s="16" t="s">
        <v>132</v>
      </c>
      <c r="I355" s="15" t="s">
        <v>39</v>
      </c>
      <c r="J355" s="17"/>
      <c r="K355" s="38" t="s">
        <v>32</v>
      </c>
      <c r="L355" s="15" t="s">
        <v>220</v>
      </c>
      <c r="M355" s="15" t="s">
        <v>34</v>
      </c>
      <c r="N355" s="15" t="s">
        <v>45</v>
      </c>
      <c r="O355" s="17"/>
      <c r="P355" s="17"/>
      <c r="Q355" s="17"/>
      <c r="R355" s="22" t="s">
        <v>1241</v>
      </c>
      <c r="S355" s="20">
        <v>46148.0</v>
      </c>
      <c r="T355" s="19"/>
      <c r="U355" s="15" t="s">
        <v>125</v>
      </c>
      <c r="V355" s="13"/>
      <c r="W355" s="13"/>
      <c r="X355" s="13"/>
      <c r="Z355" s="13"/>
    </row>
    <row r="356" ht="21.75" customHeight="1">
      <c r="A356" s="27" t="str">
        <f>IF(B356="","","CAN-"&amp;TEXT(355,"000"))</f>
        <v>CAN-355</v>
      </c>
      <c r="B356" s="8" t="s">
        <v>1242</v>
      </c>
      <c r="C356" s="8" t="s">
        <v>41</v>
      </c>
      <c r="D356" s="9">
        <v>9.76968851E9</v>
      </c>
      <c r="E356" s="8" t="s">
        <v>86</v>
      </c>
      <c r="F356" s="8" t="s">
        <v>108</v>
      </c>
      <c r="G356" s="9" t="s">
        <v>132</v>
      </c>
      <c r="H356" s="9" t="s">
        <v>324</v>
      </c>
      <c r="I356" s="8" t="s">
        <v>39</v>
      </c>
      <c r="J356" s="8" t="s">
        <v>1084</v>
      </c>
      <c r="K356" s="38" t="s">
        <v>32</v>
      </c>
      <c r="L356" s="15" t="s">
        <v>61</v>
      </c>
      <c r="M356" s="15" t="s">
        <v>34</v>
      </c>
      <c r="N356" s="8" t="s">
        <v>45</v>
      </c>
      <c r="O356" s="10"/>
      <c r="P356" s="10"/>
      <c r="Q356" s="10"/>
      <c r="R356" s="11" t="s">
        <v>1241</v>
      </c>
      <c r="S356" s="20">
        <v>46148.0</v>
      </c>
      <c r="T356" s="21"/>
      <c r="U356" s="10"/>
      <c r="V356" s="13"/>
      <c r="W356" s="13"/>
      <c r="X356" s="13"/>
      <c r="Z356" s="13"/>
    </row>
    <row r="357" ht="21.75" customHeight="1">
      <c r="A357" s="25" t="str">
        <f>IF(B357="","","CAN-"&amp;TEXT(356,"000"))</f>
        <v>CAN-356</v>
      </c>
      <c r="B357" s="15" t="s">
        <v>1243</v>
      </c>
      <c r="C357" s="8" t="s">
        <v>147</v>
      </c>
      <c r="D357" s="16">
        <v>7.770945978E9</v>
      </c>
      <c r="E357" s="15" t="s">
        <v>441</v>
      </c>
      <c r="F357" s="8"/>
      <c r="G357" s="23"/>
      <c r="H357" s="23"/>
      <c r="I357" s="15" t="s">
        <v>39</v>
      </c>
      <c r="J357" s="17"/>
      <c r="K357" s="38" t="s">
        <v>92</v>
      </c>
      <c r="L357" s="15" t="s">
        <v>61</v>
      </c>
      <c r="M357" s="15" t="s">
        <v>34</v>
      </c>
      <c r="N357" s="15" t="s">
        <v>35</v>
      </c>
      <c r="O357" s="17"/>
      <c r="P357" s="17"/>
      <c r="Q357" s="17"/>
      <c r="R357" s="22" t="s">
        <v>1244</v>
      </c>
      <c r="S357" s="18">
        <v>46148.0</v>
      </c>
      <c r="T357" s="19"/>
      <c r="U357" s="15" t="s">
        <v>1245</v>
      </c>
      <c r="V357" s="13"/>
      <c r="W357" s="13"/>
      <c r="X357" s="13"/>
      <c r="Z357" s="13"/>
    </row>
    <row r="358" ht="21.75" customHeight="1">
      <c r="A358" s="27" t="str">
        <f>IF(B358="","","CAN-"&amp;TEXT(357,"000"))</f>
        <v>CAN-357</v>
      </c>
      <c r="B358" s="8" t="s">
        <v>1246</v>
      </c>
      <c r="C358" s="8" t="s">
        <v>147</v>
      </c>
      <c r="D358" s="9">
        <v>8.60071279E9</v>
      </c>
      <c r="E358" s="8" t="s">
        <v>210</v>
      </c>
      <c r="F358" s="8" t="s">
        <v>408</v>
      </c>
      <c r="G358" s="9" t="s">
        <v>1247</v>
      </c>
      <c r="H358" s="24"/>
      <c r="I358" s="8" t="s">
        <v>39</v>
      </c>
      <c r="J358" s="8" t="s">
        <v>325</v>
      </c>
      <c r="K358" s="38" t="s">
        <v>32</v>
      </c>
      <c r="L358" s="15" t="s">
        <v>220</v>
      </c>
      <c r="M358" s="15" t="s">
        <v>34</v>
      </c>
      <c r="N358" s="8" t="s">
        <v>35</v>
      </c>
      <c r="O358" s="10"/>
      <c r="P358" s="10"/>
      <c r="Q358" s="10"/>
      <c r="R358" s="11" t="s">
        <v>1248</v>
      </c>
      <c r="S358" s="20">
        <v>46148.0</v>
      </c>
      <c r="T358" s="21"/>
      <c r="U358" s="8" t="s">
        <v>1173</v>
      </c>
      <c r="V358" s="13"/>
      <c r="W358" s="13"/>
      <c r="X358" s="13"/>
      <c r="Z358" s="13"/>
    </row>
    <row r="359" ht="21.75" customHeight="1">
      <c r="A359" s="25" t="str">
        <f>IF(B359="","","CAN-"&amp;TEXT(358,"000"))</f>
        <v>CAN-358</v>
      </c>
      <c r="B359" s="15" t="s">
        <v>1249</v>
      </c>
      <c r="C359" s="8" t="s">
        <v>41</v>
      </c>
      <c r="D359" s="16">
        <v>7.977234578E9</v>
      </c>
      <c r="E359" s="15" t="s">
        <v>155</v>
      </c>
      <c r="F359" s="8" t="s">
        <v>408</v>
      </c>
      <c r="G359" s="16" t="s">
        <v>132</v>
      </c>
      <c r="H359" s="16" t="s">
        <v>360</v>
      </c>
      <c r="I359" s="15" t="s">
        <v>39</v>
      </c>
      <c r="J359" s="15" t="s">
        <v>590</v>
      </c>
      <c r="K359" s="38" t="s">
        <v>32</v>
      </c>
      <c r="L359" s="15" t="s">
        <v>220</v>
      </c>
      <c r="M359" s="15" t="s">
        <v>34</v>
      </c>
      <c r="N359" s="15" t="s">
        <v>45</v>
      </c>
      <c r="O359" s="17"/>
      <c r="P359" s="17"/>
      <c r="Q359" s="17"/>
      <c r="R359" s="22" t="s">
        <v>1250</v>
      </c>
      <c r="S359" s="18">
        <v>46148.0</v>
      </c>
      <c r="T359" s="19"/>
      <c r="U359" s="15" t="s">
        <v>560</v>
      </c>
      <c r="V359" s="13"/>
      <c r="W359" s="13"/>
      <c r="X359" s="13"/>
      <c r="Z359" s="13"/>
    </row>
    <row r="360" ht="21.75" customHeight="1">
      <c r="A360" s="27" t="str">
        <f>IF(B360="","","CAN-"&amp;TEXT(359,"000"))</f>
        <v>CAN-359</v>
      </c>
      <c r="B360" s="8" t="s">
        <v>1251</v>
      </c>
      <c r="C360" s="8" t="s">
        <v>41</v>
      </c>
      <c r="D360" s="9">
        <v>9.076241701E9</v>
      </c>
      <c r="E360" s="8" t="s">
        <v>210</v>
      </c>
      <c r="F360" s="8" t="s">
        <v>408</v>
      </c>
      <c r="G360" s="9" t="s">
        <v>43</v>
      </c>
      <c r="H360" s="9" t="s">
        <v>201</v>
      </c>
      <c r="I360" s="8" t="s">
        <v>39</v>
      </c>
      <c r="J360" s="8" t="s">
        <v>469</v>
      </c>
      <c r="K360" s="38" t="s">
        <v>32</v>
      </c>
      <c r="L360" s="15" t="s">
        <v>220</v>
      </c>
      <c r="M360" s="15" t="s">
        <v>34</v>
      </c>
      <c r="N360" s="8" t="s">
        <v>45</v>
      </c>
      <c r="O360" s="10"/>
      <c r="P360" s="10"/>
      <c r="Q360" s="10"/>
      <c r="R360" s="11" t="s">
        <v>1252</v>
      </c>
      <c r="S360" s="20">
        <v>46149.0</v>
      </c>
      <c r="T360" s="21"/>
      <c r="U360" s="8" t="s">
        <v>560</v>
      </c>
      <c r="V360" s="13"/>
      <c r="W360" s="13"/>
      <c r="X360" s="13"/>
      <c r="Z360" s="13"/>
    </row>
    <row r="361" ht="21.75" customHeight="1">
      <c r="A361" s="25" t="str">
        <f>IF(B361="","","CAN-"&amp;TEXT(360,"000"))</f>
        <v>CAN-360</v>
      </c>
      <c r="B361" s="15" t="s">
        <v>1253</v>
      </c>
      <c r="C361" s="8" t="s">
        <v>147</v>
      </c>
      <c r="D361" s="16">
        <v>9.967584288E9</v>
      </c>
      <c r="E361" s="15" t="s">
        <v>215</v>
      </c>
      <c r="F361" s="8" t="s">
        <v>408</v>
      </c>
      <c r="G361" s="16" t="s">
        <v>121</v>
      </c>
      <c r="H361" s="23"/>
      <c r="I361" s="15" t="s">
        <v>39</v>
      </c>
      <c r="J361" s="15" t="s">
        <v>469</v>
      </c>
      <c r="K361" s="38" t="s">
        <v>32</v>
      </c>
      <c r="L361" s="15" t="s">
        <v>220</v>
      </c>
      <c r="M361" s="15" t="s">
        <v>54</v>
      </c>
      <c r="N361" s="15" t="s">
        <v>35</v>
      </c>
      <c r="O361" s="17"/>
      <c r="P361" s="17"/>
      <c r="Q361" s="17"/>
      <c r="R361" s="22" t="s">
        <v>1254</v>
      </c>
      <c r="S361" s="18">
        <v>46149.0</v>
      </c>
      <c r="T361" s="19"/>
      <c r="U361" s="15" t="s">
        <v>560</v>
      </c>
      <c r="V361" s="13"/>
      <c r="W361" s="13"/>
      <c r="X361" s="13"/>
      <c r="Z361" s="13"/>
    </row>
    <row r="362" ht="21.75" customHeight="1">
      <c r="A362" s="27" t="str">
        <f>IF(B362="","","CAN-"&amp;TEXT(361,"000"))</f>
        <v>CAN-361</v>
      </c>
      <c r="B362" s="8" t="s">
        <v>1255</v>
      </c>
      <c r="C362" s="8" t="s">
        <v>41</v>
      </c>
      <c r="D362" s="9">
        <v>8.530228192E9</v>
      </c>
      <c r="E362" s="8" t="s">
        <v>210</v>
      </c>
      <c r="F362" s="8" t="s">
        <v>408</v>
      </c>
      <c r="G362" s="9" t="s">
        <v>218</v>
      </c>
      <c r="H362" s="9" t="s">
        <v>201</v>
      </c>
      <c r="I362" s="8" t="s">
        <v>39</v>
      </c>
      <c r="J362" s="8" t="s">
        <v>1256</v>
      </c>
      <c r="K362" s="38" t="s">
        <v>32</v>
      </c>
      <c r="L362" s="15" t="s">
        <v>220</v>
      </c>
      <c r="M362" s="15" t="s">
        <v>34</v>
      </c>
      <c r="N362" s="8" t="s">
        <v>75</v>
      </c>
      <c r="O362" s="10"/>
      <c r="P362" s="10"/>
      <c r="Q362" s="10"/>
      <c r="R362" s="11" t="s">
        <v>1257</v>
      </c>
      <c r="S362" s="18">
        <v>46149.0</v>
      </c>
      <c r="T362" s="21"/>
      <c r="U362" s="8" t="s">
        <v>560</v>
      </c>
      <c r="V362" s="13"/>
      <c r="W362" s="13"/>
      <c r="X362" s="13"/>
      <c r="Z362" s="13"/>
    </row>
    <row r="363" ht="21.75" customHeight="1">
      <c r="A363" s="25" t="str">
        <f>IF(B363="","","CAN-"&amp;TEXT(362,"000"))</f>
        <v>CAN-362</v>
      </c>
      <c r="B363" s="15" t="s">
        <v>520</v>
      </c>
      <c r="C363" s="8" t="s">
        <v>41</v>
      </c>
      <c r="D363" s="16">
        <v>9.326677029E9</v>
      </c>
      <c r="E363" s="15" t="s">
        <v>210</v>
      </c>
      <c r="F363" s="8" t="s">
        <v>408</v>
      </c>
      <c r="G363" s="23"/>
      <c r="H363" s="23"/>
      <c r="I363" s="15" t="s">
        <v>39</v>
      </c>
      <c r="J363" s="15" t="s">
        <v>1084</v>
      </c>
      <c r="K363" s="38" t="s">
        <v>32</v>
      </c>
      <c r="L363" s="15" t="s">
        <v>220</v>
      </c>
      <c r="M363" s="15" t="s">
        <v>34</v>
      </c>
      <c r="N363" s="15" t="s">
        <v>35</v>
      </c>
      <c r="O363" s="17"/>
      <c r="P363" s="17"/>
      <c r="Q363" s="17"/>
      <c r="R363" s="22" t="s">
        <v>1258</v>
      </c>
      <c r="S363" s="18">
        <v>46149.0</v>
      </c>
      <c r="T363" s="19"/>
      <c r="U363" s="17"/>
      <c r="V363" s="13"/>
      <c r="W363" s="13"/>
      <c r="X363" s="13"/>
      <c r="Z363" s="13"/>
    </row>
    <row r="364" ht="21.75" customHeight="1">
      <c r="A364" s="27" t="str">
        <f>IF(B364="","","CAN-"&amp;TEXT(363,"000"))</f>
        <v>CAN-363</v>
      </c>
      <c r="B364" s="8" t="s">
        <v>1259</v>
      </c>
      <c r="C364" s="8" t="s">
        <v>147</v>
      </c>
      <c r="D364" s="9">
        <v>9.867024483E9</v>
      </c>
      <c r="E364" s="8" t="s">
        <v>275</v>
      </c>
      <c r="F364" s="8" t="s">
        <v>408</v>
      </c>
      <c r="G364" s="9" t="s">
        <v>29</v>
      </c>
      <c r="H364" s="24"/>
      <c r="I364" s="8" t="s">
        <v>39</v>
      </c>
      <c r="J364" s="10"/>
      <c r="K364" s="38" t="s">
        <v>32</v>
      </c>
      <c r="L364" s="15" t="s">
        <v>220</v>
      </c>
      <c r="M364" s="15" t="s">
        <v>34</v>
      </c>
      <c r="N364" s="8" t="s">
        <v>48</v>
      </c>
      <c r="O364" s="10"/>
      <c r="P364" s="10"/>
      <c r="Q364" s="10"/>
      <c r="R364" s="11" t="s">
        <v>1260</v>
      </c>
      <c r="S364" s="20">
        <v>46149.0</v>
      </c>
      <c r="T364" s="21"/>
      <c r="U364" s="8" t="s">
        <v>162</v>
      </c>
      <c r="V364" s="13"/>
      <c r="W364" s="13"/>
      <c r="X364" s="13"/>
      <c r="Z364" s="13"/>
    </row>
    <row r="365" ht="21.75" customHeight="1">
      <c r="A365" s="25" t="str">
        <f>IF(B365="","","CAN-"&amp;TEXT(364,"000"))</f>
        <v>CAN-364</v>
      </c>
      <c r="B365" s="15" t="s">
        <v>1261</v>
      </c>
      <c r="C365" s="8" t="s">
        <v>41</v>
      </c>
      <c r="D365" s="16">
        <v>9.082668718E9</v>
      </c>
      <c r="E365" s="15" t="s">
        <v>465</v>
      </c>
      <c r="F365" s="8" t="s">
        <v>108</v>
      </c>
      <c r="G365" s="23"/>
      <c r="H365" s="23"/>
      <c r="I365" s="15" t="s">
        <v>39</v>
      </c>
      <c r="J365" s="15" t="s">
        <v>1262</v>
      </c>
      <c r="K365" s="38" t="s">
        <v>32</v>
      </c>
      <c r="L365" s="15" t="s">
        <v>445</v>
      </c>
      <c r="M365" s="15" t="s">
        <v>34</v>
      </c>
      <c r="N365" s="15" t="s">
        <v>45</v>
      </c>
      <c r="O365" s="17"/>
      <c r="P365" s="17"/>
      <c r="Q365" s="17"/>
      <c r="R365" s="22" t="s">
        <v>1263</v>
      </c>
      <c r="S365" s="20">
        <v>46149.0</v>
      </c>
      <c r="T365" s="19"/>
      <c r="U365" s="15" t="s">
        <v>154</v>
      </c>
      <c r="V365" s="13"/>
      <c r="W365" s="13"/>
      <c r="X365" s="13"/>
      <c r="Z365" s="13"/>
    </row>
    <row r="366" ht="21.75" customHeight="1">
      <c r="A366" s="27" t="str">
        <f>IF(B366="","","CAN-"&amp;TEXT(365,"000"))</f>
        <v>CAN-365</v>
      </c>
      <c r="B366" s="8" t="s">
        <v>1264</v>
      </c>
      <c r="C366" s="8" t="s">
        <v>147</v>
      </c>
      <c r="D366" s="9">
        <v>9.664662554E9</v>
      </c>
      <c r="E366" s="8" t="s">
        <v>166</v>
      </c>
      <c r="F366" s="8" t="s">
        <v>90</v>
      </c>
      <c r="G366" s="9" t="s">
        <v>133</v>
      </c>
      <c r="H366" s="24"/>
      <c r="I366" s="8" t="s">
        <v>39</v>
      </c>
      <c r="J366" s="10"/>
      <c r="K366" s="38" t="s">
        <v>32</v>
      </c>
      <c r="L366" s="15" t="s">
        <v>445</v>
      </c>
      <c r="M366" s="15" t="s">
        <v>34</v>
      </c>
      <c r="N366" s="8" t="s">
        <v>35</v>
      </c>
      <c r="O366" s="10"/>
      <c r="P366" s="10"/>
      <c r="Q366" s="10"/>
      <c r="R366" s="11" t="s">
        <v>1265</v>
      </c>
      <c r="S366" s="20">
        <v>46150.0</v>
      </c>
      <c r="T366" s="21"/>
      <c r="U366" s="10"/>
      <c r="V366" s="13"/>
      <c r="W366" s="13"/>
      <c r="X366" s="13"/>
      <c r="Z366" s="13"/>
    </row>
    <row r="367" ht="21.75" customHeight="1">
      <c r="A367" s="25" t="str">
        <f>IF(B367="","","CAN-"&amp;TEXT(366,"000"))</f>
        <v>CAN-366</v>
      </c>
      <c r="B367" s="15" t="s">
        <v>1266</v>
      </c>
      <c r="C367" s="8" t="s">
        <v>147</v>
      </c>
      <c r="D367" s="16">
        <v>8.976789608E9</v>
      </c>
      <c r="E367" s="15" t="s">
        <v>101</v>
      </c>
      <c r="F367" s="8" t="s">
        <v>90</v>
      </c>
      <c r="G367" s="16" t="s">
        <v>201</v>
      </c>
      <c r="H367" s="23"/>
      <c r="I367" s="15" t="s">
        <v>39</v>
      </c>
      <c r="J367" s="15" t="s">
        <v>388</v>
      </c>
      <c r="K367" s="38" t="s">
        <v>32</v>
      </c>
      <c r="L367" s="15" t="s">
        <v>220</v>
      </c>
      <c r="M367" s="15" t="s">
        <v>34</v>
      </c>
      <c r="N367" s="15" t="s">
        <v>45</v>
      </c>
      <c r="O367" s="17"/>
      <c r="P367" s="17"/>
      <c r="Q367" s="17"/>
      <c r="R367" s="22" t="s">
        <v>1267</v>
      </c>
      <c r="S367" s="18">
        <v>46150.0</v>
      </c>
      <c r="T367" s="19"/>
      <c r="U367" s="15" t="s">
        <v>1268</v>
      </c>
      <c r="V367" s="13"/>
      <c r="W367" s="13"/>
      <c r="X367" s="13"/>
      <c r="Z367" s="13"/>
    </row>
    <row r="368" ht="21.75" customHeight="1">
      <c r="A368" s="27" t="str">
        <f>IF(B368="","","CAN-"&amp;TEXT(367,"000"))</f>
        <v>CAN-367</v>
      </c>
      <c r="B368" s="8" t="s">
        <v>1269</v>
      </c>
      <c r="C368" s="8" t="s">
        <v>147</v>
      </c>
      <c r="D368" s="9">
        <v>9.082315636E9</v>
      </c>
      <c r="E368" s="8" t="s">
        <v>166</v>
      </c>
      <c r="F368" s="8" t="s">
        <v>90</v>
      </c>
      <c r="G368" s="9" t="s">
        <v>44</v>
      </c>
      <c r="H368" s="9" t="s">
        <v>102</v>
      </c>
      <c r="I368" s="8" t="s">
        <v>39</v>
      </c>
      <c r="J368" s="8" t="s">
        <v>403</v>
      </c>
      <c r="K368" s="38" t="s">
        <v>32</v>
      </c>
      <c r="L368" s="15" t="s">
        <v>207</v>
      </c>
      <c r="M368" s="15" t="s">
        <v>34</v>
      </c>
      <c r="N368" s="8" t="s">
        <v>35</v>
      </c>
      <c r="O368" s="10"/>
      <c r="P368" s="10"/>
      <c r="Q368" s="10"/>
      <c r="R368" s="11" t="s">
        <v>1270</v>
      </c>
      <c r="S368" s="20">
        <v>46150.0</v>
      </c>
      <c r="T368" s="21"/>
      <c r="U368" s="10"/>
      <c r="V368" s="13"/>
      <c r="W368" s="13"/>
      <c r="X368" s="13"/>
      <c r="Z368" s="13"/>
    </row>
    <row r="369" ht="21.75" customHeight="1">
      <c r="A369" s="25" t="str">
        <f>IF(B369="","","CAN-"&amp;TEXT(368,"000"))</f>
        <v>CAN-368</v>
      </c>
      <c r="B369" s="15" t="s">
        <v>1271</v>
      </c>
      <c r="C369" s="8" t="s">
        <v>147</v>
      </c>
      <c r="D369" s="16">
        <v>8.879074554E9</v>
      </c>
      <c r="E369" s="15" t="s">
        <v>275</v>
      </c>
      <c r="F369" s="8" t="s">
        <v>108</v>
      </c>
      <c r="G369" s="16" t="s">
        <v>70</v>
      </c>
      <c r="H369" s="23"/>
      <c r="I369" s="15" t="s">
        <v>39</v>
      </c>
      <c r="J369" s="17"/>
      <c r="K369" s="38" t="s">
        <v>92</v>
      </c>
      <c r="L369" s="15" t="s">
        <v>220</v>
      </c>
      <c r="M369" s="15" t="s">
        <v>34</v>
      </c>
      <c r="N369" s="15" t="s">
        <v>31</v>
      </c>
      <c r="O369" s="17"/>
      <c r="P369" s="17"/>
      <c r="Q369" s="17"/>
      <c r="R369" s="22" t="s">
        <v>1272</v>
      </c>
      <c r="S369" s="18">
        <v>46150.0</v>
      </c>
      <c r="T369" s="19"/>
      <c r="U369" s="17"/>
      <c r="V369" s="13"/>
      <c r="W369" s="13"/>
      <c r="X369" s="13"/>
      <c r="Z369" s="13"/>
    </row>
    <row r="370" ht="21.75" customHeight="1">
      <c r="A370" s="27" t="str">
        <f>IF(B370="","","CAN-"&amp;TEXT(369,"000"))</f>
        <v>CAN-369</v>
      </c>
      <c r="B370" s="8" t="s">
        <v>1273</v>
      </c>
      <c r="C370" s="8" t="s">
        <v>184</v>
      </c>
      <c r="D370" s="9">
        <v>8.268618992E9</v>
      </c>
      <c r="E370" s="8" t="s">
        <v>525</v>
      </c>
      <c r="F370" s="8" t="s">
        <v>108</v>
      </c>
      <c r="G370" s="9" t="s">
        <v>279</v>
      </c>
      <c r="H370" s="9" t="s">
        <v>279</v>
      </c>
      <c r="I370" s="8" t="s">
        <v>39</v>
      </c>
      <c r="J370" s="8" t="s">
        <v>507</v>
      </c>
      <c r="K370" s="9" t="s">
        <v>1274</v>
      </c>
      <c r="L370" s="8" t="s">
        <v>220</v>
      </c>
      <c r="M370" s="8" t="s">
        <v>34</v>
      </c>
      <c r="N370" s="8" t="s">
        <v>45</v>
      </c>
      <c r="O370" s="10"/>
      <c r="P370" s="10"/>
      <c r="Q370" s="10"/>
      <c r="R370" s="10"/>
      <c r="S370" s="20">
        <v>46152.0</v>
      </c>
      <c r="T370" s="21"/>
      <c r="U370" s="10"/>
      <c r="V370" s="13"/>
      <c r="W370" s="13"/>
      <c r="X370" s="13"/>
      <c r="Z370" s="13"/>
    </row>
    <row r="371" ht="21.75" customHeight="1">
      <c r="A371" s="25" t="str">
        <f>IF(B371="","","CAN-"&amp;TEXT(370,"000"))</f>
        <v>CAN-370</v>
      </c>
      <c r="B371" s="15" t="s">
        <v>1275</v>
      </c>
      <c r="C371" s="8" t="s">
        <v>184</v>
      </c>
      <c r="D371" s="39">
        <v>9.37170076E8</v>
      </c>
      <c r="E371" s="15" t="s">
        <v>210</v>
      </c>
      <c r="F371" s="15" t="s">
        <v>108</v>
      </c>
      <c r="G371" s="16" t="s">
        <v>44</v>
      </c>
      <c r="H371" s="16" t="s">
        <v>102</v>
      </c>
      <c r="I371" s="15" t="s">
        <v>39</v>
      </c>
      <c r="J371" s="17"/>
      <c r="K371" s="16" t="s">
        <v>92</v>
      </c>
      <c r="L371" s="15" t="s">
        <v>220</v>
      </c>
      <c r="M371" s="15" t="s">
        <v>34</v>
      </c>
      <c r="N371" s="15" t="s">
        <v>45</v>
      </c>
      <c r="O371" s="17"/>
      <c r="P371" s="17"/>
      <c r="Q371" s="17"/>
      <c r="R371" s="17"/>
      <c r="S371" s="18">
        <v>46152.0</v>
      </c>
      <c r="T371" s="19"/>
      <c r="U371" s="17"/>
      <c r="V371" s="13"/>
      <c r="W371" s="13"/>
      <c r="X371" s="13"/>
      <c r="Z371" s="13"/>
    </row>
    <row r="372" ht="21.75" customHeight="1">
      <c r="A372" s="27" t="str">
        <f>IF(B372="","","CAN-"&amp;TEXT(371,"000"))</f>
        <v>CAN-371</v>
      </c>
      <c r="B372" s="8" t="s">
        <v>1276</v>
      </c>
      <c r="C372" s="8" t="s">
        <v>41</v>
      </c>
      <c r="D372" s="9">
        <v>9.619693663E9</v>
      </c>
      <c r="E372" s="8" t="s">
        <v>210</v>
      </c>
      <c r="F372" s="8" t="s">
        <v>108</v>
      </c>
      <c r="G372" s="9" t="s">
        <v>402</v>
      </c>
      <c r="H372" s="9" t="s">
        <v>169</v>
      </c>
      <c r="I372" s="8" t="s">
        <v>39</v>
      </c>
      <c r="J372" s="8" t="s">
        <v>1277</v>
      </c>
      <c r="K372" s="38" t="s">
        <v>92</v>
      </c>
      <c r="L372" s="15" t="s">
        <v>220</v>
      </c>
      <c r="M372" s="15" t="s">
        <v>34</v>
      </c>
      <c r="N372" s="8" t="s">
        <v>75</v>
      </c>
      <c r="O372" s="10"/>
      <c r="P372" s="10"/>
      <c r="Q372" s="10"/>
      <c r="R372" s="11" t="s">
        <v>1278</v>
      </c>
      <c r="T372" s="21"/>
      <c r="U372" s="8" t="s">
        <v>295</v>
      </c>
      <c r="V372" s="13"/>
      <c r="W372" s="13"/>
      <c r="X372" s="13"/>
      <c r="Z372" s="13"/>
    </row>
    <row r="373" ht="21.75" customHeight="1">
      <c r="A373" s="25" t="str">
        <f>IF(B373="","","CAN-"&amp;TEXT(372,"000"))</f>
        <v>CAN-372</v>
      </c>
      <c r="B373" s="15" t="s">
        <v>1279</v>
      </c>
      <c r="C373" s="8" t="s">
        <v>41</v>
      </c>
      <c r="D373" s="16">
        <v>9.021485325E9</v>
      </c>
      <c r="E373" s="15" t="s">
        <v>215</v>
      </c>
      <c r="F373" s="8" t="s">
        <v>108</v>
      </c>
      <c r="G373" s="16" t="s">
        <v>121</v>
      </c>
      <c r="H373" s="16" t="s">
        <v>218</v>
      </c>
      <c r="I373" s="15" t="s">
        <v>39</v>
      </c>
      <c r="J373" s="15" t="s">
        <v>388</v>
      </c>
      <c r="K373" s="38" t="s">
        <v>92</v>
      </c>
      <c r="L373" s="15" t="s">
        <v>220</v>
      </c>
      <c r="M373" s="15" t="s">
        <v>54</v>
      </c>
      <c r="N373" s="15" t="s">
        <v>75</v>
      </c>
      <c r="O373" s="17"/>
      <c r="P373" s="17"/>
      <c r="Q373" s="17"/>
      <c r="R373" s="22" t="s">
        <v>1280</v>
      </c>
      <c r="S373" s="20">
        <v>46153.0</v>
      </c>
      <c r="T373" s="19"/>
      <c r="U373" s="15" t="s">
        <v>560</v>
      </c>
      <c r="V373" s="13"/>
      <c r="W373" s="13"/>
      <c r="X373" s="13"/>
      <c r="Z373" s="13"/>
    </row>
    <row r="374" ht="21.75" customHeight="1">
      <c r="A374" s="27" t="str">
        <f>IF(B374="","","CAN-"&amp;TEXT(373,"000"))</f>
        <v>CAN-373</v>
      </c>
      <c r="B374" s="8" t="s">
        <v>1281</v>
      </c>
      <c r="C374" s="8" t="s">
        <v>184</v>
      </c>
      <c r="D374" s="9" t="s">
        <v>1282</v>
      </c>
      <c r="E374" s="8" t="s">
        <v>223</v>
      </c>
      <c r="F374" s="8" t="s">
        <v>108</v>
      </c>
      <c r="G374" s="9" t="s">
        <v>121</v>
      </c>
      <c r="H374" s="9" t="s">
        <v>43</v>
      </c>
      <c r="I374" s="8" t="s">
        <v>39</v>
      </c>
      <c r="J374" s="10"/>
      <c r="K374" s="9" t="s">
        <v>32</v>
      </c>
      <c r="L374" s="8" t="s">
        <v>220</v>
      </c>
      <c r="M374" s="8" t="s">
        <v>586</v>
      </c>
      <c r="N374" s="8" t="s">
        <v>48</v>
      </c>
      <c r="O374" s="10"/>
      <c r="P374" s="10"/>
      <c r="Q374" s="10"/>
      <c r="R374" s="11" t="s">
        <v>1283</v>
      </c>
      <c r="S374" s="20">
        <v>46153.0</v>
      </c>
      <c r="T374" s="21"/>
      <c r="U374" s="8" t="s">
        <v>480</v>
      </c>
      <c r="V374" s="13"/>
      <c r="W374" s="13"/>
      <c r="X374" s="13"/>
      <c r="Z374" s="13"/>
    </row>
    <row r="375" ht="21.75" customHeight="1">
      <c r="A375" s="25" t="str">
        <f>IF(B375="","","CAN-"&amp;TEXT(374,"000"))</f>
        <v>CAN-374</v>
      </c>
      <c r="B375" s="15" t="s">
        <v>1284</v>
      </c>
      <c r="C375" s="8" t="s">
        <v>184</v>
      </c>
      <c r="D375" s="16" t="s">
        <v>1285</v>
      </c>
      <c r="E375" s="15" t="s">
        <v>42</v>
      </c>
      <c r="F375" s="15" t="s">
        <v>90</v>
      </c>
      <c r="G375" s="16" t="s">
        <v>1286</v>
      </c>
      <c r="H375" s="16" t="s">
        <v>452</v>
      </c>
      <c r="I375" s="15" t="s">
        <v>39</v>
      </c>
      <c r="J375" s="15" t="s">
        <v>388</v>
      </c>
      <c r="K375" s="16" t="s">
        <v>32</v>
      </c>
      <c r="L375" s="15" t="s">
        <v>220</v>
      </c>
      <c r="M375" s="15" t="s">
        <v>34</v>
      </c>
      <c r="N375" s="15" t="s">
        <v>57</v>
      </c>
      <c r="O375" s="17"/>
      <c r="P375" s="17"/>
      <c r="Q375" s="17"/>
      <c r="R375" s="22" t="s">
        <v>1287</v>
      </c>
      <c r="S375" s="18">
        <v>46153.0</v>
      </c>
      <c r="T375" s="19"/>
      <c r="U375" s="15" t="s">
        <v>480</v>
      </c>
      <c r="V375" s="13"/>
      <c r="W375" s="13"/>
      <c r="X375" s="13"/>
      <c r="Z375" s="13"/>
    </row>
    <row r="376" ht="21.75" customHeight="1">
      <c r="A376" s="27" t="str">
        <f>IF(B376="","","CAN-"&amp;TEXT(375,"000"))</f>
        <v>CAN-375</v>
      </c>
      <c r="B376" s="8" t="s">
        <v>1288</v>
      </c>
      <c r="C376" s="8" t="s">
        <v>184</v>
      </c>
      <c r="D376" s="9" t="s">
        <v>1289</v>
      </c>
      <c r="E376" s="8" t="s">
        <v>79</v>
      </c>
      <c r="F376" s="8" t="s">
        <v>90</v>
      </c>
      <c r="G376" s="9" t="s">
        <v>1290</v>
      </c>
      <c r="H376" s="9" t="s">
        <v>567</v>
      </c>
      <c r="I376" s="8" t="s">
        <v>39</v>
      </c>
      <c r="J376" s="10"/>
      <c r="K376" s="9" t="s">
        <v>32</v>
      </c>
      <c r="L376" s="8" t="s">
        <v>220</v>
      </c>
      <c r="M376" s="8" t="s">
        <v>34</v>
      </c>
      <c r="N376" s="8" t="s">
        <v>45</v>
      </c>
      <c r="O376" s="10"/>
      <c r="P376" s="10"/>
      <c r="Q376" s="10"/>
      <c r="R376" s="11" t="s">
        <v>1291</v>
      </c>
      <c r="S376" s="20">
        <v>46153.0</v>
      </c>
      <c r="T376" s="21"/>
      <c r="U376" s="8" t="s">
        <v>1292</v>
      </c>
      <c r="V376" s="13"/>
      <c r="W376" s="13"/>
      <c r="X376" s="13"/>
      <c r="Z376" s="13"/>
    </row>
    <row r="377" ht="21.75" customHeight="1">
      <c r="A377" s="25" t="str">
        <f>IF(B377="","","CAN-"&amp;TEXT(376,"000"))</f>
        <v>CAN-376</v>
      </c>
      <c r="B377" s="15" t="s">
        <v>1293</v>
      </c>
      <c r="C377" s="8" t="s">
        <v>184</v>
      </c>
      <c r="D377" s="16" t="s">
        <v>1294</v>
      </c>
      <c r="E377" s="15" t="s">
        <v>275</v>
      </c>
      <c r="F377" s="15" t="s">
        <v>108</v>
      </c>
      <c r="G377" s="16">
        <v>1.2</v>
      </c>
      <c r="H377" s="16">
        <v>1.5</v>
      </c>
      <c r="I377" s="15" t="s">
        <v>39</v>
      </c>
      <c r="J377" s="17"/>
      <c r="K377" s="16" t="s">
        <v>32</v>
      </c>
      <c r="L377" s="15" t="s">
        <v>220</v>
      </c>
      <c r="M377" s="15" t="s">
        <v>34</v>
      </c>
      <c r="N377" s="15" t="s">
        <v>75</v>
      </c>
      <c r="O377" s="17"/>
      <c r="P377" s="17"/>
      <c r="Q377" s="17"/>
      <c r="R377" s="22" t="s">
        <v>1295</v>
      </c>
      <c r="S377" s="18">
        <v>46153.0</v>
      </c>
      <c r="T377" s="19"/>
      <c r="U377" s="15" t="s">
        <v>162</v>
      </c>
      <c r="V377" s="13"/>
      <c r="W377" s="13"/>
      <c r="X377" s="13"/>
      <c r="Z377" s="13"/>
    </row>
    <row r="378" ht="21.75" customHeight="1">
      <c r="A378" s="27" t="str">
        <f>IF(B378="","","CAN-"&amp;TEXT(377,"000"))</f>
        <v>CAN-377</v>
      </c>
      <c r="B378" s="8" t="s">
        <v>1296</v>
      </c>
      <c r="C378" s="8" t="s">
        <v>184</v>
      </c>
      <c r="D378" s="9" t="s">
        <v>1297</v>
      </c>
      <c r="E378" s="8" t="s">
        <v>42</v>
      </c>
      <c r="F378" s="8" t="s">
        <v>90</v>
      </c>
      <c r="G378" s="9" t="s">
        <v>121</v>
      </c>
      <c r="H378" s="9" t="s">
        <v>43</v>
      </c>
      <c r="I378" s="8" t="s">
        <v>39</v>
      </c>
      <c r="J378" s="10"/>
      <c r="K378" s="9" t="s">
        <v>32</v>
      </c>
      <c r="L378" s="8" t="s">
        <v>93</v>
      </c>
      <c r="M378" s="8" t="s">
        <v>34</v>
      </c>
      <c r="N378" s="8" t="s">
        <v>45</v>
      </c>
      <c r="O378" s="10"/>
      <c r="P378" s="10"/>
      <c r="Q378" s="10"/>
      <c r="R378" s="10"/>
      <c r="S378" s="20">
        <v>46153.0</v>
      </c>
      <c r="T378" s="21"/>
      <c r="U378" s="8" t="s">
        <v>480</v>
      </c>
      <c r="V378" s="13"/>
      <c r="W378" s="13"/>
      <c r="X378" s="13"/>
      <c r="Z378" s="13"/>
    </row>
    <row r="379" ht="21.75" customHeight="1">
      <c r="A379" s="25" t="str">
        <f>IF(B379="","","CAN-"&amp;TEXT(378,"000"))</f>
        <v>CAN-378</v>
      </c>
      <c r="B379" s="15" t="s">
        <v>962</v>
      </c>
      <c r="C379" s="8"/>
      <c r="D379" s="23"/>
      <c r="E379" s="17"/>
      <c r="F379" s="17"/>
      <c r="G379" s="23"/>
      <c r="H379" s="23"/>
      <c r="I379" s="17"/>
      <c r="J379" s="17"/>
      <c r="K379" s="23"/>
      <c r="L379" s="17"/>
      <c r="M379" s="17"/>
      <c r="N379" s="17"/>
      <c r="O379" s="17"/>
      <c r="P379" s="17"/>
      <c r="Q379" s="17"/>
      <c r="R379" s="17"/>
      <c r="S379" s="19"/>
      <c r="T379" s="19"/>
      <c r="U379" s="17"/>
      <c r="V379" s="13"/>
      <c r="W379" s="13"/>
      <c r="X379" s="13"/>
      <c r="Z379" s="13"/>
    </row>
    <row r="380" ht="21.75" customHeight="1">
      <c r="A380" s="27" t="str">
        <f>IF(B380="","","CAN-"&amp;TEXT(379,"000"))</f>
        <v>CAN-379</v>
      </c>
      <c r="B380" s="8" t="s">
        <v>1298</v>
      </c>
      <c r="C380" s="8" t="s">
        <v>147</v>
      </c>
      <c r="D380" s="40">
        <v>8.108766786E9</v>
      </c>
      <c r="E380" s="8" t="s">
        <v>275</v>
      </c>
      <c r="F380" s="8" t="s">
        <v>108</v>
      </c>
      <c r="G380" s="9" t="s">
        <v>695</v>
      </c>
      <c r="H380" s="9" t="s">
        <v>69</v>
      </c>
      <c r="I380" s="8" t="s">
        <v>39</v>
      </c>
      <c r="J380" s="8" t="s">
        <v>469</v>
      </c>
      <c r="K380" s="38" t="s">
        <v>32</v>
      </c>
      <c r="L380" s="15" t="s">
        <v>220</v>
      </c>
      <c r="M380" s="8" t="s">
        <v>34</v>
      </c>
      <c r="N380" s="8" t="s">
        <v>31</v>
      </c>
      <c r="O380" s="10"/>
      <c r="P380" s="10"/>
      <c r="Q380" s="10"/>
      <c r="R380" s="11" t="s">
        <v>1299</v>
      </c>
      <c r="S380" s="20">
        <v>46154.0</v>
      </c>
      <c r="T380" s="21"/>
      <c r="U380" s="10"/>
      <c r="V380" s="13"/>
      <c r="W380" s="13"/>
      <c r="X380" s="13"/>
      <c r="Z380" s="13"/>
    </row>
    <row r="381" ht="21.75" customHeight="1">
      <c r="A381" s="25" t="str">
        <f>IF(B381="","","CAN-"&amp;TEXT(380,"000"))</f>
        <v>CAN-380</v>
      </c>
      <c r="B381" s="15" t="s">
        <v>1300</v>
      </c>
      <c r="C381" s="8" t="s">
        <v>147</v>
      </c>
      <c r="D381" s="40">
        <v>9.547570029E9</v>
      </c>
      <c r="E381" s="15" t="s">
        <v>155</v>
      </c>
      <c r="F381" s="8" t="s">
        <v>408</v>
      </c>
      <c r="G381" s="16" t="s">
        <v>1301</v>
      </c>
      <c r="H381" s="16" t="s">
        <v>261</v>
      </c>
      <c r="I381" s="15" t="s">
        <v>39</v>
      </c>
      <c r="J381" s="15" t="s">
        <v>837</v>
      </c>
      <c r="K381" s="38" t="s">
        <v>32</v>
      </c>
      <c r="L381" s="15" t="s">
        <v>93</v>
      </c>
      <c r="M381" s="8" t="s">
        <v>34</v>
      </c>
      <c r="N381" s="8" t="s">
        <v>31</v>
      </c>
      <c r="O381" s="17"/>
      <c r="P381" s="17"/>
      <c r="Q381" s="17"/>
      <c r="R381" s="22" t="s">
        <v>1302</v>
      </c>
      <c r="S381" s="18">
        <v>46154.0</v>
      </c>
      <c r="T381" s="18">
        <v>46155.0</v>
      </c>
      <c r="U381" s="15" t="s">
        <v>560</v>
      </c>
      <c r="V381" s="13"/>
      <c r="W381" s="13"/>
      <c r="X381" s="13"/>
      <c r="Z381" s="13"/>
    </row>
    <row r="382" ht="21.75" customHeight="1">
      <c r="A382" s="27" t="str">
        <f>IF(B382="","","CAN-"&amp;TEXT(381,"000"))</f>
        <v>CAN-381</v>
      </c>
      <c r="B382" s="8" t="s">
        <v>1303</v>
      </c>
      <c r="C382" s="8" t="s">
        <v>41</v>
      </c>
      <c r="D382" s="9">
        <v>8.928149315E9</v>
      </c>
      <c r="E382" s="8" t="s">
        <v>215</v>
      </c>
      <c r="F382" s="8" t="s">
        <v>408</v>
      </c>
      <c r="G382" s="9" t="s">
        <v>43</v>
      </c>
      <c r="H382" s="9" t="s">
        <v>44</v>
      </c>
      <c r="I382" s="8" t="s">
        <v>39</v>
      </c>
      <c r="J382" s="8" t="s">
        <v>744</v>
      </c>
      <c r="K382" s="38" t="s">
        <v>32</v>
      </c>
      <c r="L382" s="15" t="s">
        <v>93</v>
      </c>
      <c r="M382" s="15" t="s">
        <v>34</v>
      </c>
      <c r="N382" s="8" t="s">
        <v>45</v>
      </c>
      <c r="O382" s="10"/>
      <c r="P382" s="10"/>
      <c r="Q382" s="10"/>
      <c r="R382" s="11" t="s">
        <v>1304</v>
      </c>
      <c r="S382" s="18">
        <v>46154.0</v>
      </c>
      <c r="T382" s="21"/>
      <c r="U382" s="15" t="s">
        <v>560</v>
      </c>
      <c r="V382" s="13"/>
      <c r="W382" s="13"/>
      <c r="X382" s="13"/>
      <c r="Z382" s="13"/>
    </row>
    <row r="383" ht="21.75" customHeight="1">
      <c r="A383" s="25" t="str">
        <f>IF(B383="","","CAN-"&amp;TEXT(382,"000"))</f>
        <v>CAN-382</v>
      </c>
      <c r="B383" s="15" t="s">
        <v>1305</v>
      </c>
      <c r="C383" s="8" t="s">
        <v>41</v>
      </c>
      <c r="D383" s="16">
        <v>7.715960155E9</v>
      </c>
      <c r="E383" s="15" t="s">
        <v>290</v>
      </c>
      <c r="F383" s="8" t="s">
        <v>90</v>
      </c>
      <c r="G383" s="16" t="s">
        <v>1100</v>
      </c>
      <c r="H383" s="16" t="s">
        <v>921</v>
      </c>
      <c r="I383" s="15" t="s">
        <v>39</v>
      </c>
      <c r="J383" s="15" t="s">
        <v>1306</v>
      </c>
      <c r="K383" s="38" t="s">
        <v>32</v>
      </c>
      <c r="L383" s="15" t="s">
        <v>93</v>
      </c>
      <c r="M383" s="15" t="s">
        <v>34</v>
      </c>
      <c r="N383" s="15" t="s">
        <v>45</v>
      </c>
      <c r="O383" s="17"/>
      <c r="P383" s="17"/>
      <c r="Q383" s="17"/>
      <c r="R383" s="22" t="s">
        <v>1307</v>
      </c>
      <c r="S383" s="18">
        <v>46154.0</v>
      </c>
      <c r="T383" s="19"/>
      <c r="U383" s="15" t="s">
        <v>154</v>
      </c>
      <c r="V383" s="13"/>
      <c r="W383" s="13"/>
      <c r="X383" s="13"/>
      <c r="Z383" s="13"/>
    </row>
    <row r="384" ht="21.75" customHeight="1">
      <c r="A384" s="27" t="str">
        <f>IF(B384="","","CAN-"&amp;TEXT(383,"000"))</f>
        <v>CAN-383</v>
      </c>
      <c r="B384" s="8" t="s">
        <v>1308</v>
      </c>
      <c r="C384" s="8" t="s">
        <v>41</v>
      </c>
      <c r="D384" s="9">
        <v>9.076483652E9</v>
      </c>
      <c r="E384" s="8" t="s">
        <v>307</v>
      </c>
      <c r="F384" s="8" t="s">
        <v>90</v>
      </c>
      <c r="G384" s="9" t="s">
        <v>169</v>
      </c>
      <c r="H384" s="9" t="s">
        <v>501</v>
      </c>
      <c r="I384" s="8" t="s">
        <v>39</v>
      </c>
      <c r="J384" s="8" t="s">
        <v>1013</v>
      </c>
      <c r="K384" s="38" t="s">
        <v>32</v>
      </c>
      <c r="L384" s="15" t="s">
        <v>220</v>
      </c>
      <c r="M384" s="15" t="s">
        <v>34</v>
      </c>
      <c r="N384" s="8" t="s">
        <v>45</v>
      </c>
      <c r="O384" s="10"/>
      <c r="P384" s="10"/>
      <c r="Q384" s="10"/>
      <c r="R384" s="11" t="s">
        <v>1309</v>
      </c>
      <c r="S384" s="18">
        <v>46154.0</v>
      </c>
      <c r="T384" s="21"/>
      <c r="U384" s="8" t="s">
        <v>171</v>
      </c>
      <c r="V384" s="13"/>
      <c r="W384" s="13"/>
      <c r="X384" s="13"/>
      <c r="Z384" s="13"/>
    </row>
    <row r="385" ht="21.75" customHeight="1">
      <c r="A385" s="25" t="str">
        <f>IF(B385="","","CAN-"&amp;TEXT(384,"000"))</f>
        <v>CAN-384</v>
      </c>
      <c r="B385" s="15" t="s">
        <v>1310</v>
      </c>
      <c r="C385" s="8" t="s">
        <v>147</v>
      </c>
      <c r="D385" s="16">
        <v>7.021081415E9</v>
      </c>
      <c r="E385" s="15" t="s">
        <v>525</v>
      </c>
      <c r="F385" s="8" t="s">
        <v>108</v>
      </c>
      <c r="G385" s="23"/>
      <c r="H385" s="23"/>
      <c r="I385" s="15" t="s">
        <v>39</v>
      </c>
      <c r="J385" s="15" t="s">
        <v>1262</v>
      </c>
      <c r="K385" s="38" t="s">
        <v>32</v>
      </c>
      <c r="L385" s="15" t="s">
        <v>220</v>
      </c>
      <c r="M385" s="15" t="s">
        <v>34</v>
      </c>
      <c r="N385" s="15" t="s">
        <v>35</v>
      </c>
      <c r="O385" s="17"/>
      <c r="P385" s="17"/>
      <c r="Q385" s="17"/>
      <c r="R385" s="22" t="s">
        <v>1311</v>
      </c>
      <c r="S385" s="18">
        <v>46155.0</v>
      </c>
      <c r="T385" s="19"/>
      <c r="U385" s="17"/>
      <c r="V385" s="13"/>
      <c r="W385" s="13"/>
      <c r="X385" s="13"/>
      <c r="Z385" s="13"/>
    </row>
    <row r="386" ht="21.75" customHeight="1">
      <c r="A386" s="27" t="str">
        <f>IF(B386="","","CAN-"&amp;TEXT(385,"000"))</f>
        <v>CAN-385</v>
      </c>
      <c r="B386" s="8" t="s">
        <v>1312</v>
      </c>
      <c r="C386" s="8" t="s">
        <v>147</v>
      </c>
      <c r="D386" s="9">
        <v>8.108430109E9</v>
      </c>
      <c r="E386" s="8" t="s">
        <v>47</v>
      </c>
      <c r="F386" s="8" t="s">
        <v>90</v>
      </c>
      <c r="G386" s="9" t="s">
        <v>51</v>
      </c>
      <c r="H386" s="24"/>
      <c r="I386" s="8" t="s">
        <v>39</v>
      </c>
      <c r="J386" s="8" t="s">
        <v>293</v>
      </c>
      <c r="K386" s="38" t="s">
        <v>32</v>
      </c>
      <c r="L386" s="15" t="s">
        <v>220</v>
      </c>
      <c r="M386" s="15" t="s">
        <v>34</v>
      </c>
      <c r="N386" s="8" t="s">
        <v>45</v>
      </c>
      <c r="O386" s="10"/>
      <c r="P386" s="10"/>
      <c r="Q386" s="10"/>
      <c r="R386" s="11" t="s">
        <v>1313</v>
      </c>
      <c r="S386" s="20">
        <v>46155.0</v>
      </c>
      <c r="T386" s="20">
        <v>46160.0</v>
      </c>
      <c r="U386" s="8" t="s">
        <v>1314</v>
      </c>
      <c r="V386" s="13"/>
      <c r="W386" s="13"/>
      <c r="X386" s="13"/>
      <c r="Z386" s="13"/>
    </row>
    <row r="387" ht="21.75" customHeight="1">
      <c r="A387" s="25" t="str">
        <f>IF(B387="","","CAN-"&amp;TEXT(386,"000"))</f>
        <v>CAN-386</v>
      </c>
      <c r="B387" s="15" t="s">
        <v>1315</v>
      </c>
      <c r="C387" s="8" t="s">
        <v>41</v>
      </c>
      <c r="D387" s="16">
        <v>9.867375266E9</v>
      </c>
      <c r="E387" s="15" t="s">
        <v>115</v>
      </c>
      <c r="F387" s="8" t="s">
        <v>90</v>
      </c>
      <c r="G387" s="16" t="s">
        <v>122</v>
      </c>
      <c r="H387" s="16" t="s">
        <v>44</v>
      </c>
      <c r="I387" s="15" t="s">
        <v>39</v>
      </c>
      <c r="J387" s="15" t="s">
        <v>1316</v>
      </c>
      <c r="K387" s="38" t="s">
        <v>92</v>
      </c>
      <c r="L387" s="15" t="s">
        <v>207</v>
      </c>
      <c r="M387" s="15" t="s">
        <v>34</v>
      </c>
      <c r="N387" s="15" t="s">
        <v>45</v>
      </c>
      <c r="O387" s="17"/>
      <c r="P387" s="17"/>
      <c r="Q387" s="17"/>
      <c r="R387" s="22" t="s">
        <v>1317</v>
      </c>
      <c r="S387" s="20">
        <v>46155.0</v>
      </c>
      <c r="T387" s="19"/>
      <c r="U387" s="15" t="s">
        <v>560</v>
      </c>
      <c r="V387" s="13"/>
      <c r="W387" s="13"/>
      <c r="X387" s="13"/>
      <c r="Z387" s="13"/>
    </row>
    <row r="388" ht="21.75" customHeight="1">
      <c r="A388" s="27" t="str">
        <f>IF(B388="","","CAN-"&amp;TEXT(387,"000"))</f>
        <v>CAN-387</v>
      </c>
      <c r="B388" s="8" t="s">
        <v>1318</v>
      </c>
      <c r="C388" s="8" t="s">
        <v>41</v>
      </c>
      <c r="D388" s="9">
        <v>9.821993566E9</v>
      </c>
      <c r="E388" s="8" t="s">
        <v>205</v>
      </c>
      <c r="F388" s="8" t="s">
        <v>90</v>
      </c>
      <c r="G388" s="24"/>
      <c r="H388" s="24"/>
      <c r="I388" s="8" t="s">
        <v>39</v>
      </c>
      <c r="J388" s="8" t="s">
        <v>1319</v>
      </c>
      <c r="K388" s="38" t="s">
        <v>32</v>
      </c>
      <c r="L388" s="15" t="s">
        <v>93</v>
      </c>
      <c r="M388" s="15" t="s">
        <v>34</v>
      </c>
      <c r="N388" s="8" t="s">
        <v>45</v>
      </c>
      <c r="O388" s="10"/>
      <c r="P388" s="10"/>
      <c r="Q388" s="10"/>
      <c r="R388" s="11" t="s">
        <v>1320</v>
      </c>
      <c r="S388" s="20">
        <v>46155.0</v>
      </c>
      <c r="T388" s="21"/>
      <c r="U388" s="8" t="s">
        <v>125</v>
      </c>
      <c r="V388" s="13"/>
      <c r="W388" s="13"/>
      <c r="X388" s="13"/>
      <c r="Z388" s="13"/>
    </row>
    <row r="389" ht="21.75" customHeight="1">
      <c r="A389" s="25" t="str">
        <f>IF(B389="","","CAN-"&amp;TEXT(388,"000"))</f>
        <v>CAN-388</v>
      </c>
      <c r="B389" s="15" t="s">
        <v>1321</v>
      </c>
      <c r="C389" s="8" t="s">
        <v>41</v>
      </c>
      <c r="D389" s="16">
        <v>8.005511944E9</v>
      </c>
      <c r="E389" s="15" t="s">
        <v>26</v>
      </c>
      <c r="F389" s="8" t="s">
        <v>90</v>
      </c>
      <c r="G389" s="16" t="s">
        <v>1322</v>
      </c>
      <c r="H389" s="16" t="s">
        <v>913</v>
      </c>
      <c r="I389" s="15" t="s">
        <v>39</v>
      </c>
      <c r="J389" s="15" t="s">
        <v>1256</v>
      </c>
      <c r="K389" s="38" t="s">
        <v>32</v>
      </c>
      <c r="L389" s="15" t="s">
        <v>207</v>
      </c>
      <c r="M389" s="15" t="s">
        <v>34</v>
      </c>
      <c r="N389" s="15" t="s">
        <v>45</v>
      </c>
      <c r="O389" s="17"/>
      <c r="P389" s="17"/>
      <c r="Q389" s="17"/>
      <c r="R389" s="22" t="s">
        <v>1323</v>
      </c>
      <c r="S389" s="20">
        <v>46155.0</v>
      </c>
      <c r="T389" s="19"/>
      <c r="U389" s="15" t="s">
        <v>1324</v>
      </c>
      <c r="V389" s="13"/>
      <c r="W389" s="13"/>
      <c r="X389" s="13"/>
      <c r="Z389" s="13"/>
    </row>
    <row r="390" ht="21.75" customHeight="1">
      <c r="A390" s="27" t="str">
        <f>IF(B390="","","CAN-"&amp;TEXT(389,"000"))</f>
        <v>CAN-389</v>
      </c>
      <c r="B390" s="8" t="s">
        <v>1325</v>
      </c>
      <c r="C390" s="8" t="s">
        <v>147</v>
      </c>
      <c r="D390" s="9">
        <v>9.004115409E9</v>
      </c>
      <c r="E390" s="8" t="s">
        <v>101</v>
      </c>
      <c r="F390" s="8" t="s">
        <v>90</v>
      </c>
      <c r="G390" s="9" t="s">
        <v>218</v>
      </c>
      <c r="H390" s="9" t="s">
        <v>201</v>
      </c>
      <c r="I390" s="8" t="s">
        <v>39</v>
      </c>
      <c r="J390" s="8" t="s">
        <v>304</v>
      </c>
      <c r="K390" s="38" t="s">
        <v>32</v>
      </c>
      <c r="L390" s="15" t="s">
        <v>33</v>
      </c>
      <c r="M390" s="15" t="s">
        <v>34</v>
      </c>
      <c r="N390" s="8" t="s">
        <v>31</v>
      </c>
      <c r="O390" s="10"/>
      <c r="P390" s="10"/>
      <c r="Q390" s="10"/>
      <c r="R390" s="11" t="s">
        <v>1326</v>
      </c>
      <c r="S390" s="20">
        <v>46156.0</v>
      </c>
      <c r="T390" s="21"/>
      <c r="U390" s="8" t="s">
        <v>1314</v>
      </c>
      <c r="V390" s="13"/>
      <c r="W390" s="13"/>
      <c r="X390" s="13"/>
      <c r="Z390" s="13"/>
    </row>
    <row r="391" ht="21.75" customHeight="1">
      <c r="A391" s="25" t="str">
        <f>IF(B391="","","CAN-"&amp;TEXT(390,"000"))</f>
        <v>CAN-390</v>
      </c>
      <c r="B391" s="15" t="s">
        <v>1327</v>
      </c>
      <c r="C391" s="8" t="s">
        <v>147</v>
      </c>
      <c r="D391" s="16">
        <v>7.039297786E9</v>
      </c>
      <c r="E391" s="15" t="s">
        <v>210</v>
      </c>
      <c r="F391" s="8" t="s">
        <v>408</v>
      </c>
      <c r="G391" s="16" t="s">
        <v>43</v>
      </c>
      <c r="H391" s="16" t="s">
        <v>201</v>
      </c>
      <c r="I391" s="15" t="s">
        <v>39</v>
      </c>
      <c r="J391" s="17"/>
      <c r="K391" s="38" t="s">
        <v>32</v>
      </c>
      <c r="L391" s="15" t="s">
        <v>33</v>
      </c>
      <c r="M391" s="15" t="s">
        <v>34</v>
      </c>
      <c r="N391" s="15" t="s">
        <v>48</v>
      </c>
      <c r="O391" s="17"/>
      <c r="P391" s="17"/>
      <c r="Q391" s="17"/>
      <c r="R391" s="22" t="s">
        <v>1328</v>
      </c>
      <c r="S391" s="18">
        <v>46156.0</v>
      </c>
      <c r="T391" s="19"/>
      <c r="U391" s="15" t="s">
        <v>1009</v>
      </c>
      <c r="V391" s="13"/>
      <c r="W391" s="13"/>
      <c r="X391" s="13"/>
      <c r="Z391" s="13"/>
    </row>
    <row r="392" ht="21.75" customHeight="1">
      <c r="A392" s="27" t="str">
        <f>IF(B392="","","CAN-"&amp;TEXT(391,"000"))</f>
        <v>CAN-391</v>
      </c>
      <c r="B392" s="8" t="s">
        <v>1329</v>
      </c>
      <c r="C392" s="8" t="s">
        <v>147</v>
      </c>
      <c r="D392" s="9">
        <v>7.879900233E9</v>
      </c>
      <c r="E392" s="8" t="s">
        <v>441</v>
      </c>
      <c r="F392" s="8" t="s">
        <v>435</v>
      </c>
      <c r="G392" s="9" t="s">
        <v>678</v>
      </c>
      <c r="H392" s="9" t="s">
        <v>324</v>
      </c>
      <c r="I392" s="8" t="s">
        <v>39</v>
      </c>
      <c r="J392" s="10"/>
      <c r="K392" s="38" t="s">
        <v>92</v>
      </c>
      <c r="L392" s="15" t="s">
        <v>61</v>
      </c>
      <c r="M392" s="15" t="s">
        <v>54</v>
      </c>
      <c r="N392" s="8" t="s">
        <v>48</v>
      </c>
      <c r="O392" s="10"/>
      <c r="P392" s="10"/>
      <c r="Q392" s="10"/>
      <c r="R392" s="11" t="s">
        <v>1330</v>
      </c>
      <c r="S392" s="20">
        <v>46156.0</v>
      </c>
      <c r="T392" s="21"/>
      <c r="U392" s="8" t="s">
        <v>1035</v>
      </c>
      <c r="V392" s="13"/>
      <c r="W392" s="13"/>
      <c r="X392" s="13"/>
      <c r="Z392" s="13"/>
    </row>
    <row r="393" ht="21.75" customHeight="1">
      <c r="A393" s="25" t="str">
        <f>IF(B393="","","CAN-"&amp;TEXT(392,"000"))</f>
        <v>CAN-392</v>
      </c>
      <c r="B393" s="15" t="s">
        <v>1331</v>
      </c>
      <c r="C393" s="8" t="s">
        <v>147</v>
      </c>
      <c r="D393" s="16">
        <v>9.326369671E9</v>
      </c>
      <c r="E393" s="15" t="s">
        <v>441</v>
      </c>
      <c r="F393" s="8" t="s">
        <v>435</v>
      </c>
      <c r="G393" s="16" t="s">
        <v>44</v>
      </c>
      <c r="H393" s="16" t="s">
        <v>132</v>
      </c>
      <c r="I393" s="15" t="s">
        <v>39</v>
      </c>
      <c r="J393" s="17"/>
      <c r="K393" s="38" t="s">
        <v>92</v>
      </c>
      <c r="L393" s="15" t="s">
        <v>61</v>
      </c>
      <c r="M393" s="15" t="s">
        <v>34</v>
      </c>
      <c r="N393" s="15" t="s">
        <v>48</v>
      </c>
      <c r="O393" s="17"/>
      <c r="P393" s="17"/>
      <c r="Q393" s="17"/>
      <c r="R393" s="22" t="s">
        <v>1332</v>
      </c>
      <c r="S393" s="18">
        <v>46156.0</v>
      </c>
      <c r="T393" s="19"/>
      <c r="U393" s="15" t="s">
        <v>1333</v>
      </c>
      <c r="V393" s="13"/>
      <c r="W393" s="13"/>
      <c r="X393" s="13"/>
      <c r="Z393" s="13"/>
    </row>
    <row r="394" ht="21.75" customHeight="1">
      <c r="A394" s="27" t="str">
        <f>IF(B394="","","CAN-"&amp;TEXT(393,"000"))</f>
        <v>CAN-393</v>
      </c>
      <c r="B394" s="8" t="s">
        <v>1334</v>
      </c>
      <c r="C394" s="8" t="s">
        <v>147</v>
      </c>
      <c r="D394" s="9">
        <v>8.446190244E9</v>
      </c>
      <c r="E394" s="8" t="s">
        <v>223</v>
      </c>
      <c r="F394" s="8" t="s">
        <v>724</v>
      </c>
      <c r="G394" s="24"/>
      <c r="H394" s="24"/>
      <c r="I394" s="8" t="s">
        <v>39</v>
      </c>
      <c r="J394" s="8" t="s">
        <v>388</v>
      </c>
      <c r="K394" s="38" t="s">
        <v>32</v>
      </c>
      <c r="L394" s="15" t="s">
        <v>134</v>
      </c>
      <c r="M394" s="15" t="s">
        <v>195</v>
      </c>
      <c r="N394" s="8" t="s">
        <v>87</v>
      </c>
      <c r="O394" s="10"/>
      <c r="P394" s="10"/>
      <c r="Q394" s="10"/>
      <c r="R394" s="11" t="s">
        <v>1335</v>
      </c>
      <c r="S394" s="20">
        <v>46156.0</v>
      </c>
      <c r="T394" s="21"/>
      <c r="U394" s="8" t="s">
        <v>1009</v>
      </c>
      <c r="V394" s="13"/>
      <c r="W394" s="13"/>
      <c r="X394" s="13"/>
      <c r="Z394" s="13"/>
    </row>
    <row r="395" ht="21.75" customHeight="1">
      <c r="A395" s="25" t="str">
        <f>IF(B395="","","CAN-"&amp;TEXT(394,"000"))</f>
        <v>CAN-394</v>
      </c>
      <c r="B395" s="15" t="s">
        <v>1336</v>
      </c>
      <c r="C395" s="8" t="s">
        <v>147</v>
      </c>
      <c r="D395" s="16" t="s">
        <v>1337</v>
      </c>
      <c r="E395" s="15" t="s">
        <v>441</v>
      </c>
      <c r="F395" s="8" t="s">
        <v>435</v>
      </c>
      <c r="G395" s="16" t="s">
        <v>1338</v>
      </c>
      <c r="H395" s="23"/>
      <c r="I395" s="15" t="s">
        <v>39</v>
      </c>
      <c r="J395" s="15" t="s">
        <v>1025</v>
      </c>
      <c r="K395" s="38" t="s">
        <v>92</v>
      </c>
      <c r="L395" s="15" t="s">
        <v>61</v>
      </c>
      <c r="M395" s="15" t="s">
        <v>54</v>
      </c>
      <c r="N395" s="15" t="s">
        <v>35</v>
      </c>
      <c r="O395" s="17"/>
      <c r="P395" s="17"/>
      <c r="Q395" s="17"/>
      <c r="R395" s="22" t="s">
        <v>1339</v>
      </c>
      <c r="S395" s="18">
        <v>46156.0</v>
      </c>
      <c r="T395" s="19"/>
      <c r="U395" s="15" t="s">
        <v>1035</v>
      </c>
      <c r="V395" s="13"/>
      <c r="W395" s="13"/>
      <c r="X395" s="13"/>
      <c r="Z395" s="13"/>
    </row>
    <row r="396" ht="21.75" customHeight="1">
      <c r="A396" s="27" t="str">
        <f>IF(B396="","","CAN-"&amp;TEXT(395,"000"))</f>
        <v>CAN-395</v>
      </c>
      <c r="B396" s="8" t="s">
        <v>1340</v>
      </c>
      <c r="C396" s="8" t="s">
        <v>147</v>
      </c>
      <c r="D396" s="9">
        <v>7.67753455E9</v>
      </c>
      <c r="E396" s="8" t="s">
        <v>38</v>
      </c>
      <c r="F396" s="8" t="s">
        <v>90</v>
      </c>
      <c r="G396" s="9" t="s">
        <v>323</v>
      </c>
      <c r="H396" s="24"/>
      <c r="I396" s="8" t="s">
        <v>39</v>
      </c>
      <c r="J396" s="8" t="s">
        <v>702</v>
      </c>
      <c r="K396" s="38" t="s">
        <v>32</v>
      </c>
      <c r="L396" s="15" t="s">
        <v>134</v>
      </c>
      <c r="M396" s="15" t="s">
        <v>54</v>
      </c>
      <c r="N396" s="8" t="s">
        <v>45</v>
      </c>
      <c r="O396" s="10"/>
      <c r="P396" s="10"/>
      <c r="Q396" s="10"/>
      <c r="R396" s="11" t="s">
        <v>1341</v>
      </c>
      <c r="S396" s="20">
        <v>46157.0</v>
      </c>
      <c r="T396" s="20">
        <v>46160.0</v>
      </c>
      <c r="U396" s="8" t="s">
        <v>1173</v>
      </c>
      <c r="V396" s="13"/>
      <c r="W396" s="13"/>
      <c r="X396" s="13"/>
      <c r="Z396" s="13"/>
    </row>
    <row r="397" ht="21.75" customHeight="1">
      <c r="A397" s="25" t="str">
        <f>IF(B397="","","CAN-"&amp;TEXT(396,"000"))</f>
        <v>CAN-396</v>
      </c>
      <c r="B397" s="15" t="s">
        <v>1342</v>
      </c>
      <c r="C397" s="8" t="s">
        <v>147</v>
      </c>
      <c r="D397" s="16">
        <v>9.372016779E9</v>
      </c>
      <c r="E397" s="15" t="s">
        <v>148</v>
      </c>
      <c r="F397" s="8" t="s">
        <v>108</v>
      </c>
      <c r="G397" s="23"/>
      <c r="H397" s="23"/>
      <c r="I397" s="15" t="s">
        <v>39</v>
      </c>
      <c r="J397" s="17"/>
      <c r="K397" s="38" t="s">
        <v>92</v>
      </c>
      <c r="L397" s="15" t="s">
        <v>33</v>
      </c>
      <c r="M397" s="15" t="s">
        <v>54</v>
      </c>
      <c r="N397" s="15" t="s">
        <v>75</v>
      </c>
      <c r="O397" s="17"/>
      <c r="P397" s="17"/>
      <c r="Q397" s="17"/>
      <c r="R397" s="22" t="s">
        <v>1343</v>
      </c>
      <c r="S397" s="18">
        <v>46157.0</v>
      </c>
      <c r="T397" s="18">
        <v>46160.0</v>
      </c>
      <c r="U397" s="15" t="s">
        <v>85</v>
      </c>
      <c r="V397" s="13"/>
      <c r="W397" s="13"/>
      <c r="X397" s="13"/>
      <c r="Z397" s="13"/>
    </row>
    <row r="398" ht="21.75" customHeight="1">
      <c r="A398" s="27" t="str">
        <f>IF(B398="","","CAN-"&amp;TEXT(397,"000"))</f>
        <v>CAN-397</v>
      </c>
      <c r="B398" s="8" t="s">
        <v>1344</v>
      </c>
      <c r="C398" s="8" t="s">
        <v>147</v>
      </c>
      <c r="D398" s="9">
        <v>8.080988652E9</v>
      </c>
      <c r="E398" s="8" t="s">
        <v>148</v>
      </c>
      <c r="F398" s="8" t="s">
        <v>408</v>
      </c>
      <c r="G398" s="24"/>
      <c r="H398" s="24"/>
      <c r="I398" s="8" t="s">
        <v>39</v>
      </c>
      <c r="J398" s="8" t="s">
        <v>388</v>
      </c>
      <c r="K398" s="38" t="s">
        <v>32</v>
      </c>
      <c r="L398" s="15" t="s">
        <v>134</v>
      </c>
      <c r="M398" s="15" t="s">
        <v>54</v>
      </c>
      <c r="N398" s="8" t="s">
        <v>35</v>
      </c>
      <c r="O398" s="10"/>
      <c r="P398" s="10"/>
      <c r="Q398" s="10"/>
      <c r="R398" s="11" t="s">
        <v>1345</v>
      </c>
      <c r="S398" s="20">
        <v>46158.0</v>
      </c>
      <c r="T398" s="20">
        <v>46160.0</v>
      </c>
      <c r="U398" s="8" t="s">
        <v>758</v>
      </c>
      <c r="V398" s="13"/>
      <c r="W398" s="13"/>
      <c r="X398" s="13"/>
      <c r="Z398" s="13"/>
    </row>
    <row r="399" ht="21.75" customHeight="1">
      <c r="A399" s="25" t="str">
        <f>IF(B399="","","CAN-"&amp;TEXT(398,"000"))</f>
        <v>CAN-398</v>
      </c>
      <c r="B399" s="15" t="s">
        <v>1346</v>
      </c>
      <c r="C399" s="8" t="s">
        <v>147</v>
      </c>
      <c r="D399" s="16">
        <v>8.692068514E9</v>
      </c>
      <c r="E399" s="15" t="s">
        <v>248</v>
      </c>
      <c r="F399" s="8" t="s">
        <v>724</v>
      </c>
      <c r="G399" s="16" t="s">
        <v>201</v>
      </c>
      <c r="H399" s="16" t="s">
        <v>678</v>
      </c>
      <c r="I399" s="15" t="s">
        <v>39</v>
      </c>
      <c r="J399" s="15" t="s">
        <v>293</v>
      </c>
      <c r="K399" s="38" t="s">
        <v>32</v>
      </c>
      <c r="L399" s="15" t="s">
        <v>207</v>
      </c>
      <c r="M399" s="15" t="s">
        <v>34</v>
      </c>
      <c r="N399" s="15" t="s">
        <v>35</v>
      </c>
      <c r="O399" s="17"/>
      <c r="P399" s="17"/>
      <c r="Q399" s="17"/>
      <c r="R399" s="22" t="s">
        <v>1347</v>
      </c>
      <c r="S399" s="18">
        <v>46158.0</v>
      </c>
      <c r="T399" s="19"/>
      <c r="U399" s="15" t="s">
        <v>1009</v>
      </c>
      <c r="V399" s="13"/>
      <c r="W399" s="13"/>
      <c r="X399" s="13"/>
      <c r="Z399" s="13"/>
    </row>
    <row r="400" ht="21.75" customHeight="1">
      <c r="A400" s="27" t="str">
        <f>IF(B400="","","CAN-"&amp;TEXT(399,"000"))</f>
        <v>CAN-399</v>
      </c>
      <c r="B400" s="8" t="s">
        <v>1348</v>
      </c>
      <c r="C400" s="8" t="s">
        <v>147</v>
      </c>
      <c r="D400" s="41">
        <v>6.29941991E9</v>
      </c>
      <c r="E400" s="8" t="s">
        <v>210</v>
      </c>
      <c r="F400" s="8" t="s">
        <v>108</v>
      </c>
      <c r="G400" s="9" t="s">
        <v>44</v>
      </c>
      <c r="H400" s="24"/>
      <c r="I400" s="8" t="s">
        <v>39</v>
      </c>
      <c r="J400" s="10"/>
      <c r="K400" s="38" t="s">
        <v>32</v>
      </c>
      <c r="L400" s="15" t="s">
        <v>53</v>
      </c>
      <c r="M400" s="15" t="s">
        <v>34</v>
      </c>
      <c r="N400" s="8" t="s">
        <v>35</v>
      </c>
      <c r="O400" s="10"/>
      <c r="P400" s="10"/>
      <c r="Q400" s="10"/>
      <c r="R400" s="11" t="s">
        <v>1349</v>
      </c>
      <c r="S400" s="20">
        <v>46158.0</v>
      </c>
      <c r="T400" s="21"/>
      <c r="U400" s="10"/>
      <c r="V400" s="13"/>
      <c r="W400" s="13"/>
      <c r="X400" s="13"/>
      <c r="Z400" s="13"/>
    </row>
    <row r="401" ht="21.75" customHeight="1">
      <c r="A401" s="25" t="str">
        <f>IF(B401="","","CAN-"&amp;TEXT(400,"000"))</f>
        <v>CAN-400</v>
      </c>
      <c r="B401" s="15" t="s">
        <v>1350</v>
      </c>
      <c r="C401" s="8" t="s">
        <v>41</v>
      </c>
      <c r="D401" s="16">
        <v>9.022576572E9</v>
      </c>
      <c r="E401" s="15" t="s">
        <v>423</v>
      </c>
      <c r="F401" s="8" t="s">
        <v>90</v>
      </c>
      <c r="G401" s="16" t="s">
        <v>747</v>
      </c>
      <c r="H401" s="16" t="s">
        <v>324</v>
      </c>
      <c r="I401" s="15" t="s">
        <v>39</v>
      </c>
      <c r="J401" s="15" t="s">
        <v>872</v>
      </c>
      <c r="K401" s="38" t="s">
        <v>32</v>
      </c>
      <c r="L401" s="15" t="s">
        <v>207</v>
      </c>
      <c r="M401" s="15" t="s">
        <v>34</v>
      </c>
      <c r="N401" s="15" t="s">
        <v>45</v>
      </c>
      <c r="O401" s="17"/>
      <c r="P401" s="17"/>
      <c r="Q401" s="17"/>
      <c r="R401" s="22" t="s">
        <v>1351</v>
      </c>
      <c r="S401" s="18">
        <v>46160.0</v>
      </c>
      <c r="T401" s="19"/>
      <c r="U401" s="15" t="s">
        <v>295</v>
      </c>
      <c r="V401" s="13"/>
      <c r="W401" s="13"/>
      <c r="X401" s="13"/>
      <c r="Z401" s="13"/>
    </row>
    <row r="402" ht="21.75" customHeight="1">
      <c r="A402" s="27" t="str">
        <f>IF(B402="","","CAN-"&amp;TEXT(401,"000"))</f>
        <v>CAN-401</v>
      </c>
      <c r="B402" s="8" t="s">
        <v>1352</v>
      </c>
      <c r="C402" s="8" t="s">
        <v>41</v>
      </c>
      <c r="D402" s="9">
        <v>9.004512374E9</v>
      </c>
      <c r="E402" s="8" t="s">
        <v>120</v>
      </c>
      <c r="F402" s="8" t="s">
        <v>90</v>
      </c>
      <c r="G402" s="9" t="s">
        <v>737</v>
      </c>
      <c r="H402" s="9" t="s">
        <v>43</v>
      </c>
      <c r="I402" s="8" t="s">
        <v>39</v>
      </c>
      <c r="J402" s="8" t="s">
        <v>1353</v>
      </c>
      <c r="K402" s="38" t="s">
        <v>32</v>
      </c>
      <c r="L402" s="15" t="s">
        <v>207</v>
      </c>
      <c r="M402" s="15" t="s">
        <v>34</v>
      </c>
      <c r="N402" s="8" t="s">
        <v>45</v>
      </c>
      <c r="O402" s="10"/>
      <c r="P402" s="10"/>
      <c r="Q402" s="10"/>
      <c r="R402" s="11" t="s">
        <v>1354</v>
      </c>
      <c r="S402" s="18">
        <v>46160.0</v>
      </c>
      <c r="T402" s="21"/>
      <c r="U402" s="8" t="s">
        <v>295</v>
      </c>
      <c r="V402" s="13"/>
      <c r="W402" s="13"/>
      <c r="X402" s="13"/>
      <c r="Z402" s="13"/>
    </row>
    <row r="403" ht="21.75" customHeight="1">
      <c r="A403" s="25" t="str">
        <f>IF(B403="","","CAN-"&amp;TEXT(402,"000"))</f>
        <v>CAN-402</v>
      </c>
      <c r="B403" s="15" t="s">
        <v>637</v>
      </c>
      <c r="C403" s="8" t="s">
        <v>41</v>
      </c>
      <c r="D403" s="16">
        <v>9.021094934E9</v>
      </c>
      <c r="E403" s="15" t="s">
        <v>115</v>
      </c>
      <c r="F403" s="8" t="s">
        <v>90</v>
      </c>
      <c r="G403" s="16" t="s">
        <v>1124</v>
      </c>
      <c r="H403" s="16" t="s">
        <v>1124</v>
      </c>
      <c r="I403" s="15" t="s">
        <v>39</v>
      </c>
      <c r="J403" s="15" t="s">
        <v>325</v>
      </c>
      <c r="K403" s="38" t="s">
        <v>92</v>
      </c>
      <c r="L403" s="15" t="s">
        <v>33</v>
      </c>
      <c r="M403" s="15" t="s">
        <v>34</v>
      </c>
      <c r="N403" s="15" t="s">
        <v>45</v>
      </c>
      <c r="O403" s="17"/>
      <c r="P403" s="17"/>
      <c r="Q403" s="17"/>
      <c r="R403" s="22" t="s">
        <v>638</v>
      </c>
      <c r="S403" s="18">
        <v>46160.0</v>
      </c>
      <c r="T403" s="19"/>
      <c r="U403" s="15" t="s">
        <v>222</v>
      </c>
      <c r="V403" s="13"/>
      <c r="W403" s="13"/>
      <c r="X403" s="13"/>
      <c r="Z403" s="13"/>
    </row>
    <row r="404" ht="21.75" customHeight="1">
      <c r="A404" s="27" t="str">
        <f>IF(B404="","","CAN-"&amp;TEXT(403,"000"))</f>
        <v>CAN-403</v>
      </c>
      <c r="B404" s="8" t="s">
        <v>1355</v>
      </c>
      <c r="C404" s="8" t="s">
        <v>147</v>
      </c>
      <c r="D404" s="9">
        <v>8.828050052E9</v>
      </c>
      <c r="E404" s="8" t="s">
        <v>334</v>
      </c>
      <c r="F404" s="8" t="s">
        <v>334</v>
      </c>
      <c r="G404" s="9" t="s">
        <v>102</v>
      </c>
      <c r="H404" s="9" t="s">
        <v>132</v>
      </c>
      <c r="I404" s="8" t="s">
        <v>39</v>
      </c>
      <c r="J404" s="8" t="s">
        <v>1256</v>
      </c>
      <c r="K404" s="38" t="s">
        <v>92</v>
      </c>
      <c r="L404" s="15" t="s">
        <v>61</v>
      </c>
      <c r="M404" s="15" t="s">
        <v>34</v>
      </c>
      <c r="N404" s="8" t="s">
        <v>45</v>
      </c>
      <c r="O404" s="10"/>
      <c r="P404" s="10"/>
      <c r="Q404" s="10"/>
      <c r="R404" s="11" t="s">
        <v>1356</v>
      </c>
      <c r="S404" s="20">
        <v>46160.0</v>
      </c>
      <c r="T404" s="21"/>
      <c r="U404" s="8" t="s">
        <v>1009</v>
      </c>
      <c r="V404" s="13"/>
      <c r="W404" s="13"/>
      <c r="X404" s="13"/>
      <c r="Z404" s="13"/>
    </row>
    <row r="405" ht="21.75" customHeight="1">
      <c r="A405" s="25" t="str">
        <f>IF(B405="","","CAN-"&amp;TEXT(404,"000"))</f>
        <v>CAN-404</v>
      </c>
      <c r="B405" s="15" t="s">
        <v>1357</v>
      </c>
      <c r="C405" s="8" t="s">
        <v>147</v>
      </c>
      <c r="D405" s="16">
        <v>8.419941603E9</v>
      </c>
      <c r="E405" s="15" t="s">
        <v>117</v>
      </c>
      <c r="F405" s="8" t="s">
        <v>90</v>
      </c>
      <c r="G405" s="16" t="s">
        <v>102</v>
      </c>
      <c r="H405" s="16" t="s">
        <v>132</v>
      </c>
      <c r="I405" s="15" t="s">
        <v>39</v>
      </c>
      <c r="J405" s="15" t="s">
        <v>185</v>
      </c>
      <c r="K405" s="38" t="s">
        <v>32</v>
      </c>
      <c r="L405" s="15" t="s">
        <v>33</v>
      </c>
      <c r="M405" s="15" t="s">
        <v>34</v>
      </c>
      <c r="N405" s="15" t="s">
        <v>45</v>
      </c>
      <c r="O405" s="17"/>
      <c r="P405" s="17"/>
      <c r="Q405" s="17"/>
      <c r="R405" s="22" t="s">
        <v>1358</v>
      </c>
      <c r="S405" s="18">
        <v>46160.0</v>
      </c>
      <c r="T405" s="19"/>
      <c r="U405" s="15" t="s">
        <v>1359</v>
      </c>
      <c r="V405" s="13"/>
      <c r="W405" s="13"/>
      <c r="X405" s="13"/>
      <c r="Z405" s="13"/>
    </row>
    <row r="406" ht="21.75" customHeight="1">
      <c r="A406" s="27" t="str">
        <f>IF(B406="","","CAN-"&amp;TEXT(405,"000"))</f>
        <v>CAN-405</v>
      </c>
      <c r="B406" s="8" t="s">
        <v>1360</v>
      </c>
      <c r="C406" s="8" t="s">
        <v>147</v>
      </c>
      <c r="D406" s="9">
        <v>9.820621539E9</v>
      </c>
      <c r="E406" s="8" t="s">
        <v>166</v>
      </c>
      <c r="F406" s="8" t="s">
        <v>90</v>
      </c>
      <c r="G406" s="9" t="s">
        <v>116</v>
      </c>
      <c r="H406" s="24"/>
      <c r="I406" s="8" t="s">
        <v>39</v>
      </c>
      <c r="J406" s="10"/>
      <c r="K406" s="38" t="s">
        <v>32</v>
      </c>
      <c r="L406" s="15" t="s">
        <v>93</v>
      </c>
      <c r="M406" s="15" t="s">
        <v>34</v>
      </c>
      <c r="N406" s="8" t="s">
        <v>45</v>
      </c>
      <c r="O406" s="10"/>
      <c r="P406" s="10"/>
      <c r="Q406" s="10"/>
      <c r="R406" s="11" t="s">
        <v>1361</v>
      </c>
      <c r="S406" s="20">
        <v>46160.0</v>
      </c>
      <c r="T406" s="21"/>
      <c r="U406" s="10"/>
      <c r="V406" s="13"/>
      <c r="W406" s="13"/>
      <c r="X406" s="13"/>
      <c r="Z406" s="13"/>
    </row>
    <row r="407" ht="21.75" customHeight="1">
      <c r="A407" s="25" t="str">
        <f>IF(B407="","","CAN-"&amp;TEXT(406,"000"))</f>
        <v>CAN-406</v>
      </c>
      <c r="B407" s="15" t="s">
        <v>1362</v>
      </c>
      <c r="C407" s="8" t="s">
        <v>147</v>
      </c>
      <c r="D407" s="16">
        <v>8.928936176E9</v>
      </c>
      <c r="E407" s="15" t="s">
        <v>42</v>
      </c>
      <c r="F407" s="8" t="s">
        <v>90</v>
      </c>
      <c r="G407" s="16" t="s">
        <v>168</v>
      </c>
      <c r="H407" s="16" t="s">
        <v>116</v>
      </c>
      <c r="I407" s="15" t="s">
        <v>39</v>
      </c>
      <c r="J407" s="15" t="s">
        <v>507</v>
      </c>
      <c r="K407" s="38" t="s">
        <v>92</v>
      </c>
      <c r="L407" s="15" t="s">
        <v>33</v>
      </c>
      <c r="M407" s="15" t="s">
        <v>34</v>
      </c>
      <c r="N407" s="15" t="s">
        <v>45</v>
      </c>
      <c r="O407" s="17"/>
      <c r="P407" s="17"/>
      <c r="Q407" s="17"/>
      <c r="R407" s="22" t="s">
        <v>1363</v>
      </c>
      <c r="S407" s="18">
        <v>46160.0</v>
      </c>
      <c r="T407" s="19"/>
      <c r="U407" s="15" t="s">
        <v>1009</v>
      </c>
      <c r="V407" s="13"/>
      <c r="W407" s="13"/>
      <c r="X407" s="13"/>
      <c r="Z407" s="13"/>
    </row>
    <row r="408" ht="21.75" customHeight="1">
      <c r="A408" s="27" t="str">
        <f>IF(B408="","","CAN-"&amp;TEXT(407,"000"))</f>
        <v>CAN-407</v>
      </c>
      <c r="B408" s="8" t="s">
        <v>1364</v>
      </c>
      <c r="C408" s="8" t="s">
        <v>147</v>
      </c>
      <c r="D408" s="9">
        <v>9.167607415E9</v>
      </c>
      <c r="E408" s="8" t="s">
        <v>101</v>
      </c>
      <c r="F408" s="8" t="s">
        <v>90</v>
      </c>
      <c r="G408" s="9" t="s">
        <v>44</v>
      </c>
      <c r="H408" s="24"/>
      <c r="I408" s="8" t="s">
        <v>39</v>
      </c>
      <c r="J408" s="8" t="s">
        <v>426</v>
      </c>
      <c r="K408" s="38" t="s">
        <v>32</v>
      </c>
      <c r="L408" s="15" t="s">
        <v>33</v>
      </c>
      <c r="M408" s="15" t="s">
        <v>34</v>
      </c>
      <c r="N408" s="8" t="s">
        <v>48</v>
      </c>
      <c r="O408" s="10"/>
      <c r="P408" s="10"/>
      <c r="Q408" s="10"/>
      <c r="R408" s="11" t="s">
        <v>1365</v>
      </c>
      <c r="S408" s="20">
        <v>46160.0</v>
      </c>
      <c r="T408" s="21"/>
      <c r="U408" s="10"/>
      <c r="V408" s="13"/>
      <c r="W408" s="13"/>
      <c r="X408" s="13"/>
      <c r="Z408" s="13"/>
    </row>
    <row r="409" ht="21.75" customHeight="1">
      <c r="A409" s="25" t="str">
        <f>IF(B409="","","CAN-"&amp;TEXT(408,"000"))</f>
        <v>CAN-408</v>
      </c>
      <c r="B409" s="15" t="s">
        <v>1366</v>
      </c>
      <c r="C409" s="8" t="s">
        <v>41</v>
      </c>
      <c r="D409" s="16">
        <v>9.136773594E9</v>
      </c>
      <c r="E409" s="15" t="s">
        <v>50</v>
      </c>
      <c r="F409" s="8" t="s">
        <v>90</v>
      </c>
      <c r="G409" s="16" t="s">
        <v>122</v>
      </c>
      <c r="H409" s="16" t="s">
        <v>44</v>
      </c>
      <c r="I409" s="15" t="s">
        <v>39</v>
      </c>
      <c r="J409" s="15" t="s">
        <v>1084</v>
      </c>
      <c r="K409" s="38" t="s">
        <v>32</v>
      </c>
      <c r="L409" s="15" t="s">
        <v>33</v>
      </c>
      <c r="M409" s="15" t="s">
        <v>34</v>
      </c>
      <c r="N409" s="15" t="s">
        <v>45</v>
      </c>
      <c r="O409" s="17"/>
      <c r="P409" s="17"/>
      <c r="Q409" s="17"/>
      <c r="R409" s="22" t="s">
        <v>1367</v>
      </c>
      <c r="S409" s="20">
        <v>46160.0</v>
      </c>
      <c r="T409" s="19"/>
      <c r="U409" s="15" t="s">
        <v>560</v>
      </c>
      <c r="V409" s="13"/>
      <c r="W409" s="13"/>
      <c r="X409" s="13"/>
      <c r="Z409" s="13"/>
    </row>
    <row r="410" ht="21.75" customHeight="1">
      <c r="A410" s="27" t="str">
        <f>IF(B410="","","CAN-"&amp;TEXT(409,"000"))</f>
        <v>CAN-409</v>
      </c>
      <c r="B410" s="8" t="s">
        <v>1368</v>
      </c>
      <c r="C410" s="8" t="s">
        <v>41</v>
      </c>
      <c r="D410" s="9">
        <v>8.454090662E9</v>
      </c>
      <c r="E410" s="8" t="s">
        <v>290</v>
      </c>
      <c r="F410" s="8" t="s">
        <v>90</v>
      </c>
      <c r="G410" s="9" t="s">
        <v>132</v>
      </c>
      <c r="H410" s="9" t="s">
        <v>324</v>
      </c>
      <c r="I410" s="8" t="s">
        <v>39</v>
      </c>
      <c r="J410" s="8" t="s">
        <v>1256</v>
      </c>
      <c r="K410" s="38" t="s">
        <v>32</v>
      </c>
      <c r="L410" s="15" t="s">
        <v>33</v>
      </c>
      <c r="M410" s="15" t="s">
        <v>34</v>
      </c>
      <c r="N410" s="8" t="s">
        <v>45</v>
      </c>
      <c r="O410" s="10"/>
      <c r="P410" s="10"/>
      <c r="Q410" s="10"/>
      <c r="R410" s="11" t="s">
        <v>1369</v>
      </c>
      <c r="S410" s="20">
        <v>46160.0</v>
      </c>
      <c r="T410" s="21"/>
      <c r="U410" s="8" t="s">
        <v>284</v>
      </c>
      <c r="V410" s="13"/>
      <c r="W410" s="13"/>
      <c r="X410" s="13"/>
      <c r="Z410" s="13"/>
    </row>
    <row r="411" ht="21.75" customHeight="1">
      <c r="A411" s="25" t="str">
        <f>IF(B411="","","CAN-"&amp;TEXT(410,"000"))</f>
        <v>CAN-410</v>
      </c>
      <c r="B411" s="15" t="s">
        <v>1370</v>
      </c>
      <c r="C411" s="8" t="s">
        <v>41</v>
      </c>
      <c r="D411" s="16">
        <v>8.108684441E9</v>
      </c>
      <c r="E411" s="15" t="s">
        <v>101</v>
      </c>
      <c r="F411" s="8" t="s">
        <v>90</v>
      </c>
      <c r="G411" s="16" t="s">
        <v>955</v>
      </c>
      <c r="H411" s="23"/>
      <c r="I411" s="15" t="s">
        <v>39</v>
      </c>
      <c r="J411" s="17"/>
      <c r="K411" s="38" t="s">
        <v>32</v>
      </c>
      <c r="L411" s="15" t="s">
        <v>33</v>
      </c>
      <c r="M411" s="15" t="s">
        <v>34</v>
      </c>
      <c r="N411" s="15" t="s">
        <v>45</v>
      </c>
      <c r="O411" s="17"/>
      <c r="P411" s="17"/>
      <c r="Q411" s="17"/>
      <c r="R411" s="22" t="s">
        <v>1371</v>
      </c>
      <c r="S411" s="20">
        <v>46160.0</v>
      </c>
      <c r="T411" s="19"/>
      <c r="U411" s="17"/>
      <c r="V411" s="13"/>
      <c r="W411" s="13"/>
      <c r="X411" s="13"/>
      <c r="Z411" s="13"/>
    </row>
    <row r="412" ht="21.75" customHeight="1">
      <c r="A412" s="27" t="str">
        <f>IF(B412="","","CAN-"&amp;TEXT(411,"000"))</f>
        <v>CAN-411</v>
      </c>
      <c r="B412" s="8" t="s">
        <v>1372</v>
      </c>
      <c r="C412" s="8" t="s">
        <v>147</v>
      </c>
      <c r="D412" s="9">
        <v>8.208987822E9</v>
      </c>
      <c r="E412" s="8" t="s">
        <v>38</v>
      </c>
      <c r="F412" s="8" t="s">
        <v>90</v>
      </c>
      <c r="G412" s="9" t="s">
        <v>1373</v>
      </c>
      <c r="H412" s="9" t="s">
        <v>1374</v>
      </c>
      <c r="I412" s="8" t="s">
        <v>39</v>
      </c>
      <c r="J412" s="8" t="s">
        <v>325</v>
      </c>
      <c r="K412" s="38" t="s">
        <v>32</v>
      </c>
      <c r="L412" s="15" t="s">
        <v>33</v>
      </c>
      <c r="M412" s="15" t="s">
        <v>34</v>
      </c>
      <c r="N412" s="8" t="s">
        <v>45</v>
      </c>
      <c r="O412" s="10"/>
      <c r="P412" s="10"/>
      <c r="Q412" s="10"/>
      <c r="R412" s="11" t="s">
        <v>1375</v>
      </c>
      <c r="S412" s="20">
        <v>46160.0</v>
      </c>
      <c r="T412" s="20">
        <v>46161.0</v>
      </c>
      <c r="U412" s="8" t="s">
        <v>1173</v>
      </c>
      <c r="V412" s="13"/>
      <c r="W412" s="13"/>
      <c r="X412" s="13"/>
      <c r="Z412" s="13"/>
    </row>
    <row r="413" ht="21.75" customHeight="1">
      <c r="A413" s="25" t="str">
        <f>IF(B413="","","CAN-"&amp;TEXT(412,"000"))</f>
        <v>CAN-412</v>
      </c>
      <c r="B413" s="15" t="s">
        <v>1376</v>
      </c>
      <c r="C413" s="8" t="s">
        <v>147</v>
      </c>
      <c r="D413" s="16">
        <v>8.237064408E9</v>
      </c>
      <c r="E413" s="15" t="s">
        <v>166</v>
      </c>
      <c r="F413" s="8" t="s">
        <v>90</v>
      </c>
      <c r="G413" s="16" t="s">
        <v>218</v>
      </c>
      <c r="H413" s="16" t="s">
        <v>44</v>
      </c>
      <c r="I413" s="15" t="s">
        <v>39</v>
      </c>
      <c r="J413" s="15" t="s">
        <v>388</v>
      </c>
      <c r="K413" s="38" t="s">
        <v>32</v>
      </c>
      <c r="L413" s="15" t="s">
        <v>33</v>
      </c>
      <c r="M413" s="15" t="s">
        <v>34</v>
      </c>
      <c r="N413" s="15" t="s">
        <v>48</v>
      </c>
      <c r="O413" s="17"/>
      <c r="P413" s="17"/>
      <c r="Q413" s="17"/>
      <c r="R413" s="22" t="s">
        <v>1377</v>
      </c>
      <c r="S413" s="18">
        <v>46160.0</v>
      </c>
      <c r="T413" s="19"/>
      <c r="U413" s="17"/>
      <c r="V413" s="13"/>
      <c r="W413" s="13"/>
      <c r="X413" s="13"/>
      <c r="Z413" s="13"/>
    </row>
    <row r="414" ht="21.75" customHeight="1">
      <c r="A414" s="27" t="str">
        <f>IF(B414="","","CAN-"&amp;TEXT(413,"000"))</f>
        <v>CAN-413</v>
      </c>
      <c r="B414" s="8" t="s">
        <v>1378</v>
      </c>
      <c r="C414" s="8" t="s">
        <v>147</v>
      </c>
      <c r="D414" s="9" t="s">
        <v>1379</v>
      </c>
      <c r="E414" s="8" t="s">
        <v>166</v>
      </c>
      <c r="F414" s="8" t="s">
        <v>90</v>
      </c>
      <c r="G414" s="9" t="s">
        <v>44</v>
      </c>
      <c r="H414" s="9" t="s">
        <v>102</v>
      </c>
      <c r="I414" s="8" t="s">
        <v>39</v>
      </c>
      <c r="J414" s="8" t="s">
        <v>262</v>
      </c>
      <c r="K414" s="38" t="s">
        <v>32</v>
      </c>
      <c r="L414" s="15" t="s">
        <v>33</v>
      </c>
      <c r="M414" s="15" t="s">
        <v>34</v>
      </c>
      <c r="N414" s="8" t="s">
        <v>48</v>
      </c>
      <c r="O414" s="10"/>
      <c r="P414" s="10"/>
      <c r="Q414" s="10"/>
      <c r="R414" s="11" t="s">
        <v>1380</v>
      </c>
      <c r="S414" s="20">
        <v>46160.0</v>
      </c>
      <c r="T414" s="20">
        <v>46163.0</v>
      </c>
      <c r="U414" s="8" t="s">
        <v>1009</v>
      </c>
      <c r="V414" s="13"/>
      <c r="W414" s="13"/>
      <c r="X414" s="13"/>
      <c r="Z414" s="13"/>
    </row>
    <row r="415" ht="21.75" customHeight="1">
      <c r="A415" s="25" t="str">
        <f>IF(B415="","","CAN-"&amp;TEXT(414,"000"))</f>
        <v>CAN-414</v>
      </c>
      <c r="B415" s="15" t="s">
        <v>1381</v>
      </c>
      <c r="C415" s="8" t="s">
        <v>147</v>
      </c>
      <c r="D415" s="16">
        <v>7.02186643E9</v>
      </c>
      <c r="E415" s="15" t="s">
        <v>47</v>
      </c>
      <c r="F415" s="8" t="s">
        <v>90</v>
      </c>
      <c r="G415" s="16" t="s">
        <v>593</v>
      </c>
      <c r="H415" s="16" t="s">
        <v>737</v>
      </c>
      <c r="I415" s="15" t="s">
        <v>39</v>
      </c>
      <c r="J415" s="15" t="s">
        <v>185</v>
      </c>
      <c r="K415" s="38" t="s">
        <v>32</v>
      </c>
      <c r="L415" s="15" t="s">
        <v>207</v>
      </c>
      <c r="M415" s="15" t="s">
        <v>54</v>
      </c>
      <c r="N415" s="15" t="s">
        <v>48</v>
      </c>
      <c r="O415" s="17"/>
      <c r="P415" s="17"/>
      <c r="Q415" s="17"/>
      <c r="R415" s="22" t="s">
        <v>1382</v>
      </c>
      <c r="S415" s="18">
        <v>46161.0</v>
      </c>
      <c r="T415" s="18">
        <v>46163.0</v>
      </c>
      <c r="U415" s="15" t="s">
        <v>1268</v>
      </c>
      <c r="V415" s="13"/>
      <c r="W415" s="13"/>
      <c r="X415" s="13"/>
      <c r="Z415" s="13"/>
    </row>
    <row r="416" ht="21.75" customHeight="1">
      <c r="A416" s="27" t="str">
        <f>IF(B416="","","CAN-"&amp;TEXT(415,"000"))</f>
        <v>CAN-415</v>
      </c>
      <c r="B416" s="8" t="s">
        <v>1383</v>
      </c>
      <c r="C416" s="8" t="s">
        <v>41</v>
      </c>
      <c r="D416" s="9">
        <v>9.987593602E9</v>
      </c>
      <c r="E416" s="8" t="s">
        <v>321</v>
      </c>
      <c r="F416" s="8" t="s">
        <v>90</v>
      </c>
      <c r="G416" s="24"/>
      <c r="H416" s="24"/>
      <c r="I416" s="8" t="s">
        <v>39</v>
      </c>
      <c r="J416" s="8" t="s">
        <v>862</v>
      </c>
      <c r="K416" s="38" t="s">
        <v>32</v>
      </c>
      <c r="L416" s="15" t="s">
        <v>33</v>
      </c>
      <c r="M416" s="15" t="s">
        <v>34</v>
      </c>
      <c r="N416" s="8" t="s">
        <v>45</v>
      </c>
      <c r="O416" s="10"/>
      <c r="P416" s="10"/>
      <c r="Q416" s="10"/>
      <c r="R416" s="11" t="s">
        <v>1384</v>
      </c>
      <c r="S416" s="18">
        <v>46161.0</v>
      </c>
      <c r="T416" s="21"/>
      <c r="U416" s="10"/>
      <c r="V416" s="13"/>
      <c r="W416" s="13"/>
      <c r="X416" s="13"/>
      <c r="Z416" s="13"/>
    </row>
    <row r="417" ht="21.75" customHeight="1">
      <c r="A417" s="25" t="str">
        <f>IF(B417="","","CAN-"&amp;TEXT(416,"000"))</f>
        <v>CAN-416</v>
      </c>
      <c r="B417" s="15" t="s">
        <v>1385</v>
      </c>
      <c r="C417" s="8" t="s">
        <v>41</v>
      </c>
      <c r="D417" s="16">
        <v>8.459973887E9</v>
      </c>
      <c r="E417" s="15" t="s">
        <v>155</v>
      </c>
      <c r="F417" s="8" t="s">
        <v>108</v>
      </c>
      <c r="G417" s="23"/>
      <c r="H417" s="23"/>
      <c r="I417" s="15" t="s">
        <v>39</v>
      </c>
      <c r="J417" s="15" t="s">
        <v>293</v>
      </c>
      <c r="K417" s="38" t="s">
        <v>32</v>
      </c>
      <c r="L417" s="15" t="s">
        <v>33</v>
      </c>
      <c r="M417" s="15" t="s">
        <v>34</v>
      </c>
      <c r="N417" s="15" t="s">
        <v>45</v>
      </c>
      <c r="O417" s="17"/>
      <c r="P417" s="17"/>
      <c r="Q417" s="17"/>
      <c r="R417" s="22" t="s">
        <v>1386</v>
      </c>
      <c r="S417" s="18">
        <v>46161.0</v>
      </c>
      <c r="T417" s="19"/>
      <c r="U417" s="17"/>
      <c r="V417" s="13"/>
      <c r="W417" s="13"/>
      <c r="X417" s="13"/>
      <c r="Z417" s="13"/>
    </row>
    <row r="418" ht="21.75" customHeight="1">
      <c r="A418" s="27" t="str">
        <f>IF(B418="","","CAN-"&amp;TEXT(417,"000"))</f>
        <v>CAN-417</v>
      </c>
      <c r="B418" s="8" t="s">
        <v>1387</v>
      </c>
      <c r="C418" s="8" t="s">
        <v>147</v>
      </c>
      <c r="D418" s="9">
        <v>9.372070261E9</v>
      </c>
      <c r="E418" s="8" t="s">
        <v>519</v>
      </c>
      <c r="F418" s="8" t="s">
        <v>90</v>
      </c>
      <c r="G418" s="9" t="s">
        <v>597</v>
      </c>
      <c r="H418" s="9" t="s">
        <v>201</v>
      </c>
      <c r="I418" s="8" t="s">
        <v>39</v>
      </c>
      <c r="J418" s="8" t="s">
        <v>1388</v>
      </c>
      <c r="K418" s="38" t="s">
        <v>32</v>
      </c>
      <c r="L418" s="15" t="s">
        <v>53</v>
      </c>
      <c r="M418" s="15" t="s">
        <v>34</v>
      </c>
      <c r="N418" s="8" t="s">
        <v>48</v>
      </c>
      <c r="O418" s="10"/>
      <c r="P418" s="10"/>
      <c r="Q418" s="10"/>
      <c r="R418" s="11" t="s">
        <v>1389</v>
      </c>
      <c r="S418" s="20">
        <v>46161.0</v>
      </c>
      <c r="T418" s="20">
        <v>46163.0</v>
      </c>
      <c r="U418" s="8" t="s">
        <v>1268</v>
      </c>
      <c r="V418" s="13"/>
      <c r="W418" s="13"/>
      <c r="X418" s="13"/>
      <c r="Z418" s="13"/>
    </row>
    <row r="419" ht="21.75" customHeight="1">
      <c r="A419" s="25" t="str">
        <f>IF(B419="","","CAN-"&amp;TEXT(418,"000"))</f>
        <v>CAN-418</v>
      </c>
      <c r="B419" s="15" t="s">
        <v>1390</v>
      </c>
      <c r="C419" s="8" t="s">
        <v>41</v>
      </c>
      <c r="D419" s="16">
        <v>7.977329898E9</v>
      </c>
      <c r="E419" s="15" t="s">
        <v>248</v>
      </c>
      <c r="F419" s="8" t="s">
        <v>724</v>
      </c>
      <c r="G419" s="16" t="s">
        <v>102</v>
      </c>
      <c r="H419" s="16" t="s">
        <v>132</v>
      </c>
      <c r="I419" s="15" t="s">
        <v>39</v>
      </c>
      <c r="J419" s="15" t="s">
        <v>507</v>
      </c>
      <c r="K419" s="38" t="s">
        <v>32</v>
      </c>
      <c r="L419" s="15" t="s">
        <v>33</v>
      </c>
      <c r="M419" s="15" t="s">
        <v>34</v>
      </c>
      <c r="N419" s="15" t="s">
        <v>45</v>
      </c>
      <c r="O419" s="17"/>
      <c r="P419" s="17"/>
      <c r="Q419" s="17"/>
      <c r="R419" s="22" t="s">
        <v>1391</v>
      </c>
      <c r="S419" s="20">
        <v>46161.0</v>
      </c>
      <c r="T419" s="20">
        <v>46161.0</v>
      </c>
      <c r="U419" s="15" t="s">
        <v>295</v>
      </c>
      <c r="V419" s="13"/>
      <c r="W419" s="13"/>
      <c r="X419" s="13"/>
      <c r="Z419" s="13"/>
    </row>
    <row r="420" ht="21.75" customHeight="1">
      <c r="A420" s="27" t="str">
        <f>IF(B420="","","CAN-"&amp;TEXT(419,"000"))</f>
        <v>CAN-419</v>
      </c>
      <c r="B420" s="8" t="s">
        <v>1392</v>
      </c>
      <c r="C420" s="8" t="s">
        <v>147</v>
      </c>
      <c r="D420" s="9">
        <v>9.32174233E9</v>
      </c>
      <c r="E420" s="8" t="s">
        <v>115</v>
      </c>
      <c r="F420" s="8" t="s">
        <v>90</v>
      </c>
      <c r="G420" s="9" t="s">
        <v>1056</v>
      </c>
      <c r="H420" s="24"/>
      <c r="I420" s="8" t="s">
        <v>39</v>
      </c>
      <c r="J420" s="8" t="s">
        <v>702</v>
      </c>
      <c r="K420" s="38" t="s">
        <v>92</v>
      </c>
      <c r="L420" s="15" t="s">
        <v>61</v>
      </c>
      <c r="M420" s="15" t="s">
        <v>34</v>
      </c>
      <c r="N420" s="8" t="s">
        <v>48</v>
      </c>
      <c r="O420" s="10"/>
      <c r="P420" s="10"/>
      <c r="Q420" s="10"/>
      <c r="R420" s="11" t="s">
        <v>1393</v>
      </c>
      <c r="S420" s="20">
        <v>46161.0</v>
      </c>
      <c r="T420" s="21"/>
      <c r="U420" s="8" t="s">
        <v>758</v>
      </c>
      <c r="V420" s="13"/>
      <c r="W420" s="13"/>
      <c r="X420" s="13"/>
      <c r="Z420" s="13"/>
    </row>
    <row r="421" ht="21.75" customHeight="1">
      <c r="A421" s="25" t="str">
        <f>IF(B421="","","CAN-"&amp;TEXT(420,"000"))</f>
        <v>CAN-420</v>
      </c>
      <c r="B421" s="15" t="s">
        <v>1394</v>
      </c>
      <c r="C421" s="8" t="s">
        <v>147</v>
      </c>
      <c r="D421" s="16">
        <v>9.16716186E9</v>
      </c>
      <c r="E421" s="15" t="s">
        <v>115</v>
      </c>
      <c r="F421" s="8" t="s">
        <v>90</v>
      </c>
      <c r="G421" s="16" t="s">
        <v>122</v>
      </c>
      <c r="H421" s="16" t="s">
        <v>116</v>
      </c>
      <c r="I421" s="15" t="s">
        <v>39</v>
      </c>
      <c r="J421" s="15" t="s">
        <v>469</v>
      </c>
      <c r="K421" s="38" t="s">
        <v>32</v>
      </c>
      <c r="L421" s="15" t="s">
        <v>93</v>
      </c>
      <c r="M421" s="15" t="s">
        <v>34</v>
      </c>
      <c r="N421" s="15" t="s">
        <v>48</v>
      </c>
      <c r="O421" s="17"/>
      <c r="P421" s="17"/>
      <c r="Q421" s="17"/>
      <c r="R421" s="22" t="s">
        <v>1395</v>
      </c>
      <c r="S421" s="18">
        <v>46161.0</v>
      </c>
      <c r="T421" s="18">
        <v>46167.0</v>
      </c>
      <c r="U421" s="15" t="s">
        <v>1009</v>
      </c>
      <c r="V421" s="13"/>
      <c r="W421" s="13"/>
      <c r="X421" s="13"/>
      <c r="Z421" s="13"/>
    </row>
    <row r="422" ht="21.75" customHeight="1">
      <c r="A422" s="27" t="str">
        <f>IF(B422="","","CAN-"&amp;TEXT(421,"000"))</f>
        <v>CAN-421</v>
      </c>
      <c r="B422" s="8" t="s">
        <v>1396</v>
      </c>
      <c r="C422" s="8" t="s">
        <v>147</v>
      </c>
      <c r="D422" s="9">
        <v>8.104561998E9</v>
      </c>
      <c r="E422" s="8" t="s">
        <v>115</v>
      </c>
      <c r="F422" s="8" t="s">
        <v>90</v>
      </c>
      <c r="G422" s="9" t="s">
        <v>121</v>
      </c>
      <c r="H422" s="9" t="s">
        <v>402</v>
      </c>
      <c r="I422" s="8" t="s">
        <v>39</v>
      </c>
      <c r="J422" s="8" t="s">
        <v>590</v>
      </c>
      <c r="K422" s="38" t="s">
        <v>92</v>
      </c>
      <c r="L422" s="15" t="s">
        <v>207</v>
      </c>
      <c r="M422" s="15" t="s">
        <v>54</v>
      </c>
      <c r="N422" s="8" t="s">
        <v>48</v>
      </c>
      <c r="O422" s="10"/>
      <c r="P422" s="10"/>
      <c r="Q422" s="10"/>
      <c r="R422" s="11" t="s">
        <v>1397</v>
      </c>
      <c r="S422" s="20">
        <v>46161.0</v>
      </c>
      <c r="T422" s="20">
        <v>46162.0</v>
      </c>
      <c r="U422" s="8" t="s">
        <v>1009</v>
      </c>
      <c r="V422" s="13"/>
      <c r="W422" s="13"/>
      <c r="X422" s="13"/>
      <c r="Z422" s="13"/>
    </row>
    <row r="423" ht="21.75" customHeight="1">
      <c r="A423" s="25" t="str">
        <f>IF(B423="","","CAN-"&amp;TEXT(422,"000"))</f>
        <v>CAN-422</v>
      </c>
      <c r="B423" s="15" t="s">
        <v>1398</v>
      </c>
      <c r="C423" s="8" t="s">
        <v>147</v>
      </c>
      <c r="D423" s="16">
        <v>8.237271349E9</v>
      </c>
      <c r="E423" s="15" t="s">
        <v>42</v>
      </c>
      <c r="F423" s="8" t="s">
        <v>90</v>
      </c>
      <c r="G423" s="16" t="s">
        <v>116</v>
      </c>
      <c r="H423" s="16" t="s">
        <v>169</v>
      </c>
      <c r="I423" s="15" t="s">
        <v>39</v>
      </c>
      <c r="J423" s="15" t="s">
        <v>91</v>
      </c>
      <c r="K423" s="38" t="s">
        <v>92</v>
      </c>
      <c r="L423" s="15" t="s">
        <v>93</v>
      </c>
      <c r="M423" s="15" t="s">
        <v>34</v>
      </c>
      <c r="N423" s="15" t="s">
        <v>45</v>
      </c>
      <c r="O423" s="17"/>
      <c r="P423" s="17"/>
      <c r="Q423" s="17"/>
      <c r="R423" s="22" t="s">
        <v>1399</v>
      </c>
      <c r="S423" s="18">
        <v>46162.0</v>
      </c>
      <c r="T423" s="18">
        <v>46167.0</v>
      </c>
      <c r="U423" s="15" t="s">
        <v>1173</v>
      </c>
      <c r="V423" s="13"/>
      <c r="W423" s="13"/>
      <c r="X423" s="13"/>
      <c r="Z423" s="13"/>
    </row>
    <row r="424" ht="21.75" customHeight="1">
      <c r="A424" s="27" t="str">
        <f>IF(B424="","","CAN-"&amp;TEXT(423,"000"))</f>
        <v>CAN-423</v>
      </c>
      <c r="B424" s="8" t="s">
        <v>1400</v>
      </c>
      <c r="C424" s="8" t="s">
        <v>147</v>
      </c>
      <c r="D424" s="9">
        <v>9.006606796E9</v>
      </c>
      <c r="E424" s="8" t="s">
        <v>188</v>
      </c>
      <c r="F424" s="8" t="s">
        <v>90</v>
      </c>
      <c r="G424" s="9" t="s">
        <v>122</v>
      </c>
      <c r="H424" s="9" t="s">
        <v>44</v>
      </c>
      <c r="I424" s="8" t="s">
        <v>39</v>
      </c>
      <c r="J424" s="8" t="s">
        <v>185</v>
      </c>
      <c r="K424" s="38" t="s">
        <v>32</v>
      </c>
      <c r="L424" s="15" t="s">
        <v>61</v>
      </c>
      <c r="M424" s="15" t="s">
        <v>34</v>
      </c>
      <c r="N424" s="8" t="s">
        <v>45</v>
      </c>
      <c r="O424" s="10"/>
      <c r="P424" s="10"/>
      <c r="Q424" s="10"/>
      <c r="R424" s="11" t="s">
        <v>1401</v>
      </c>
      <c r="S424" s="20">
        <v>46162.0</v>
      </c>
      <c r="T424" s="20">
        <v>46167.0</v>
      </c>
      <c r="U424" s="8" t="s">
        <v>1173</v>
      </c>
      <c r="V424" s="13"/>
      <c r="W424" s="13"/>
      <c r="X424" s="13"/>
      <c r="Z424" s="13"/>
    </row>
    <row r="425" ht="21.75" customHeight="1">
      <c r="A425" s="25" t="str">
        <f>IF(B425="","","CAN-"&amp;TEXT(424,"000"))</f>
        <v>CAN-424</v>
      </c>
      <c r="B425" s="15" t="s">
        <v>1402</v>
      </c>
      <c r="C425" s="8" t="s">
        <v>147</v>
      </c>
      <c r="D425" s="16">
        <v>9.507606819E9</v>
      </c>
      <c r="E425" s="15" t="s">
        <v>101</v>
      </c>
      <c r="F425" s="8" t="s">
        <v>90</v>
      </c>
      <c r="G425" s="16" t="s">
        <v>116</v>
      </c>
      <c r="H425" s="16" t="s">
        <v>102</v>
      </c>
      <c r="I425" s="15" t="s">
        <v>39</v>
      </c>
      <c r="J425" s="15" t="s">
        <v>862</v>
      </c>
      <c r="K425" s="38" t="s">
        <v>32</v>
      </c>
      <c r="L425" s="15" t="s">
        <v>33</v>
      </c>
      <c r="M425" s="15" t="s">
        <v>34</v>
      </c>
      <c r="N425" s="15" t="s">
        <v>45</v>
      </c>
      <c r="O425" s="17"/>
      <c r="P425" s="17"/>
      <c r="Q425" s="17"/>
      <c r="R425" s="22" t="s">
        <v>1403</v>
      </c>
      <c r="S425" s="18">
        <v>46162.0</v>
      </c>
      <c r="T425" s="19"/>
      <c r="U425" s="17"/>
      <c r="V425" s="13"/>
      <c r="W425" s="13"/>
      <c r="X425" s="13"/>
      <c r="Z425" s="13"/>
    </row>
    <row r="426" ht="21.75" customHeight="1">
      <c r="A426" s="27" t="str">
        <f>IF(B426="","","CAN-"&amp;TEXT(425,"000"))</f>
        <v>CAN-425</v>
      </c>
      <c r="B426" s="8" t="s">
        <v>1404</v>
      </c>
      <c r="C426" s="8" t="s">
        <v>147</v>
      </c>
      <c r="D426" s="9">
        <v>9.022657772E9</v>
      </c>
      <c r="E426" s="8" t="s">
        <v>47</v>
      </c>
      <c r="F426" s="8" t="s">
        <v>90</v>
      </c>
      <c r="G426" s="9" t="s">
        <v>597</v>
      </c>
      <c r="H426" s="9" t="s">
        <v>44</v>
      </c>
      <c r="I426" s="8" t="s">
        <v>39</v>
      </c>
      <c r="J426" s="8" t="s">
        <v>388</v>
      </c>
      <c r="K426" s="38" t="s">
        <v>32</v>
      </c>
      <c r="L426" s="15" t="s">
        <v>207</v>
      </c>
      <c r="M426" s="15" t="s">
        <v>34</v>
      </c>
      <c r="N426" s="8" t="s">
        <v>45</v>
      </c>
      <c r="O426" s="10"/>
      <c r="P426" s="10"/>
      <c r="Q426" s="10"/>
      <c r="R426" s="11" t="s">
        <v>1405</v>
      </c>
      <c r="S426" s="20">
        <v>46162.0</v>
      </c>
      <c r="T426" s="20">
        <v>46167.0</v>
      </c>
      <c r="U426" s="8" t="s">
        <v>1314</v>
      </c>
      <c r="V426" s="13"/>
      <c r="W426" s="13"/>
      <c r="X426" s="13"/>
      <c r="Z426" s="13"/>
    </row>
    <row r="427" ht="21.75" customHeight="1">
      <c r="A427" s="25" t="str">
        <f>IF(B427="","","CAN-"&amp;TEXT(426,"000"))</f>
        <v>CAN-426</v>
      </c>
      <c r="B427" s="15" t="s">
        <v>1406</v>
      </c>
      <c r="C427" s="8" t="s">
        <v>41</v>
      </c>
      <c r="D427" s="16">
        <v>7.407518715E9</v>
      </c>
      <c r="E427" s="15" t="s">
        <v>155</v>
      </c>
      <c r="F427" s="8" t="s">
        <v>108</v>
      </c>
      <c r="G427" s="16" t="s">
        <v>323</v>
      </c>
      <c r="H427" s="16" t="s">
        <v>324</v>
      </c>
      <c r="I427" s="15" t="s">
        <v>39</v>
      </c>
      <c r="J427" s="15" t="s">
        <v>837</v>
      </c>
      <c r="K427" s="38" t="s">
        <v>32</v>
      </c>
      <c r="L427" s="15" t="s">
        <v>93</v>
      </c>
      <c r="M427" s="15" t="s">
        <v>34</v>
      </c>
      <c r="N427" s="15" t="s">
        <v>45</v>
      </c>
      <c r="O427" s="17"/>
      <c r="P427" s="17"/>
      <c r="Q427" s="17"/>
      <c r="R427" s="22" t="s">
        <v>1407</v>
      </c>
      <c r="S427" s="20">
        <v>46162.0</v>
      </c>
      <c r="T427" s="19"/>
      <c r="U427" s="15" t="s">
        <v>480</v>
      </c>
      <c r="V427" s="13"/>
      <c r="W427" s="13"/>
      <c r="X427" s="13"/>
      <c r="Z427" s="13"/>
    </row>
    <row r="428" ht="21.75" customHeight="1">
      <c r="A428" s="27" t="str">
        <f>IF(B428="","","CAN-"&amp;TEXT(427,"000"))</f>
        <v>CAN-427</v>
      </c>
      <c r="B428" s="8" t="s">
        <v>1385</v>
      </c>
      <c r="C428" s="8" t="s">
        <v>41</v>
      </c>
      <c r="D428" s="9">
        <v>8.459973887E9</v>
      </c>
      <c r="E428" s="8" t="s">
        <v>155</v>
      </c>
      <c r="F428" s="8" t="s">
        <v>108</v>
      </c>
      <c r="G428" s="24"/>
      <c r="H428" s="24"/>
      <c r="I428" s="8" t="s">
        <v>39</v>
      </c>
      <c r="J428" s="8" t="s">
        <v>1408</v>
      </c>
      <c r="K428" s="38" t="s">
        <v>32</v>
      </c>
      <c r="L428" s="15" t="s">
        <v>33</v>
      </c>
      <c r="M428" s="15" t="s">
        <v>34</v>
      </c>
      <c r="N428" s="8" t="s">
        <v>35</v>
      </c>
      <c r="O428" s="10"/>
      <c r="P428" s="10"/>
      <c r="Q428" s="10"/>
      <c r="R428" s="11" t="s">
        <v>1386</v>
      </c>
      <c r="S428" s="20">
        <v>46162.0</v>
      </c>
      <c r="T428" s="21"/>
      <c r="U428" s="10"/>
      <c r="V428" s="13"/>
      <c r="W428" s="13"/>
      <c r="X428" s="13"/>
      <c r="Z428" s="13"/>
    </row>
    <row r="429" ht="21.75" customHeight="1">
      <c r="A429" s="25" t="str">
        <f>IF(B429="","","CAN-"&amp;TEXT(428,"000"))</f>
        <v>CAN-428</v>
      </c>
      <c r="B429" s="15" t="s">
        <v>1409</v>
      </c>
      <c r="C429" s="8" t="s">
        <v>41</v>
      </c>
      <c r="D429" s="16">
        <v>6.295373388E9</v>
      </c>
      <c r="E429" s="15" t="s">
        <v>155</v>
      </c>
      <c r="F429" s="8" t="s">
        <v>108</v>
      </c>
      <c r="G429" s="16" t="s">
        <v>324</v>
      </c>
      <c r="H429" s="23"/>
      <c r="I429" s="15" t="s">
        <v>39</v>
      </c>
      <c r="J429" s="15" t="s">
        <v>837</v>
      </c>
      <c r="K429" s="38" t="s">
        <v>32</v>
      </c>
      <c r="L429" s="15" t="s">
        <v>93</v>
      </c>
      <c r="M429" s="15" t="s">
        <v>34</v>
      </c>
      <c r="N429" s="15" t="s">
        <v>45</v>
      </c>
      <c r="O429" s="17"/>
      <c r="P429" s="17"/>
      <c r="Q429" s="15"/>
      <c r="R429" s="22" t="s">
        <v>1410</v>
      </c>
      <c r="S429" s="20">
        <v>46162.0</v>
      </c>
      <c r="T429" s="19"/>
      <c r="U429" s="15" t="s">
        <v>560</v>
      </c>
      <c r="V429" s="13"/>
      <c r="W429" s="13"/>
      <c r="X429" s="13"/>
      <c r="Z429" s="13"/>
    </row>
    <row r="430" ht="21.75" customHeight="1">
      <c r="A430" s="27" t="str">
        <f>IF(B430="","","CAN-"&amp;TEXT(429,"000"))</f>
        <v>CAN-429</v>
      </c>
      <c r="B430" s="8" t="s">
        <v>1411</v>
      </c>
      <c r="C430" s="8" t="s">
        <v>41</v>
      </c>
      <c r="D430" s="9">
        <v>9.326056603E9</v>
      </c>
      <c r="E430" s="8" t="s">
        <v>128</v>
      </c>
      <c r="F430" s="8" t="s">
        <v>108</v>
      </c>
      <c r="G430" s="9" t="s">
        <v>43</v>
      </c>
      <c r="H430" s="9" t="s">
        <v>44</v>
      </c>
      <c r="I430" s="8" t="s">
        <v>39</v>
      </c>
      <c r="J430" s="8" t="s">
        <v>293</v>
      </c>
      <c r="K430" s="38" t="s">
        <v>32</v>
      </c>
      <c r="L430" s="15" t="s">
        <v>207</v>
      </c>
      <c r="M430" s="15" t="s">
        <v>54</v>
      </c>
      <c r="N430" s="8" t="s">
        <v>45</v>
      </c>
      <c r="O430" s="10"/>
      <c r="P430" s="10"/>
      <c r="Q430" s="10"/>
      <c r="R430" s="11" t="s">
        <v>1412</v>
      </c>
      <c r="S430" s="20">
        <v>46162.0</v>
      </c>
      <c r="T430" s="21"/>
      <c r="U430" s="8" t="s">
        <v>464</v>
      </c>
      <c r="V430" s="13"/>
      <c r="W430" s="13"/>
      <c r="X430" s="13"/>
      <c r="Z430" s="13"/>
    </row>
    <row r="431" ht="21.75" customHeight="1">
      <c r="A431" s="25" t="str">
        <f>IF(B431="","","CAN-"&amp;TEXT(430,"000"))</f>
        <v>CAN-430</v>
      </c>
      <c r="B431" s="15" t="s">
        <v>1413</v>
      </c>
      <c r="C431" s="8" t="s">
        <v>147</v>
      </c>
      <c r="D431" s="16">
        <v>7.718009353E9</v>
      </c>
      <c r="E431" s="15" t="s">
        <v>334</v>
      </c>
      <c r="F431" s="8" t="s">
        <v>334</v>
      </c>
      <c r="G431" s="16" t="s">
        <v>710</v>
      </c>
      <c r="H431" s="23"/>
      <c r="I431" s="15" t="s">
        <v>39</v>
      </c>
      <c r="J431" s="15" t="s">
        <v>426</v>
      </c>
      <c r="K431" s="38" t="s">
        <v>32</v>
      </c>
      <c r="L431" s="15" t="s">
        <v>61</v>
      </c>
      <c r="M431" s="15" t="s">
        <v>34</v>
      </c>
      <c r="N431" s="15" t="s">
        <v>31</v>
      </c>
      <c r="O431" s="17"/>
      <c r="P431" s="17"/>
      <c r="Q431" s="17"/>
      <c r="R431" s="22" t="s">
        <v>1414</v>
      </c>
      <c r="S431" s="18">
        <v>46162.0</v>
      </c>
      <c r="T431" s="19"/>
      <c r="U431" s="17"/>
      <c r="V431" s="13"/>
      <c r="W431" s="13"/>
      <c r="X431" s="13"/>
      <c r="Z431" s="13"/>
    </row>
    <row r="432" ht="21.75" customHeight="1">
      <c r="A432" s="27" t="str">
        <f>IF(B432="","","CAN-"&amp;TEXT(431,"000"))</f>
        <v>CAN-431</v>
      </c>
      <c r="B432" s="8" t="s">
        <v>1415</v>
      </c>
      <c r="C432" s="8" t="s">
        <v>41</v>
      </c>
      <c r="D432" s="9">
        <v>9.558967565E9</v>
      </c>
      <c r="E432" s="8" t="s">
        <v>38</v>
      </c>
      <c r="F432" s="8" t="s">
        <v>90</v>
      </c>
      <c r="G432" s="24"/>
      <c r="H432" s="24"/>
      <c r="I432" s="8" t="s">
        <v>113</v>
      </c>
      <c r="J432" s="10"/>
      <c r="K432" s="38" t="s">
        <v>32</v>
      </c>
      <c r="L432" s="15" t="s">
        <v>33</v>
      </c>
      <c r="M432" s="15" t="s">
        <v>34</v>
      </c>
      <c r="N432" s="8" t="s">
        <v>45</v>
      </c>
      <c r="O432" s="10"/>
      <c r="P432" s="10"/>
      <c r="Q432" s="10"/>
      <c r="R432" s="11" t="s">
        <v>1416</v>
      </c>
      <c r="S432" s="20">
        <v>46163.0</v>
      </c>
      <c r="T432" s="21"/>
      <c r="U432" s="8" t="s">
        <v>125</v>
      </c>
      <c r="V432" s="13"/>
      <c r="W432" s="13"/>
      <c r="X432" s="13"/>
      <c r="Z432" s="13"/>
    </row>
    <row r="433" ht="21.75" customHeight="1">
      <c r="A433" s="25" t="str">
        <f>IF(B433="","","CAN-"&amp;TEXT(432,"000"))</f>
        <v>CAN-432</v>
      </c>
      <c r="B433" s="15" t="s">
        <v>1417</v>
      </c>
      <c r="C433" s="8" t="s">
        <v>41</v>
      </c>
      <c r="D433" s="16">
        <v>8.169691308E9</v>
      </c>
      <c r="E433" s="15" t="s">
        <v>296</v>
      </c>
      <c r="F433" s="8" t="s">
        <v>90</v>
      </c>
      <c r="G433" s="16" t="s">
        <v>102</v>
      </c>
      <c r="H433" s="16" t="s">
        <v>132</v>
      </c>
      <c r="I433" s="15" t="s">
        <v>39</v>
      </c>
      <c r="J433" s="15" t="s">
        <v>563</v>
      </c>
      <c r="K433" s="38" t="s">
        <v>32</v>
      </c>
      <c r="L433" s="15" t="s">
        <v>93</v>
      </c>
      <c r="M433" s="15" t="s">
        <v>34</v>
      </c>
      <c r="N433" s="15" t="s">
        <v>45</v>
      </c>
      <c r="O433" s="17"/>
      <c r="P433" s="17"/>
      <c r="Q433" s="17"/>
      <c r="R433" s="22" t="s">
        <v>1418</v>
      </c>
      <c r="S433" s="20">
        <v>46163.0</v>
      </c>
      <c r="T433" s="19"/>
      <c r="U433" s="17"/>
      <c r="V433" s="13"/>
      <c r="W433" s="13"/>
      <c r="X433" s="13"/>
      <c r="Z433" s="13"/>
    </row>
    <row r="434" ht="21.75" customHeight="1">
      <c r="A434" s="27" t="str">
        <f>IF(B434="","","CAN-"&amp;TEXT(433,"000"))</f>
        <v>CAN-433</v>
      </c>
      <c r="B434" s="8" t="s">
        <v>1419</v>
      </c>
      <c r="C434" s="8" t="s">
        <v>41</v>
      </c>
      <c r="D434" s="9">
        <v>9.382886695E9</v>
      </c>
      <c r="E434" s="8" t="s">
        <v>248</v>
      </c>
      <c r="F434" s="8" t="s">
        <v>108</v>
      </c>
      <c r="G434" s="9" t="s">
        <v>1420</v>
      </c>
      <c r="H434" s="9" t="s">
        <v>1420</v>
      </c>
      <c r="I434" s="8" t="s">
        <v>39</v>
      </c>
      <c r="J434" s="8" t="s">
        <v>837</v>
      </c>
      <c r="K434" s="38" t="s">
        <v>32</v>
      </c>
      <c r="L434" s="15" t="s">
        <v>53</v>
      </c>
      <c r="M434" s="15" t="s">
        <v>34</v>
      </c>
      <c r="N434" s="8" t="s">
        <v>45</v>
      </c>
      <c r="O434" s="10"/>
      <c r="P434" s="10"/>
      <c r="Q434" s="10"/>
      <c r="R434" s="11" t="s">
        <v>1421</v>
      </c>
      <c r="S434" s="20">
        <v>46163.0</v>
      </c>
      <c r="T434" s="21"/>
      <c r="U434" s="8" t="s">
        <v>560</v>
      </c>
      <c r="V434" s="13"/>
      <c r="W434" s="13"/>
      <c r="X434" s="13"/>
      <c r="Z434" s="13"/>
    </row>
    <row r="435" ht="21.75" customHeight="1">
      <c r="A435" s="25" t="str">
        <f>IF(B435="","","CAN-"&amp;TEXT(434,"000"))</f>
        <v>CAN-434</v>
      </c>
      <c r="B435" s="15" t="s">
        <v>1422</v>
      </c>
      <c r="C435" s="8" t="s">
        <v>41</v>
      </c>
      <c r="D435" s="16">
        <v>8.871581507E9</v>
      </c>
      <c r="E435" s="15" t="s">
        <v>546</v>
      </c>
      <c r="F435" s="8" t="s">
        <v>90</v>
      </c>
      <c r="G435" s="16" t="s">
        <v>1373</v>
      </c>
      <c r="H435" s="16" t="s">
        <v>1423</v>
      </c>
      <c r="I435" s="15" t="s">
        <v>39</v>
      </c>
      <c r="J435" s="17"/>
      <c r="K435" s="38" t="s">
        <v>32</v>
      </c>
      <c r="L435" s="15" t="s">
        <v>33</v>
      </c>
      <c r="M435" s="15" t="s">
        <v>34</v>
      </c>
      <c r="N435" s="15" t="s">
        <v>45</v>
      </c>
      <c r="O435" s="17"/>
      <c r="P435" s="17"/>
      <c r="Q435" s="17"/>
      <c r="R435" s="36" t="s">
        <v>1424</v>
      </c>
      <c r="S435" s="20">
        <v>46163.0</v>
      </c>
      <c r="T435" s="19"/>
      <c r="U435" s="17"/>
      <c r="V435" s="13"/>
      <c r="W435" s="13"/>
      <c r="X435" s="13"/>
      <c r="Z435" s="13"/>
    </row>
    <row r="436" ht="21.75" customHeight="1">
      <c r="A436" s="27" t="str">
        <f>IF(B436="","","CAN-"&amp;TEXT(435,"000"))</f>
        <v>CAN-435</v>
      </c>
      <c r="B436" s="8" t="s">
        <v>1425</v>
      </c>
      <c r="C436" s="8" t="s">
        <v>89</v>
      </c>
      <c r="D436" s="9">
        <v>9.821332713E9</v>
      </c>
      <c r="E436" s="8" t="s">
        <v>115</v>
      </c>
      <c r="F436" s="8" t="s">
        <v>90</v>
      </c>
      <c r="G436" s="9" t="s">
        <v>44</v>
      </c>
      <c r="H436" s="9" t="s">
        <v>501</v>
      </c>
      <c r="I436" s="8" t="s">
        <v>64</v>
      </c>
      <c r="J436" s="8" t="s">
        <v>337</v>
      </c>
      <c r="K436" s="38" t="s">
        <v>92</v>
      </c>
      <c r="L436" s="15" t="s">
        <v>33</v>
      </c>
      <c r="M436" s="10"/>
      <c r="N436" s="10"/>
      <c r="O436" s="10"/>
      <c r="P436" s="10"/>
      <c r="Q436" s="10"/>
      <c r="R436" s="10"/>
      <c r="S436" s="21"/>
      <c r="T436" s="21"/>
      <c r="U436" s="10"/>
      <c r="V436" s="13"/>
      <c r="W436" s="13"/>
      <c r="X436" s="13"/>
      <c r="Z436" s="13"/>
    </row>
    <row r="437" ht="21.75" customHeight="1">
      <c r="A437" s="25" t="str">
        <f>IF(B437="","","CAN-"&amp;TEXT(436,"000"))</f>
        <v>CAN-436</v>
      </c>
      <c r="B437" s="15" t="s">
        <v>1426</v>
      </c>
      <c r="C437" s="8" t="s">
        <v>41</v>
      </c>
      <c r="D437" s="16">
        <v>9.819568671E9</v>
      </c>
      <c r="E437" s="15" t="s">
        <v>67</v>
      </c>
      <c r="F437" s="8" t="s">
        <v>108</v>
      </c>
      <c r="G437" s="16" t="s">
        <v>1427</v>
      </c>
      <c r="H437" s="16" t="s">
        <v>1428</v>
      </c>
      <c r="I437" s="15" t="s">
        <v>76</v>
      </c>
      <c r="J437" s="17"/>
      <c r="K437" s="38" t="s">
        <v>32</v>
      </c>
      <c r="L437" s="15" t="s">
        <v>33</v>
      </c>
      <c r="M437" s="15" t="s">
        <v>34</v>
      </c>
      <c r="N437" s="15" t="s">
        <v>45</v>
      </c>
      <c r="O437" s="17"/>
      <c r="P437" s="17"/>
      <c r="Q437" s="17"/>
      <c r="R437" s="22" t="s">
        <v>1429</v>
      </c>
      <c r="S437" s="20">
        <v>46163.0</v>
      </c>
      <c r="T437" s="19"/>
      <c r="U437" s="17"/>
      <c r="V437" s="13"/>
      <c r="W437" s="13"/>
      <c r="X437" s="13"/>
      <c r="Z437" s="13"/>
    </row>
    <row r="438" ht="21.75" customHeight="1">
      <c r="A438" s="27" t="str">
        <f>IF(B438="","","CAN-"&amp;TEXT(437,"000"))</f>
        <v>CAN-437</v>
      </c>
      <c r="B438" s="8" t="s">
        <v>1430</v>
      </c>
      <c r="C438" s="8" t="s">
        <v>41</v>
      </c>
      <c r="D438" s="9">
        <v>9.326553662E9</v>
      </c>
      <c r="E438" s="8" t="s">
        <v>67</v>
      </c>
      <c r="F438" s="8" t="s">
        <v>108</v>
      </c>
      <c r="G438" s="9" t="s">
        <v>343</v>
      </c>
      <c r="H438" s="9" t="s">
        <v>129</v>
      </c>
      <c r="I438" s="8" t="s">
        <v>39</v>
      </c>
      <c r="J438" s="10"/>
      <c r="K438" s="38" t="s">
        <v>32</v>
      </c>
      <c r="L438" s="15" t="s">
        <v>93</v>
      </c>
      <c r="M438" s="15" t="s">
        <v>34</v>
      </c>
      <c r="N438" s="8" t="s">
        <v>45</v>
      </c>
      <c r="O438" s="10"/>
      <c r="P438" s="10"/>
      <c r="Q438" s="10"/>
      <c r="R438" s="11" t="s">
        <v>1431</v>
      </c>
      <c r="S438" s="20">
        <v>46163.0</v>
      </c>
      <c r="T438" s="21"/>
      <c r="U438" s="10"/>
      <c r="V438" s="13"/>
      <c r="W438" s="13"/>
      <c r="X438" s="13"/>
      <c r="Z438" s="13"/>
    </row>
    <row r="439" ht="21.75" customHeight="1">
      <c r="A439" s="25" t="str">
        <f>IF(B439="","","CAN-"&amp;TEXT(438,"000"))</f>
        <v>CAN-438</v>
      </c>
      <c r="B439" s="15" t="s">
        <v>1432</v>
      </c>
      <c r="C439" s="8" t="s">
        <v>41</v>
      </c>
      <c r="D439" s="16">
        <v>8.856882133E9</v>
      </c>
      <c r="E439" s="15" t="s">
        <v>553</v>
      </c>
      <c r="F439" s="8" t="s">
        <v>90</v>
      </c>
      <c r="G439" s="16" t="s">
        <v>501</v>
      </c>
      <c r="H439" s="16" t="s">
        <v>132</v>
      </c>
      <c r="I439" s="15" t="s">
        <v>39</v>
      </c>
      <c r="J439" s="15" t="s">
        <v>1433</v>
      </c>
      <c r="K439" s="38" t="s">
        <v>32</v>
      </c>
      <c r="L439" s="15" t="s">
        <v>33</v>
      </c>
      <c r="M439" s="15" t="s">
        <v>34</v>
      </c>
      <c r="N439" s="15" t="s">
        <v>45</v>
      </c>
      <c r="O439" s="17"/>
      <c r="P439" s="17"/>
      <c r="Q439" s="17"/>
      <c r="R439" s="22" t="s">
        <v>1434</v>
      </c>
      <c r="S439" s="20">
        <v>46164.0</v>
      </c>
      <c r="T439" s="19"/>
      <c r="U439" s="15" t="s">
        <v>480</v>
      </c>
      <c r="V439" s="13"/>
      <c r="W439" s="13"/>
      <c r="X439" s="13"/>
      <c r="Z439" s="13"/>
    </row>
    <row r="440" ht="21.75" customHeight="1">
      <c r="A440" s="27" t="str">
        <f>IF(B440="","","CAN-"&amp;TEXT(439,"000"))</f>
        <v>CAN-439</v>
      </c>
      <c r="B440" s="8" t="s">
        <v>1435</v>
      </c>
      <c r="C440" s="8" t="s">
        <v>41</v>
      </c>
      <c r="D440" s="9">
        <v>8.471922268E9</v>
      </c>
      <c r="E440" s="8" t="s">
        <v>38</v>
      </c>
      <c r="F440" s="8" t="s">
        <v>90</v>
      </c>
      <c r="G440" s="9" t="s">
        <v>324</v>
      </c>
      <c r="H440" s="9" t="s">
        <v>133</v>
      </c>
      <c r="I440" s="8" t="s">
        <v>39</v>
      </c>
      <c r="J440" s="10"/>
      <c r="K440" s="38" t="s">
        <v>92</v>
      </c>
      <c r="L440" s="15" t="s">
        <v>93</v>
      </c>
      <c r="M440" s="15" t="s">
        <v>34</v>
      </c>
      <c r="N440" s="8" t="s">
        <v>45</v>
      </c>
      <c r="O440" s="10"/>
      <c r="P440" s="10"/>
      <c r="Q440" s="10"/>
      <c r="R440" s="11" t="s">
        <v>1436</v>
      </c>
      <c r="S440" s="20">
        <v>46164.0</v>
      </c>
      <c r="T440" s="21"/>
      <c r="U440" s="10"/>
      <c r="V440" s="13"/>
      <c r="W440" s="13"/>
      <c r="X440" s="13"/>
      <c r="Z440" s="13"/>
    </row>
    <row r="441" ht="21.75" customHeight="1">
      <c r="A441" s="25" t="str">
        <f>IF(B441="","","CAN-"&amp;TEXT(440,"000"))</f>
        <v>CAN-440</v>
      </c>
      <c r="B441" s="15" t="s">
        <v>1437</v>
      </c>
      <c r="C441" s="8" t="s">
        <v>41</v>
      </c>
      <c r="D441" s="16">
        <v>6.359471497E9</v>
      </c>
      <c r="E441" s="15" t="s">
        <v>112</v>
      </c>
      <c r="F441" s="8" t="s">
        <v>90</v>
      </c>
      <c r="G441" s="16" t="s">
        <v>361</v>
      </c>
      <c r="H441" s="16" t="s">
        <v>635</v>
      </c>
      <c r="I441" s="15" t="s">
        <v>39</v>
      </c>
      <c r="J441" s="15" t="s">
        <v>371</v>
      </c>
      <c r="K441" s="38" t="s">
        <v>32</v>
      </c>
      <c r="L441" s="15" t="s">
        <v>33</v>
      </c>
      <c r="M441" s="15" t="s">
        <v>34</v>
      </c>
      <c r="N441" s="15" t="s">
        <v>45</v>
      </c>
      <c r="O441" s="17"/>
      <c r="P441" s="17"/>
      <c r="Q441" s="17"/>
      <c r="R441" s="22" t="s">
        <v>1438</v>
      </c>
      <c r="S441" s="18">
        <v>46164.0</v>
      </c>
      <c r="T441" s="19"/>
      <c r="U441" s="17"/>
      <c r="V441" s="13"/>
      <c r="W441" s="13"/>
      <c r="X441" s="13"/>
      <c r="Z441" s="13"/>
    </row>
    <row r="442" ht="21.75" customHeight="1">
      <c r="A442" s="27" t="str">
        <f>IF(B442="","","CAN-"&amp;TEXT(441,"000"))</f>
        <v>CAN-441</v>
      </c>
      <c r="B442" s="8" t="s">
        <v>1439</v>
      </c>
      <c r="C442" s="8" t="s">
        <v>147</v>
      </c>
      <c r="D442" s="9">
        <v>8.87940569E9</v>
      </c>
      <c r="E442" s="8" t="s">
        <v>115</v>
      </c>
      <c r="F442" s="8" t="s">
        <v>90</v>
      </c>
      <c r="G442" s="9" t="s">
        <v>361</v>
      </c>
      <c r="H442" s="9" t="s">
        <v>635</v>
      </c>
      <c r="I442" s="8" t="s">
        <v>39</v>
      </c>
      <c r="J442" s="10"/>
      <c r="K442" s="38" t="s">
        <v>92</v>
      </c>
      <c r="L442" s="15" t="s">
        <v>445</v>
      </c>
      <c r="M442" s="15" t="s">
        <v>54</v>
      </c>
      <c r="N442" s="8" t="s">
        <v>35</v>
      </c>
      <c r="O442" s="10"/>
      <c r="P442" s="10"/>
      <c r="Q442" s="10"/>
      <c r="R442" s="11" t="s">
        <v>1440</v>
      </c>
      <c r="S442" s="20">
        <v>46164.0</v>
      </c>
      <c r="T442" s="21"/>
      <c r="U442" s="8" t="s">
        <v>758</v>
      </c>
      <c r="V442" s="13"/>
      <c r="W442" s="13"/>
      <c r="X442" s="13"/>
      <c r="Z442" s="13"/>
    </row>
    <row r="443" ht="21.75" customHeight="1">
      <c r="A443" s="25" t="str">
        <f>IF(B443="","","CAN-"&amp;TEXT(442,"000"))</f>
        <v>CAN-442</v>
      </c>
      <c r="B443" s="15" t="s">
        <v>1441</v>
      </c>
      <c r="C443" s="8" t="s">
        <v>41</v>
      </c>
      <c r="D443" s="16">
        <v>8.879159203E9</v>
      </c>
      <c r="E443" s="15" t="s">
        <v>248</v>
      </c>
      <c r="F443" s="8" t="s">
        <v>108</v>
      </c>
      <c r="G443" s="16" t="s">
        <v>1100</v>
      </c>
      <c r="H443" s="16" t="s">
        <v>921</v>
      </c>
      <c r="I443" s="15" t="s">
        <v>39</v>
      </c>
      <c r="J443" s="15" t="s">
        <v>1084</v>
      </c>
      <c r="K443" s="38" t="s">
        <v>92</v>
      </c>
      <c r="L443" s="15" t="s">
        <v>33</v>
      </c>
      <c r="M443" s="15" t="s">
        <v>34</v>
      </c>
      <c r="N443" s="15" t="s">
        <v>75</v>
      </c>
      <c r="O443" s="17"/>
      <c r="P443" s="17"/>
      <c r="Q443" s="17"/>
      <c r="R443" s="22" t="s">
        <v>1442</v>
      </c>
      <c r="S443" s="18">
        <v>46167.0</v>
      </c>
      <c r="T443" s="19"/>
      <c r="U443" s="15" t="s">
        <v>560</v>
      </c>
      <c r="V443" s="13"/>
      <c r="W443" s="13"/>
      <c r="X443" s="13"/>
      <c r="Z443" s="13"/>
    </row>
    <row r="444" ht="21.75" customHeight="1">
      <c r="A444" s="27" t="str">
        <f>IF(B444="","","CAN-"&amp;TEXT(443,"000"))</f>
        <v>CAN-443</v>
      </c>
      <c r="B444" s="8" t="s">
        <v>1443</v>
      </c>
      <c r="C444" s="8" t="s">
        <v>41</v>
      </c>
      <c r="D444" s="9">
        <v>8.59176609E9</v>
      </c>
      <c r="E444" s="8" t="s">
        <v>210</v>
      </c>
      <c r="F444" s="8" t="s">
        <v>108</v>
      </c>
      <c r="G444" s="9" t="s">
        <v>169</v>
      </c>
      <c r="H444" s="9" t="s">
        <v>501</v>
      </c>
      <c r="I444" s="8" t="s">
        <v>39</v>
      </c>
      <c r="J444" s="10"/>
      <c r="K444" s="38" t="s">
        <v>92</v>
      </c>
      <c r="L444" s="15" t="s">
        <v>33</v>
      </c>
      <c r="M444" s="15" t="s">
        <v>34</v>
      </c>
      <c r="N444" s="8" t="s">
        <v>45</v>
      </c>
      <c r="O444" s="10"/>
      <c r="P444" s="10"/>
      <c r="Q444" s="10"/>
      <c r="R444" s="11" t="s">
        <v>1444</v>
      </c>
      <c r="S444" s="18">
        <v>46167.0</v>
      </c>
      <c r="T444" s="21"/>
      <c r="U444" s="8" t="s">
        <v>560</v>
      </c>
      <c r="V444" s="13"/>
      <c r="W444" s="13"/>
      <c r="X444" s="13"/>
      <c r="Z444" s="13"/>
    </row>
    <row r="445" ht="21.75" customHeight="1">
      <c r="A445" s="25" t="str">
        <f>IF(B445="","","CAN-"&amp;TEXT(444,"000"))</f>
        <v>CAN-444</v>
      </c>
      <c r="B445" s="15" t="s">
        <v>1445</v>
      </c>
      <c r="C445" s="8" t="s">
        <v>147</v>
      </c>
      <c r="D445" s="42">
        <v>9.817641889E9</v>
      </c>
      <c r="E445" s="15" t="s">
        <v>519</v>
      </c>
      <c r="F445" s="8" t="s">
        <v>90</v>
      </c>
      <c r="G445" s="16" t="s">
        <v>402</v>
      </c>
      <c r="H445" s="16" t="s">
        <v>1446</v>
      </c>
      <c r="I445" s="15" t="s">
        <v>39</v>
      </c>
      <c r="J445" s="15" t="s">
        <v>837</v>
      </c>
      <c r="K445" s="38" t="s">
        <v>32</v>
      </c>
      <c r="L445" s="15" t="s">
        <v>207</v>
      </c>
      <c r="M445" s="15" t="s">
        <v>34</v>
      </c>
      <c r="N445" s="15" t="s">
        <v>45</v>
      </c>
      <c r="O445" s="17"/>
      <c r="P445" s="17"/>
      <c r="Q445" s="17"/>
      <c r="R445" s="22" t="s">
        <v>1447</v>
      </c>
      <c r="S445" s="18">
        <v>46167.0</v>
      </c>
      <c r="T445" s="19"/>
      <c r="U445" s="15" t="s">
        <v>1448</v>
      </c>
      <c r="V445" s="13"/>
      <c r="W445" s="13"/>
      <c r="X445" s="13"/>
      <c r="Z445" s="13"/>
    </row>
    <row r="446" ht="21.75" customHeight="1">
      <c r="A446" s="27" t="str">
        <f>IF(B446="","","CAN-"&amp;TEXT(445,"000"))</f>
        <v>CAN-445</v>
      </c>
      <c r="B446" s="8" t="s">
        <v>1449</v>
      </c>
      <c r="C446" s="8" t="s">
        <v>147</v>
      </c>
      <c r="D446" s="9">
        <v>9.6991605E9</v>
      </c>
      <c r="E446" s="8" t="s">
        <v>47</v>
      </c>
      <c r="F446" s="8" t="s">
        <v>90</v>
      </c>
      <c r="G446" s="9" t="s">
        <v>121</v>
      </c>
      <c r="H446" s="24"/>
      <c r="I446" s="8" t="s">
        <v>39</v>
      </c>
      <c r="J446" s="8" t="s">
        <v>325</v>
      </c>
      <c r="K446" s="38" t="s">
        <v>32</v>
      </c>
      <c r="L446" s="15" t="s">
        <v>207</v>
      </c>
      <c r="M446" s="15" t="s">
        <v>54</v>
      </c>
      <c r="N446" s="8" t="s">
        <v>45</v>
      </c>
      <c r="O446" s="10"/>
      <c r="P446" s="10"/>
      <c r="Q446" s="10"/>
      <c r="R446" s="11" t="s">
        <v>1450</v>
      </c>
      <c r="S446" s="20">
        <v>46167.0</v>
      </c>
      <c r="T446" s="20">
        <v>46168.0</v>
      </c>
      <c r="U446" s="8" t="s">
        <v>37</v>
      </c>
      <c r="V446" s="13"/>
      <c r="W446" s="13"/>
      <c r="X446" s="13"/>
      <c r="Z446" s="13"/>
    </row>
    <row r="447" ht="21.75" customHeight="1">
      <c r="A447" s="25" t="str">
        <f>IF(B447="","","CAN-"&amp;TEXT(446,"000"))</f>
        <v>CAN-446</v>
      </c>
      <c r="B447" s="15" t="s">
        <v>1451</v>
      </c>
      <c r="C447" s="8" t="s">
        <v>147</v>
      </c>
      <c r="D447" s="16">
        <v>7.666160901E9</v>
      </c>
      <c r="E447" s="15" t="s">
        <v>215</v>
      </c>
      <c r="F447" s="8" t="s">
        <v>108</v>
      </c>
      <c r="G447" s="23"/>
      <c r="H447" s="23"/>
      <c r="I447" s="15" t="s">
        <v>39</v>
      </c>
      <c r="J447" s="15" t="s">
        <v>325</v>
      </c>
      <c r="K447" s="38" t="s">
        <v>32</v>
      </c>
      <c r="L447" s="15" t="s">
        <v>33</v>
      </c>
      <c r="M447" s="15" t="s">
        <v>54</v>
      </c>
      <c r="N447" s="15" t="s">
        <v>45</v>
      </c>
      <c r="O447" s="17"/>
      <c r="P447" s="17"/>
      <c r="Q447" s="17"/>
      <c r="R447" s="22" t="s">
        <v>1452</v>
      </c>
      <c r="S447" s="18">
        <v>46167.0</v>
      </c>
      <c r="T447" s="19"/>
      <c r="U447" s="17"/>
      <c r="V447" s="13"/>
      <c r="W447" s="13"/>
      <c r="X447" s="13"/>
      <c r="Z447" s="13"/>
    </row>
    <row r="448" ht="21.75" customHeight="1">
      <c r="A448" s="27" t="str">
        <f>IF(B448="","","CAN-"&amp;TEXT(447,"000"))</f>
        <v>CAN-447</v>
      </c>
      <c r="B448" s="8" t="s">
        <v>1453</v>
      </c>
      <c r="C448" s="8" t="s">
        <v>147</v>
      </c>
      <c r="D448" s="9" t="s">
        <v>1454</v>
      </c>
      <c r="E448" s="8" t="s">
        <v>101</v>
      </c>
      <c r="F448" s="8" t="s">
        <v>90</v>
      </c>
      <c r="G448" s="9" t="s">
        <v>122</v>
      </c>
      <c r="H448" s="24"/>
      <c r="I448" s="8" t="s">
        <v>39</v>
      </c>
      <c r="J448" s="8" t="s">
        <v>388</v>
      </c>
      <c r="K448" s="38" t="s">
        <v>32</v>
      </c>
      <c r="L448" s="15" t="s">
        <v>207</v>
      </c>
      <c r="M448" s="15" t="s">
        <v>34</v>
      </c>
      <c r="N448" s="8" t="s">
        <v>48</v>
      </c>
      <c r="O448" s="10"/>
      <c r="P448" s="10"/>
      <c r="Q448" s="10"/>
      <c r="R448" s="11" t="s">
        <v>1455</v>
      </c>
      <c r="S448" s="20">
        <v>46167.0</v>
      </c>
      <c r="T448" s="21"/>
      <c r="U448" s="8" t="s">
        <v>37</v>
      </c>
      <c r="V448" s="13"/>
      <c r="W448" s="13"/>
      <c r="X448" s="13"/>
      <c r="Z448" s="13"/>
    </row>
    <row r="449" ht="21.75" customHeight="1">
      <c r="A449" s="25" t="str">
        <f>IF(B449="","","CAN-"&amp;TEXT(448,"000"))</f>
        <v>CAN-448</v>
      </c>
      <c r="B449" s="15" t="s">
        <v>1456</v>
      </c>
      <c r="C449" s="8" t="s">
        <v>147</v>
      </c>
      <c r="D449" s="16">
        <v>9.113347775E9</v>
      </c>
      <c r="E449" s="15" t="s">
        <v>47</v>
      </c>
      <c r="F449" s="8" t="s">
        <v>90</v>
      </c>
      <c r="G449" s="16" t="s">
        <v>43</v>
      </c>
      <c r="H449" s="23"/>
      <c r="I449" s="15" t="s">
        <v>39</v>
      </c>
      <c r="J449" s="15" t="s">
        <v>39</v>
      </c>
      <c r="K449" s="38" t="s">
        <v>32</v>
      </c>
      <c r="L449" s="15" t="s">
        <v>207</v>
      </c>
      <c r="M449" s="15" t="s">
        <v>54</v>
      </c>
      <c r="N449" s="15" t="s">
        <v>48</v>
      </c>
      <c r="O449" s="17"/>
      <c r="P449" s="17"/>
      <c r="Q449" s="17"/>
      <c r="R449" s="22" t="s">
        <v>1457</v>
      </c>
      <c r="S449" s="18">
        <v>46167.0</v>
      </c>
      <c r="T449" s="19"/>
      <c r="U449" s="17"/>
      <c r="V449" s="13"/>
      <c r="W449" s="13"/>
      <c r="X449" s="13"/>
      <c r="Z449" s="13"/>
    </row>
    <row r="450" ht="21.75" customHeight="1">
      <c r="A450" s="27" t="str">
        <f>IF(B450="","","CAN-"&amp;TEXT(449,"000"))</f>
        <v>CAN-449</v>
      </c>
      <c r="B450" s="8" t="s">
        <v>1458</v>
      </c>
      <c r="C450" s="8" t="s">
        <v>147</v>
      </c>
      <c r="D450" s="9">
        <v>7.985953528E9</v>
      </c>
      <c r="E450" s="8" t="s">
        <v>210</v>
      </c>
      <c r="F450" s="8" t="s">
        <v>217</v>
      </c>
      <c r="G450" s="9" t="s">
        <v>122</v>
      </c>
      <c r="H450" s="9" t="s">
        <v>44</v>
      </c>
      <c r="I450" s="8" t="s">
        <v>39</v>
      </c>
      <c r="J450" s="8" t="s">
        <v>172</v>
      </c>
      <c r="K450" s="38" t="s">
        <v>32</v>
      </c>
      <c r="L450" s="15" t="s">
        <v>33</v>
      </c>
      <c r="M450" s="15" t="s">
        <v>34</v>
      </c>
      <c r="N450" s="8" t="s">
        <v>45</v>
      </c>
      <c r="O450" s="10"/>
      <c r="P450" s="10"/>
      <c r="Q450" s="10"/>
      <c r="R450" s="11" t="s">
        <v>1459</v>
      </c>
      <c r="S450" s="20">
        <v>46167.0</v>
      </c>
      <c r="T450" s="21"/>
      <c r="U450" s="8" t="s">
        <v>295</v>
      </c>
      <c r="V450" s="13"/>
      <c r="W450" s="13"/>
      <c r="X450" s="13"/>
      <c r="Z450" s="13"/>
    </row>
    <row r="451" ht="21.75" customHeight="1">
      <c r="A451" s="25" t="str">
        <f>IF(B451="","","CAN-"&amp;TEXT(450,"000"))</f>
        <v>CAN-450</v>
      </c>
      <c r="B451" s="15" t="s">
        <v>1460</v>
      </c>
      <c r="C451" s="8" t="s">
        <v>147</v>
      </c>
      <c r="D451" s="16">
        <v>9.101171667E9</v>
      </c>
      <c r="E451" s="15" t="s">
        <v>42</v>
      </c>
      <c r="F451" s="8" t="s">
        <v>90</v>
      </c>
      <c r="G451" s="16" t="s">
        <v>1461</v>
      </c>
      <c r="H451" s="16" t="s">
        <v>43</v>
      </c>
      <c r="I451" s="15" t="s">
        <v>39</v>
      </c>
      <c r="J451" s="15" t="s">
        <v>837</v>
      </c>
      <c r="K451" s="38" t="s">
        <v>32</v>
      </c>
      <c r="L451" s="15" t="s">
        <v>445</v>
      </c>
      <c r="M451" s="15" t="s">
        <v>34</v>
      </c>
      <c r="N451" s="15" t="s">
        <v>45</v>
      </c>
      <c r="O451" s="17"/>
      <c r="P451" s="17"/>
      <c r="Q451" s="17"/>
      <c r="R451" s="22" t="s">
        <v>1462</v>
      </c>
      <c r="S451" s="18">
        <v>46167.0</v>
      </c>
      <c r="T451" s="18">
        <v>46168.0</v>
      </c>
      <c r="U451" s="15" t="s">
        <v>37</v>
      </c>
      <c r="V451" s="13"/>
      <c r="W451" s="13"/>
      <c r="X451" s="13"/>
      <c r="Z451" s="13"/>
    </row>
    <row r="452" ht="21.75" customHeight="1">
      <c r="A452" s="27" t="str">
        <f>IF(B452="","","CAN-"&amp;TEXT(451,"000"))</f>
        <v>CAN-451</v>
      </c>
      <c r="B452" s="8" t="s">
        <v>1463</v>
      </c>
      <c r="C452" s="8" t="s">
        <v>147</v>
      </c>
      <c r="D452" s="9">
        <v>9.637302893E9</v>
      </c>
      <c r="E452" s="8" t="s">
        <v>307</v>
      </c>
      <c r="F452" s="8" t="s">
        <v>90</v>
      </c>
      <c r="G452" s="9" t="s">
        <v>169</v>
      </c>
      <c r="H452" s="9" t="s">
        <v>501</v>
      </c>
      <c r="I452" s="8" t="s">
        <v>39</v>
      </c>
      <c r="J452" s="8" t="s">
        <v>995</v>
      </c>
      <c r="K452" s="38" t="s">
        <v>32</v>
      </c>
      <c r="L452" s="15" t="s">
        <v>33</v>
      </c>
      <c r="M452" s="15" t="s">
        <v>34</v>
      </c>
      <c r="N452" s="8" t="s">
        <v>45</v>
      </c>
      <c r="O452" s="10"/>
      <c r="P452" s="10"/>
      <c r="Q452" s="10"/>
      <c r="R452" s="11" t="s">
        <v>1464</v>
      </c>
      <c r="S452" s="20">
        <v>46167.0</v>
      </c>
      <c r="T452" s="20">
        <v>46169.0</v>
      </c>
      <c r="U452" s="8" t="s">
        <v>480</v>
      </c>
      <c r="V452" s="13"/>
      <c r="W452" s="13"/>
      <c r="X452" s="13"/>
      <c r="Z452" s="13"/>
    </row>
    <row r="453" ht="21.75" customHeight="1">
      <c r="A453" s="25" t="str">
        <f>IF(B453="","","CAN-"&amp;TEXT(452,"000"))</f>
        <v>CAN-452</v>
      </c>
      <c r="B453" s="15" t="s">
        <v>1465</v>
      </c>
      <c r="C453" s="8" t="s">
        <v>147</v>
      </c>
      <c r="D453" s="16">
        <v>8.123057544E9</v>
      </c>
      <c r="E453" s="15" t="s">
        <v>155</v>
      </c>
      <c r="F453" s="8" t="s">
        <v>724</v>
      </c>
      <c r="G453" s="23"/>
      <c r="H453" s="23"/>
      <c r="I453" s="15" t="s">
        <v>58</v>
      </c>
      <c r="J453" s="17"/>
      <c r="K453" s="38" t="s">
        <v>32</v>
      </c>
      <c r="L453" s="15" t="s">
        <v>33</v>
      </c>
      <c r="M453" s="15" t="s">
        <v>34</v>
      </c>
      <c r="N453" s="15" t="s">
        <v>45</v>
      </c>
      <c r="O453" s="17"/>
      <c r="P453" s="17"/>
      <c r="Q453" s="17"/>
      <c r="R453" s="22" t="s">
        <v>1466</v>
      </c>
      <c r="S453" s="18">
        <v>46168.0</v>
      </c>
      <c r="T453" s="19"/>
      <c r="U453" s="15" t="s">
        <v>1467</v>
      </c>
      <c r="V453" s="13"/>
      <c r="W453" s="13"/>
      <c r="X453" s="13"/>
      <c r="Z453" s="13"/>
    </row>
    <row r="454" ht="21.75" customHeight="1">
      <c r="A454" s="27" t="str">
        <f>IF(B454="","","CAN-"&amp;TEXT(453,"000"))</f>
        <v>CAN-453</v>
      </c>
      <c r="B454" s="8" t="s">
        <v>1468</v>
      </c>
      <c r="C454" s="8" t="s">
        <v>147</v>
      </c>
      <c r="D454" s="9">
        <v>9.930768524E9</v>
      </c>
      <c r="E454" s="8" t="s">
        <v>215</v>
      </c>
      <c r="F454" s="8" t="s">
        <v>425</v>
      </c>
      <c r="G454" s="9" t="s">
        <v>122</v>
      </c>
      <c r="H454" s="9" t="s">
        <v>201</v>
      </c>
      <c r="I454" s="8" t="s">
        <v>39</v>
      </c>
      <c r="J454" s="8" t="s">
        <v>185</v>
      </c>
      <c r="K454" s="38" t="s">
        <v>92</v>
      </c>
      <c r="L454" s="15" t="s">
        <v>207</v>
      </c>
      <c r="M454" s="15" t="s">
        <v>34</v>
      </c>
      <c r="N454" s="8" t="s">
        <v>31</v>
      </c>
      <c r="O454" s="10"/>
      <c r="P454" s="10"/>
      <c r="Q454" s="10"/>
      <c r="R454" s="11" t="s">
        <v>1469</v>
      </c>
      <c r="S454" s="20">
        <v>46168.0</v>
      </c>
      <c r="T454" s="21"/>
      <c r="U454" s="8" t="s">
        <v>1470</v>
      </c>
      <c r="V454" s="13"/>
      <c r="W454" s="13"/>
      <c r="X454" s="13"/>
      <c r="Z454" s="13"/>
    </row>
    <row r="455" ht="21.75" customHeight="1">
      <c r="A455" s="25" t="str">
        <f>IF(B455="","","CAN-"&amp;TEXT(454,"000"))</f>
        <v>CAN-454</v>
      </c>
      <c r="B455" s="15" t="s">
        <v>1471</v>
      </c>
      <c r="C455" s="8" t="s">
        <v>147</v>
      </c>
      <c r="D455" s="16">
        <v>7.755963818E9</v>
      </c>
      <c r="E455" s="15" t="s">
        <v>101</v>
      </c>
      <c r="F455" s="8" t="s">
        <v>90</v>
      </c>
      <c r="G455" s="16" t="s">
        <v>168</v>
      </c>
      <c r="H455" s="23"/>
      <c r="I455" s="15" t="s">
        <v>39</v>
      </c>
      <c r="J455" s="17"/>
      <c r="K455" s="38" t="s">
        <v>32</v>
      </c>
      <c r="L455" s="15" t="s">
        <v>207</v>
      </c>
      <c r="M455" s="15" t="s">
        <v>34</v>
      </c>
      <c r="N455" s="15" t="s">
        <v>45</v>
      </c>
      <c r="O455" s="17"/>
      <c r="P455" s="17"/>
      <c r="Q455" s="17"/>
      <c r="R455" s="22" t="s">
        <v>1472</v>
      </c>
      <c r="S455" s="18">
        <v>46168.0</v>
      </c>
      <c r="T455" s="18">
        <v>46169.0</v>
      </c>
      <c r="U455" s="15" t="s">
        <v>37</v>
      </c>
      <c r="V455" s="13"/>
      <c r="W455" s="13"/>
      <c r="X455" s="13"/>
      <c r="Z455" s="13"/>
    </row>
    <row r="456" ht="21.75" customHeight="1">
      <c r="A456" s="27" t="str">
        <f>IF(B456="","","CAN-"&amp;TEXT(455,"000"))</f>
        <v>CAN-455</v>
      </c>
      <c r="B456" s="8" t="s">
        <v>1214</v>
      </c>
      <c r="C456" s="8" t="s">
        <v>147</v>
      </c>
      <c r="D456" s="9">
        <v>9.326202823E9</v>
      </c>
      <c r="E456" s="8" t="s">
        <v>101</v>
      </c>
      <c r="F456" s="8" t="s">
        <v>90</v>
      </c>
      <c r="G456" s="9" t="s">
        <v>122</v>
      </c>
      <c r="H456" s="24"/>
      <c r="I456" s="8" t="s">
        <v>39</v>
      </c>
      <c r="J456" s="8" t="s">
        <v>507</v>
      </c>
      <c r="K456" s="38" t="s">
        <v>32</v>
      </c>
      <c r="L456" s="15" t="s">
        <v>207</v>
      </c>
      <c r="M456" s="15" t="s">
        <v>34</v>
      </c>
      <c r="N456" s="8" t="s">
        <v>45</v>
      </c>
      <c r="O456" s="10"/>
      <c r="P456" s="10"/>
      <c r="Q456" s="10"/>
      <c r="R456" s="11" t="s">
        <v>1473</v>
      </c>
      <c r="S456" s="20">
        <v>46169.0</v>
      </c>
      <c r="T456" s="20">
        <v>46170.0</v>
      </c>
      <c r="U456" s="8" t="s">
        <v>1359</v>
      </c>
      <c r="V456" s="13"/>
      <c r="W456" s="13"/>
      <c r="X456" s="13"/>
      <c r="Z456" s="13"/>
    </row>
    <row r="457" ht="21.75" customHeight="1">
      <c r="A457" s="25" t="str">
        <f>IF(B457="","","CAN-"&amp;TEXT(456,"000"))</f>
        <v>CAN-456</v>
      </c>
      <c r="B457" s="15" t="s">
        <v>1474</v>
      </c>
      <c r="C457" s="8" t="s">
        <v>41</v>
      </c>
      <c r="D457" s="16">
        <v>9.619751238E9</v>
      </c>
      <c r="E457" s="15" t="s">
        <v>188</v>
      </c>
      <c r="F457" s="8" t="s">
        <v>90</v>
      </c>
      <c r="G457" s="16" t="s">
        <v>1475</v>
      </c>
      <c r="H457" s="16" t="s">
        <v>453</v>
      </c>
      <c r="I457" s="15" t="s">
        <v>39</v>
      </c>
      <c r="J457" s="15" t="s">
        <v>532</v>
      </c>
      <c r="K457" s="38" t="s">
        <v>32</v>
      </c>
      <c r="L457" s="15" t="s">
        <v>93</v>
      </c>
      <c r="M457" s="15" t="s">
        <v>34</v>
      </c>
      <c r="N457" s="15" t="s">
        <v>45</v>
      </c>
      <c r="O457" s="17"/>
      <c r="P457" s="17"/>
      <c r="Q457" s="17"/>
      <c r="R457" s="22" t="s">
        <v>1476</v>
      </c>
      <c r="S457" s="18">
        <v>46169.0</v>
      </c>
      <c r="T457" s="19"/>
      <c r="U457" s="15" t="s">
        <v>560</v>
      </c>
      <c r="V457" s="13"/>
      <c r="W457" s="13"/>
      <c r="X457" s="13"/>
      <c r="Z457" s="13"/>
    </row>
    <row r="458" ht="21.75" customHeight="1">
      <c r="A458" s="27" t="str">
        <f>IF(B458="","","CAN-"&amp;TEXT(457,"000"))</f>
        <v>CAN-457</v>
      </c>
      <c r="B458" s="8" t="s">
        <v>1477</v>
      </c>
      <c r="C458" s="8" t="s">
        <v>41</v>
      </c>
      <c r="D458" s="9">
        <v>8.928686233E9</v>
      </c>
      <c r="E458" s="8" t="s">
        <v>50</v>
      </c>
      <c r="F458" s="8" t="s">
        <v>90</v>
      </c>
      <c r="G458" s="9" t="s">
        <v>571</v>
      </c>
      <c r="H458" s="9" t="s">
        <v>121</v>
      </c>
      <c r="I458" s="8" t="s">
        <v>39</v>
      </c>
      <c r="J458" s="8" t="s">
        <v>837</v>
      </c>
      <c r="K458" s="38" t="s">
        <v>32</v>
      </c>
      <c r="L458" s="15" t="s">
        <v>53</v>
      </c>
      <c r="M458" s="15" t="s">
        <v>195</v>
      </c>
      <c r="N458" s="8" t="s">
        <v>45</v>
      </c>
      <c r="O458" s="10"/>
      <c r="P458" s="10"/>
      <c r="Q458" s="10"/>
      <c r="R458" s="11" t="s">
        <v>1478</v>
      </c>
      <c r="S458" s="18">
        <v>46169.0</v>
      </c>
      <c r="T458" s="21"/>
      <c r="U458" s="8" t="s">
        <v>560</v>
      </c>
      <c r="V458" s="13"/>
      <c r="W458" s="13"/>
      <c r="X458" s="13"/>
      <c r="Z458" s="13"/>
    </row>
    <row r="459" ht="21.75" customHeight="1">
      <c r="A459" s="25" t="str">
        <f>IF(B459="","","CAN-"&amp;TEXT(458,"000"))</f>
        <v>CAN-458</v>
      </c>
      <c r="B459" s="15" t="s">
        <v>1479</v>
      </c>
      <c r="C459" s="8" t="s">
        <v>41</v>
      </c>
      <c r="D459" s="16">
        <v>9.773097977E9</v>
      </c>
      <c r="E459" s="15" t="s">
        <v>115</v>
      </c>
      <c r="F459" s="8" t="s">
        <v>90</v>
      </c>
      <c r="G459" s="16" t="s">
        <v>571</v>
      </c>
      <c r="H459" s="16" t="s">
        <v>121</v>
      </c>
      <c r="I459" s="15" t="s">
        <v>39</v>
      </c>
      <c r="J459" s="15" t="s">
        <v>610</v>
      </c>
      <c r="K459" s="38" t="s">
        <v>32</v>
      </c>
      <c r="L459" s="15" t="s">
        <v>61</v>
      </c>
      <c r="M459" s="15" t="s">
        <v>195</v>
      </c>
      <c r="N459" s="15" t="s">
        <v>45</v>
      </c>
      <c r="O459" s="17"/>
      <c r="P459" s="17"/>
      <c r="Q459" s="17"/>
      <c r="R459" s="22" t="s">
        <v>1480</v>
      </c>
      <c r="S459" s="18">
        <v>46169.0</v>
      </c>
      <c r="T459" s="19"/>
      <c r="U459" s="15" t="s">
        <v>560</v>
      </c>
      <c r="V459" s="13"/>
      <c r="W459" s="13"/>
      <c r="X459" s="13"/>
      <c r="Z459" s="13"/>
    </row>
    <row r="460" ht="21.75" customHeight="1">
      <c r="A460" s="27" t="str">
        <f>IF(B460="","","CAN-"&amp;TEXT(459,"000"))</f>
        <v>CAN-459</v>
      </c>
      <c r="B460" s="8" t="s">
        <v>1481</v>
      </c>
      <c r="C460" s="8" t="s">
        <v>147</v>
      </c>
      <c r="D460" s="9">
        <v>7.875212631E9</v>
      </c>
      <c r="E460" s="10"/>
      <c r="F460" s="8"/>
      <c r="G460" s="9" t="s">
        <v>121</v>
      </c>
      <c r="H460" s="9" t="s">
        <v>122</v>
      </c>
      <c r="I460" s="8" t="s">
        <v>39</v>
      </c>
      <c r="J460" s="8" t="s">
        <v>325</v>
      </c>
      <c r="K460" s="38" t="s">
        <v>92</v>
      </c>
      <c r="L460" s="15" t="s">
        <v>61</v>
      </c>
      <c r="M460" s="15" t="s">
        <v>54</v>
      </c>
      <c r="N460" s="8" t="s">
        <v>45</v>
      </c>
      <c r="O460" s="10"/>
      <c r="P460" s="10"/>
      <c r="Q460" s="10"/>
      <c r="R460" s="11" t="s">
        <v>1482</v>
      </c>
      <c r="S460" s="20">
        <v>46169.0</v>
      </c>
      <c r="T460" s="21"/>
      <c r="U460" s="8" t="s">
        <v>1483</v>
      </c>
      <c r="V460" s="13"/>
      <c r="W460" s="13"/>
      <c r="X460" s="13"/>
      <c r="Z460" s="13"/>
    </row>
    <row r="461" ht="21.75" customHeight="1">
      <c r="A461" s="25" t="str">
        <f>IF(B461="","","CAN-"&amp;TEXT(460,"000"))</f>
        <v>CAN-460</v>
      </c>
      <c r="B461" s="15" t="s">
        <v>1484</v>
      </c>
      <c r="C461" s="8" t="s">
        <v>147</v>
      </c>
      <c r="D461" s="16">
        <v>7.7580562E9</v>
      </c>
      <c r="E461" s="15" t="s">
        <v>47</v>
      </c>
      <c r="F461" s="8" t="s">
        <v>90</v>
      </c>
      <c r="G461" s="16" t="s">
        <v>1485</v>
      </c>
      <c r="H461" s="16" t="s">
        <v>571</v>
      </c>
      <c r="I461" s="15" t="s">
        <v>39</v>
      </c>
      <c r="J461" s="15" t="s">
        <v>325</v>
      </c>
      <c r="K461" s="38" t="s">
        <v>32</v>
      </c>
      <c r="L461" s="15" t="s">
        <v>207</v>
      </c>
      <c r="M461" s="15" t="s">
        <v>195</v>
      </c>
      <c r="N461" s="15" t="s">
        <v>45</v>
      </c>
      <c r="O461" s="17"/>
      <c r="P461" s="17"/>
      <c r="Q461" s="17"/>
      <c r="R461" s="22" t="s">
        <v>1486</v>
      </c>
      <c r="S461" s="18">
        <v>46169.0</v>
      </c>
      <c r="T461" s="19"/>
      <c r="U461" s="15" t="s">
        <v>1268</v>
      </c>
      <c r="V461" s="13"/>
      <c r="W461" s="13"/>
      <c r="X461" s="13"/>
      <c r="Z461" s="13"/>
    </row>
    <row r="462" ht="21.75" customHeight="1">
      <c r="A462" s="27" t="str">
        <f>IF(B462="","","CAN-"&amp;TEXT(461,"000"))</f>
        <v>CAN-461</v>
      </c>
      <c r="B462" s="8" t="s">
        <v>1392</v>
      </c>
      <c r="C462" s="8" t="s">
        <v>41</v>
      </c>
      <c r="D462" s="9">
        <v>9.32174233E9</v>
      </c>
      <c r="E462" s="8" t="s">
        <v>115</v>
      </c>
      <c r="F462" s="8" t="s">
        <v>90</v>
      </c>
      <c r="G462" s="9" t="s">
        <v>1100</v>
      </c>
      <c r="H462" s="9" t="s">
        <v>494</v>
      </c>
      <c r="I462" s="8" t="s">
        <v>39</v>
      </c>
      <c r="J462" s="10"/>
      <c r="K462" s="38" t="s">
        <v>92</v>
      </c>
      <c r="L462" s="15" t="s">
        <v>33</v>
      </c>
      <c r="M462" s="15" t="s">
        <v>34</v>
      </c>
      <c r="N462" s="15" t="s">
        <v>31</v>
      </c>
      <c r="O462" s="10"/>
      <c r="P462" s="10"/>
      <c r="Q462" s="10"/>
      <c r="R462" s="11" t="s">
        <v>1487</v>
      </c>
      <c r="S462" s="20">
        <v>46170.0</v>
      </c>
      <c r="T462" s="21"/>
      <c r="U462" s="8" t="s">
        <v>222</v>
      </c>
      <c r="V462" s="13"/>
      <c r="W462" s="13"/>
      <c r="X462" s="13"/>
      <c r="Z462" s="13"/>
    </row>
    <row r="463" ht="21.75" customHeight="1">
      <c r="A463" s="25" t="str">
        <f>IF(B463="","","CAN-"&amp;TEXT(462,"000"))</f>
        <v>CAN-462</v>
      </c>
      <c r="B463" s="15" t="s">
        <v>1488</v>
      </c>
      <c r="C463" s="8" t="s">
        <v>41</v>
      </c>
      <c r="D463" s="16">
        <v>9.324232417E9</v>
      </c>
      <c r="E463" s="15" t="s">
        <v>120</v>
      </c>
      <c r="F463" s="8" t="s">
        <v>90</v>
      </c>
      <c r="G463" s="16" t="s">
        <v>44</v>
      </c>
      <c r="H463" s="16" t="s">
        <v>102</v>
      </c>
      <c r="I463" s="15" t="s">
        <v>39</v>
      </c>
      <c r="J463" s="15" t="s">
        <v>293</v>
      </c>
      <c r="K463" s="38" t="s">
        <v>32</v>
      </c>
      <c r="L463" s="15" t="s">
        <v>33</v>
      </c>
      <c r="M463" s="15" t="s">
        <v>34</v>
      </c>
      <c r="N463" s="15" t="s">
        <v>31</v>
      </c>
      <c r="O463" s="17"/>
      <c r="P463" s="17"/>
      <c r="Q463" s="17"/>
      <c r="R463" s="22" t="s">
        <v>1489</v>
      </c>
      <c r="S463" s="20">
        <v>46170.0</v>
      </c>
      <c r="T463" s="19"/>
      <c r="U463" s="17"/>
      <c r="V463" s="13"/>
      <c r="W463" s="13"/>
      <c r="X463" s="13"/>
      <c r="Z463" s="13"/>
    </row>
    <row r="464" ht="21.75" customHeight="1">
      <c r="A464" s="27" t="str">
        <f>IF(B464="","","CAN-"&amp;TEXT(463,"000"))</f>
        <v>CAN-463</v>
      </c>
      <c r="B464" s="8" t="s">
        <v>1490</v>
      </c>
      <c r="C464" s="8" t="s">
        <v>147</v>
      </c>
      <c r="D464" s="9">
        <v>7.760496348E9</v>
      </c>
      <c r="E464" s="8" t="s">
        <v>42</v>
      </c>
      <c r="F464" s="8" t="s">
        <v>90</v>
      </c>
      <c r="G464" s="9" t="s">
        <v>1491</v>
      </c>
      <c r="H464" s="9" t="s">
        <v>169</v>
      </c>
      <c r="I464" s="8" t="s">
        <v>58</v>
      </c>
      <c r="J464" s="8" t="s">
        <v>1492</v>
      </c>
      <c r="K464" s="38" t="s">
        <v>32</v>
      </c>
      <c r="L464" s="15" t="s">
        <v>207</v>
      </c>
      <c r="M464" s="15" t="s">
        <v>54</v>
      </c>
      <c r="N464" s="8" t="s">
        <v>45</v>
      </c>
      <c r="O464" s="10"/>
      <c r="P464" s="10"/>
      <c r="Q464" s="10"/>
      <c r="R464" s="11" t="s">
        <v>1493</v>
      </c>
      <c r="S464" s="20">
        <v>46170.0</v>
      </c>
      <c r="T464" s="20">
        <v>46175.0</v>
      </c>
      <c r="U464" s="8" t="s">
        <v>1467</v>
      </c>
      <c r="V464" s="13"/>
      <c r="W464" s="13"/>
      <c r="X464" s="13"/>
      <c r="Z464" s="13"/>
    </row>
    <row r="465" ht="21.75" customHeight="1">
      <c r="A465" s="25" t="str">
        <f>IF(B465="","","CAN-"&amp;TEXT(464,"000"))</f>
        <v>CAN-464</v>
      </c>
      <c r="B465" s="15" t="s">
        <v>1494</v>
      </c>
      <c r="C465" s="8" t="s">
        <v>147</v>
      </c>
      <c r="D465" s="16">
        <v>9.146198149E9</v>
      </c>
      <c r="E465" s="15" t="s">
        <v>115</v>
      </c>
      <c r="F465" s="8" t="s">
        <v>90</v>
      </c>
      <c r="G465" s="23"/>
      <c r="H465" s="23"/>
      <c r="I465" s="15" t="s">
        <v>31</v>
      </c>
      <c r="J465" s="15" t="s">
        <v>1495</v>
      </c>
      <c r="K465" s="38" t="s">
        <v>32</v>
      </c>
      <c r="L465" s="15" t="s">
        <v>33</v>
      </c>
      <c r="M465" s="15" t="s">
        <v>54</v>
      </c>
      <c r="N465" s="15" t="s">
        <v>45</v>
      </c>
      <c r="O465" s="17"/>
      <c r="P465" s="17"/>
      <c r="Q465" s="17"/>
      <c r="R465" s="22" t="s">
        <v>1496</v>
      </c>
      <c r="S465" s="18">
        <v>46171.0</v>
      </c>
      <c r="T465" s="19"/>
      <c r="U465" s="17"/>
      <c r="V465" s="13"/>
      <c r="W465" s="13"/>
      <c r="X465" s="13"/>
      <c r="Z465" s="13"/>
    </row>
    <row r="466" ht="21.75" customHeight="1">
      <c r="A466" s="27" t="str">
        <f>IF(B466="","","CAN-"&amp;TEXT(465,"000"))</f>
        <v>CAN-465</v>
      </c>
      <c r="B466" s="8" t="s">
        <v>1497</v>
      </c>
      <c r="C466" s="8" t="s">
        <v>147</v>
      </c>
      <c r="D466" s="9">
        <v>9.892213663E9</v>
      </c>
      <c r="E466" s="8" t="s">
        <v>101</v>
      </c>
      <c r="F466" s="8" t="s">
        <v>90</v>
      </c>
      <c r="G466" s="9" t="s">
        <v>402</v>
      </c>
      <c r="H466" s="9" t="s">
        <v>44</v>
      </c>
      <c r="I466" s="8" t="s">
        <v>39</v>
      </c>
      <c r="J466" s="8" t="s">
        <v>469</v>
      </c>
      <c r="K466" s="38" t="s">
        <v>32</v>
      </c>
      <c r="L466" s="15" t="s">
        <v>207</v>
      </c>
      <c r="M466" s="15" t="s">
        <v>54</v>
      </c>
      <c r="N466" s="8" t="s">
        <v>45</v>
      </c>
      <c r="O466" s="10"/>
      <c r="P466" s="10"/>
      <c r="Q466" s="10"/>
      <c r="R466" s="11" t="s">
        <v>1498</v>
      </c>
      <c r="S466" s="20">
        <v>46174.0</v>
      </c>
      <c r="T466" s="20">
        <v>46174.0</v>
      </c>
      <c r="U466" s="8" t="s">
        <v>37</v>
      </c>
      <c r="V466" s="13"/>
      <c r="W466" s="13"/>
      <c r="X466" s="13"/>
      <c r="Z466" s="13"/>
    </row>
    <row r="467" ht="21.75" customHeight="1">
      <c r="A467" s="25" t="str">
        <f>IF(B467="","","CAN-"&amp;TEXT(466,"000"))</f>
        <v>CAN-466</v>
      </c>
      <c r="B467" s="15" t="s">
        <v>1499</v>
      </c>
      <c r="C467" s="8" t="s">
        <v>147</v>
      </c>
      <c r="D467" s="16">
        <v>9.356379548E9</v>
      </c>
      <c r="E467" s="15" t="s">
        <v>42</v>
      </c>
      <c r="F467" s="8" t="s">
        <v>90</v>
      </c>
      <c r="G467" s="16" t="s">
        <v>121</v>
      </c>
      <c r="H467" s="16" t="s">
        <v>122</v>
      </c>
      <c r="I467" s="15" t="s">
        <v>39</v>
      </c>
      <c r="J467" s="15" t="s">
        <v>311</v>
      </c>
      <c r="K467" s="38" t="s">
        <v>92</v>
      </c>
      <c r="L467" s="15" t="s">
        <v>194</v>
      </c>
      <c r="M467" s="15" t="s">
        <v>34</v>
      </c>
      <c r="N467" s="15" t="s">
        <v>45</v>
      </c>
      <c r="O467" s="17"/>
      <c r="P467" s="17"/>
      <c r="Q467" s="17"/>
      <c r="R467" s="22" t="s">
        <v>1500</v>
      </c>
      <c r="S467" s="18">
        <v>46175.0</v>
      </c>
      <c r="T467" s="18">
        <v>46175.0</v>
      </c>
      <c r="U467" s="15" t="s">
        <v>37</v>
      </c>
      <c r="V467" s="13"/>
      <c r="W467" s="13"/>
      <c r="X467" s="13"/>
      <c r="Z467" s="13"/>
    </row>
    <row r="468" ht="21.75" customHeight="1">
      <c r="A468" s="27" t="str">
        <f>IF(B468="","","CAN-"&amp;TEXT(467,"000"))</f>
        <v>CAN-467</v>
      </c>
      <c r="B468" s="8" t="s">
        <v>1501</v>
      </c>
      <c r="C468" s="8" t="s">
        <v>41</v>
      </c>
      <c r="D468" s="9">
        <v>9.820944788E9</v>
      </c>
      <c r="E468" s="8" t="s">
        <v>269</v>
      </c>
      <c r="F468" s="8" t="s">
        <v>108</v>
      </c>
      <c r="G468" s="24"/>
      <c r="H468" s="24"/>
      <c r="I468" s="8" t="s">
        <v>39</v>
      </c>
      <c r="J468" s="8" t="s">
        <v>393</v>
      </c>
      <c r="K468" s="38" t="s">
        <v>92</v>
      </c>
      <c r="L468" s="15" t="s">
        <v>61</v>
      </c>
      <c r="M468" s="15" t="s">
        <v>34</v>
      </c>
      <c r="N468" s="8" t="s">
        <v>45</v>
      </c>
      <c r="O468" s="10"/>
      <c r="P468" s="10"/>
      <c r="Q468" s="10"/>
      <c r="R468" s="11" t="s">
        <v>1502</v>
      </c>
      <c r="S468" s="18">
        <v>46175.0</v>
      </c>
      <c r="T468" s="21"/>
      <c r="U468" s="8" t="s">
        <v>125</v>
      </c>
      <c r="V468" s="13"/>
      <c r="W468" s="13"/>
      <c r="X468" s="13"/>
      <c r="Z468" s="13"/>
    </row>
    <row r="469" ht="21.75" customHeight="1">
      <c r="A469" s="25" t="str">
        <f>IF(B469="","","CAN-"&amp;TEXT(468,"000"))</f>
        <v>CAN-468</v>
      </c>
      <c r="B469" s="15" t="s">
        <v>1503</v>
      </c>
      <c r="C469" s="8" t="s">
        <v>41</v>
      </c>
      <c r="D469" s="16">
        <v>8.9280541E9</v>
      </c>
      <c r="E469" s="15" t="s">
        <v>115</v>
      </c>
      <c r="F469" s="8" t="s">
        <v>90</v>
      </c>
      <c r="G469" s="16" t="s">
        <v>43</v>
      </c>
      <c r="H469" s="16" t="s">
        <v>44</v>
      </c>
      <c r="I469" s="15" t="s">
        <v>39</v>
      </c>
      <c r="J469" s="15" t="s">
        <v>344</v>
      </c>
      <c r="K469" s="38" t="s">
        <v>92</v>
      </c>
      <c r="L469" s="15" t="s">
        <v>61</v>
      </c>
      <c r="M469" s="15" t="s">
        <v>54</v>
      </c>
      <c r="N469" s="15" t="s">
        <v>45</v>
      </c>
      <c r="O469" s="17"/>
      <c r="P469" s="17"/>
      <c r="Q469" s="17"/>
      <c r="R469" s="22" t="s">
        <v>1504</v>
      </c>
      <c r="S469" s="18">
        <v>46175.0</v>
      </c>
      <c r="T469" s="19"/>
      <c r="U469" s="15" t="s">
        <v>480</v>
      </c>
      <c r="V469" s="13"/>
      <c r="W469" s="13"/>
      <c r="X469" s="13"/>
      <c r="Z469" s="13"/>
    </row>
    <row r="470" ht="21.75" customHeight="1">
      <c r="A470" s="27" t="str">
        <f>IF(B470="","","CAN-"&amp;TEXT(469,"000"))</f>
        <v>CAN-469</v>
      </c>
      <c r="B470" s="8" t="s">
        <v>1505</v>
      </c>
      <c r="C470" s="8" t="s">
        <v>89</v>
      </c>
      <c r="D470" s="9">
        <v>7.03925864E9</v>
      </c>
      <c r="E470" s="8" t="s">
        <v>101</v>
      </c>
      <c r="F470" s="8" t="s">
        <v>90</v>
      </c>
      <c r="G470" s="9" t="s">
        <v>402</v>
      </c>
      <c r="H470" s="9" t="s">
        <v>169</v>
      </c>
      <c r="I470" s="8" t="s">
        <v>39</v>
      </c>
      <c r="J470" s="8" t="s">
        <v>469</v>
      </c>
      <c r="K470" s="9" t="s">
        <v>32</v>
      </c>
      <c r="L470" s="8" t="s">
        <v>33</v>
      </c>
      <c r="M470" s="8" t="s">
        <v>72</v>
      </c>
      <c r="N470" s="8" t="s">
        <v>45</v>
      </c>
      <c r="O470" s="10"/>
      <c r="P470" s="10"/>
      <c r="Q470" s="10"/>
      <c r="R470" s="11" t="s">
        <v>1506</v>
      </c>
      <c r="S470" s="20">
        <v>46176.0</v>
      </c>
      <c r="T470" s="20">
        <v>46176.0</v>
      </c>
      <c r="U470" s="8" t="s">
        <v>257</v>
      </c>
      <c r="V470" s="13"/>
      <c r="W470" s="13"/>
      <c r="X470" s="13"/>
      <c r="Z470" s="13"/>
    </row>
    <row r="471" ht="21.75" customHeight="1">
      <c r="A471" s="25" t="str">
        <f>IF(B471="","","CAN-"&amp;TEXT(470,"000"))</f>
        <v>CAN-470</v>
      </c>
      <c r="B471" s="15" t="s">
        <v>1507</v>
      </c>
      <c r="C471" s="8" t="s">
        <v>147</v>
      </c>
      <c r="D471" s="16">
        <v>9.372601626E9</v>
      </c>
      <c r="E471" s="15" t="s">
        <v>42</v>
      </c>
      <c r="F471" s="8" t="s">
        <v>90</v>
      </c>
      <c r="G471" s="16" t="s">
        <v>122</v>
      </c>
      <c r="H471" s="16" t="s">
        <v>44</v>
      </c>
      <c r="I471" s="15" t="s">
        <v>39</v>
      </c>
      <c r="J471" s="15" t="s">
        <v>1508</v>
      </c>
      <c r="K471" s="9" t="s">
        <v>32</v>
      </c>
      <c r="L471" s="8" t="s">
        <v>33</v>
      </c>
      <c r="M471" s="8" t="s">
        <v>72</v>
      </c>
      <c r="N471" s="15" t="s">
        <v>45</v>
      </c>
      <c r="O471" s="17"/>
      <c r="P471" s="17"/>
      <c r="Q471" s="17"/>
      <c r="R471" s="22" t="s">
        <v>1509</v>
      </c>
      <c r="S471" s="18">
        <v>46176.0</v>
      </c>
      <c r="T471" s="19"/>
      <c r="U471" s="17"/>
      <c r="V471" s="13"/>
      <c r="W471" s="13"/>
      <c r="X471" s="13"/>
      <c r="Z471" s="13"/>
    </row>
    <row r="472" ht="21.75" customHeight="1">
      <c r="A472" s="27" t="str">
        <f>IF(B472="","","CAN-"&amp;TEXT(471,"000"))</f>
        <v>CAN-471</v>
      </c>
      <c r="B472" s="8" t="s">
        <v>1510</v>
      </c>
      <c r="C472" s="8" t="s">
        <v>41</v>
      </c>
      <c r="D472" s="9">
        <v>8.104593312E9</v>
      </c>
      <c r="E472" s="8" t="s">
        <v>155</v>
      </c>
      <c r="F472" s="8" t="s">
        <v>108</v>
      </c>
      <c r="G472" s="9" t="s">
        <v>324</v>
      </c>
      <c r="H472" s="9" t="s">
        <v>133</v>
      </c>
      <c r="I472" s="8" t="s">
        <v>39</v>
      </c>
      <c r="J472" s="8" t="s">
        <v>837</v>
      </c>
      <c r="K472" s="9" t="s">
        <v>32</v>
      </c>
      <c r="L472" s="8" t="s">
        <v>33</v>
      </c>
      <c r="M472" s="8" t="s">
        <v>72</v>
      </c>
      <c r="N472" s="8" t="s">
        <v>45</v>
      </c>
      <c r="O472" s="10"/>
      <c r="P472" s="10"/>
      <c r="Q472" s="10"/>
      <c r="R472" s="11" t="s">
        <v>1511</v>
      </c>
      <c r="S472" s="18">
        <v>46176.0</v>
      </c>
      <c r="T472" s="21"/>
      <c r="U472" s="8" t="s">
        <v>480</v>
      </c>
      <c r="V472" s="13"/>
      <c r="W472" s="13"/>
      <c r="X472" s="13"/>
      <c r="Z472" s="13"/>
    </row>
    <row r="473" ht="21.75" customHeight="1">
      <c r="A473" s="25" t="str">
        <f>IF(B473="","","CAN-"&amp;TEXT(472,"000"))</f>
        <v>CAN-472</v>
      </c>
      <c r="B473" s="15" t="s">
        <v>1512</v>
      </c>
      <c r="C473" s="8" t="s">
        <v>41</v>
      </c>
      <c r="D473" s="16">
        <v>6.397754085E9</v>
      </c>
      <c r="E473" s="15" t="s">
        <v>126</v>
      </c>
      <c r="F473" s="8" t="s">
        <v>90</v>
      </c>
      <c r="G473" s="16" t="s">
        <v>1513</v>
      </c>
      <c r="H473" s="16" t="s">
        <v>452</v>
      </c>
      <c r="I473" s="15" t="s">
        <v>39</v>
      </c>
      <c r="J473" s="15" t="s">
        <v>702</v>
      </c>
      <c r="K473" s="38" t="s">
        <v>92</v>
      </c>
      <c r="L473" s="8" t="s">
        <v>33</v>
      </c>
      <c r="M473" s="15" t="s">
        <v>54</v>
      </c>
      <c r="N473" s="15" t="s">
        <v>45</v>
      </c>
      <c r="O473" s="17"/>
      <c r="P473" s="17"/>
      <c r="Q473" s="17"/>
      <c r="R473" s="22" t="s">
        <v>1514</v>
      </c>
      <c r="S473" s="18">
        <v>46176.0</v>
      </c>
      <c r="T473" s="19"/>
      <c r="U473" s="15" t="s">
        <v>295</v>
      </c>
      <c r="V473" s="13"/>
      <c r="W473" s="13"/>
      <c r="X473" s="13"/>
      <c r="Z473" s="13"/>
    </row>
    <row r="474" ht="21.75" customHeight="1">
      <c r="A474" s="27" t="str">
        <f>IF(B474="","","CAN-"&amp;TEXT(473,"000"))</f>
        <v>CAN-473</v>
      </c>
      <c r="B474" s="8" t="s">
        <v>1515</v>
      </c>
      <c r="C474" s="8" t="s">
        <v>147</v>
      </c>
      <c r="D474" s="9">
        <v>9.647450372E9</v>
      </c>
      <c r="E474" s="8" t="s">
        <v>519</v>
      </c>
      <c r="F474" s="8" t="s">
        <v>90</v>
      </c>
      <c r="G474" s="9" t="s">
        <v>43</v>
      </c>
      <c r="H474" s="9" t="s">
        <v>122</v>
      </c>
      <c r="I474" s="8" t="s">
        <v>39</v>
      </c>
      <c r="J474" s="8" t="s">
        <v>837</v>
      </c>
      <c r="K474" s="9" t="s">
        <v>32</v>
      </c>
      <c r="L474" s="8" t="s">
        <v>53</v>
      </c>
      <c r="M474" s="15" t="s">
        <v>54</v>
      </c>
      <c r="N474" s="8" t="s">
        <v>48</v>
      </c>
      <c r="O474" s="10"/>
      <c r="P474" s="10"/>
      <c r="Q474" s="10"/>
      <c r="R474" s="11" t="s">
        <v>1516</v>
      </c>
      <c r="S474" s="20">
        <v>46176.0</v>
      </c>
      <c r="T474" s="21"/>
      <c r="U474" s="8" t="s">
        <v>1173</v>
      </c>
      <c r="V474" s="13"/>
      <c r="W474" s="13"/>
      <c r="X474" s="13"/>
      <c r="Z474" s="13"/>
    </row>
    <row r="475" ht="21.75" customHeight="1">
      <c r="A475" s="25" t="str">
        <f>IF(B475="","","CAN-"&amp;TEXT(474,"000"))</f>
        <v>CAN-474</v>
      </c>
      <c r="B475" s="15" t="s">
        <v>1517</v>
      </c>
      <c r="C475" s="8" t="s">
        <v>147</v>
      </c>
      <c r="D475" s="16">
        <v>9.653134487E9</v>
      </c>
      <c r="E475" s="15" t="s">
        <v>210</v>
      </c>
      <c r="F475" s="8" t="s">
        <v>108</v>
      </c>
      <c r="G475" s="16" t="s">
        <v>201</v>
      </c>
      <c r="H475" s="16" t="s">
        <v>116</v>
      </c>
      <c r="I475" s="15" t="s">
        <v>39</v>
      </c>
      <c r="J475" s="15" t="s">
        <v>469</v>
      </c>
      <c r="K475" s="9" t="s">
        <v>32</v>
      </c>
      <c r="L475" s="8" t="s">
        <v>33</v>
      </c>
      <c r="M475" s="8" t="s">
        <v>72</v>
      </c>
      <c r="N475" s="15" t="s">
        <v>35</v>
      </c>
      <c r="O475" s="17"/>
      <c r="P475" s="17"/>
      <c r="Q475" s="17"/>
      <c r="R475" s="22" t="s">
        <v>1518</v>
      </c>
      <c r="S475" s="18">
        <v>46177.0</v>
      </c>
      <c r="T475" s="19"/>
      <c r="U475" s="15" t="s">
        <v>758</v>
      </c>
      <c r="V475" s="13"/>
      <c r="W475" s="13"/>
      <c r="X475" s="13"/>
      <c r="Z475" s="13"/>
    </row>
    <row r="476" ht="21.75" customHeight="1">
      <c r="A476" s="27" t="str">
        <f>IF(B476="","","CAN-"&amp;TEXT(475,"000"))</f>
        <v>CAN-475</v>
      </c>
      <c r="B476" s="8" t="s">
        <v>1519</v>
      </c>
      <c r="C476" s="8" t="s">
        <v>41</v>
      </c>
      <c r="D476" s="9">
        <v>7.718029006E9</v>
      </c>
      <c r="E476" s="8" t="s">
        <v>188</v>
      </c>
      <c r="F476" s="8" t="s">
        <v>108</v>
      </c>
      <c r="G476" s="24"/>
      <c r="H476" s="9" t="s">
        <v>201</v>
      </c>
      <c r="I476" s="8" t="s">
        <v>39</v>
      </c>
      <c r="J476" s="15" t="s">
        <v>469</v>
      </c>
      <c r="K476" s="9" t="s">
        <v>32</v>
      </c>
      <c r="L476" s="15" t="s">
        <v>61</v>
      </c>
      <c r="M476" s="8" t="s">
        <v>72</v>
      </c>
      <c r="N476" s="15" t="s">
        <v>45</v>
      </c>
      <c r="O476" s="10"/>
      <c r="P476" s="10"/>
      <c r="Q476" s="10"/>
      <c r="R476" s="11" t="s">
        <v>1520</v>
      </c>
      <c r="S476" s="18">
        <v>46177.0</v>
      </c>
      <c r="T476" s="21"/>
      <c r="U476" s="8" t="s">
        <v>560</v>
      </c>
      <c r="V476" s="13"/>
      <c r="W476" s="13"/>
      <c r="X476" s="13"/>
      <c r="Z476" s="13"/>
    </row>
    <row r="477" ht="21.75" customHeight="1">
      <c r="A477" s="25" t="str">
        <f>IF(B477="","","CAN-"&amp;TEXT(476,"000"))</f>
        <v>CAN-476</v>
      </c>
      <c r="B477" s="15" t="s">
        <v>1521</v>
      </c>
      <c r="C477" s="8" t="s">
        <v>147</v>
      </c>
      <c r="D477" s="16">
        <v>8.879523004E9</v>
      </c>
      <c r="E477" s="15" t="s">
        <v>101</v>
      </c>
      <c r="F477" s="8" t="s">
        <v>108</v>
      </c>
      <c r="G477" s="16" t="s">
        <v>43</v>
      </c>
      <c r="H477" s="16" t="s">
        <v>44</v>
      </c>
      <c r="I477" s="15" t="s">
        <v>39</v>
      </c>
      <c r="J477" s="15" t="s">
        <v>185</v>
      </c>
      <c r="K477" s="9" t="s">
        <v>32</v>
      </c>
      <c r="L477" s="8" t="s">
        <v>33</v>
      </c>
      <c r="M477" s="8" t="s">
        <v>72</v>
      </c>
      <c r="N477" s="15" t="s">
        <v>35</v>
      </c>
      <c r="O477" s="17"/>
      <c r="P477" s="17"/>
      <c r="Q477" s="17"/>
      <c r="R477" s="22" t="s">
        <v>1522</v>
      </c>
      <c r="S477" s="18">
        <v>46177.0</v>
      </c>
      <c r="T477" s="19"/>
      <c r="U477" s="15" t="s">
        <v>257</v>
      </c>
      <c r="V477" s="13"/>
      <c r="W477" s="13"/>
      <c r="X477" s="13"/>
      <c r="Z477" s="13"/>
    </row>
    <row r="478" ht="21.75" customHeight="1">
      <c r="A478" s="27" t="str">
        <f>IF(B478="","","CAN-"&amp;TEXT(477,"000"))</f>
        <v>CAN-477</v>
      </c>
      <c r="B478" s="8" t="s">
        <v>1523</v>
      </c>
      <c r="C478" s="8" t="s">
        <v>147</v>
      </c>
      <c r="D478" s="40">
        <v>8.603510858E9</v>
      </c>
      <c r="E478" s="8" t="s">
        <v>223</v>
      </c>
      <c r="F478" s="8" t="s">
        <v>108</v>
      </c>
      <c r="G478" s="9" t="s">
        <v>1485</v>
      </c>
      <c r="H478" s="9" t="s">
        <v>121</v>
      </c>
      <c r="I478" s="8" t="s">
        <v>39</v>
      </c>
      <c r="J478" s="8" t="s">
        <v>748</v>
      </c>
      <c r="K478" s="9" t="s">
        <v>32</v>
      </c>
      <c r="L478" s="8" t="s">
        <v>33</v>
      </c>
      <c r="M478" s="8" t="s">
        <v>195</v>
      </c>
      <c r="N478" s="8" t="s">
        <v>75</v>
      </c>
      <c r="O478" s="10"/>
      <c r="P478" s="10"/>
      <c r="Q478" s="10"/>
      <c r="R478" s="11" t="s">
        <v>1524</v>
      </c>
      <c r="S478" s="20">
        <v>46177.0</v>
      </c>
      <c r="T478" s="21"/>
      <c r="U478" s="8" t="s">
        <v>85</v>
      </c>
      <c r="V478" s="13"/>
      <c r="W478" s="13"/>
      <c r="X478" s="13"/>
      <c r="Z478" s="13"/>
    </row>
    <row r="479" ht="21.75" customHeight="1">
      <c r="A479" s="25" t="str">
        <f>IF(B479="","","CAN-"&amp;TEXT(478,"000"))</f>
        <v>CAN-478</v>
      </c>
      <c r="B479" s="15" t="s">
        <v>1525</v>
      </c>
      <c r="C479" s="8" t="s">
        <v>147</v>
      </c>
      <c r="D479" s="16">
        <v>7.045001066E9</v>
      </c>
      <c r="E479" s="15" t="s">
        <v>248</v>
      </c>
      <c r="F479" s="8" t="s">
        <v>108</v>
      </c>
      <c r="G479" s="16" t="s">
        <v>168</v>
      </c>
      <c r="H479" s="16" t="s">
        <v>102</v>
      </c>
      <c r="I479" s="15" t="s">
        <v>39</v>
      </c>
      <c r="J479" s="15" t="s">
        <v>462</v>
      </c>
      <c r="K479" s="9" t="s">
        <v>32</v>
      </c>
      <c r="L479" s="8" t="s">
        <v>33</v>
      </c>
      <c r="M479" s="8" t="s">
        <v>72</v>
      </c>
      <c r="N479" s="15" t="s">
        <v>31</v>
      </c>
      <c r="O479" s="17"/>
      <c r="P479" s="17"/>
      <c r="Q479" s="17"/>
      <c r="R479" s="22" t="s">
        <v>1526</v>
      </c>
      <c r="S479" s="18">
        <v>46177.0</v>
      </c>
      <c r="T479" s="19"/>
      <c r="U479" s="17"/>
      <c r="V479" s="13"/>
      <c r="W479" s="13"/>
      <c r="X479" s="13"/>
      <c r="Z479" s="13"/>
    </row>
    <row r="480" ht="21.75" customHeight="1">
      <c r="A480" s="27" t="str">
        <f>IF(B480="","","CAN-"&amp;TEXT(479,"000"))</f>
        <v>CAN-479</v>
      </c>
      <c r="B480" s="8" t="s">
        <v>1527</v>
      </c>
      <c r="C480" s="8" t="s">
        <v>147</v>
      </c>
      <c r="D480" s="43">
        <v>6.295937243E9</v>
      </c>
      <c r="E480" s="8" t="s">
        <v>215</v>
      </c>
      <c r="F480" s="8" t="s">
        <v>108</v>
      </c>
      <c r="G480" s="9" t="s">
        <v>571</v>
      </c>
      <c r="H480" s="9" t="s">
        <v>43</v>
      </c>
      <c r="I480" s="8" t="s">
        <v>39</v>
      </c>
      <c r="J480" s="8" t="s">
        <v>1528</v>
      </c>
      <c r="K480" s="9" t="s">
        <v>32</v>
      </c>
      <c r="L480" s="8" t="s">
        <v>53</v>
      </c>
      <c r="M480" s="8" t="s">
        <v>54</v>
      </c>
      <c r="N480" s="8" t="s">
        <v>45</v>
      </c>
      <c r="O480" s="10"/>
      <c r="P480" s="10"/>
      <c r="Q480" s="10"/>
      <c r="R480" s="11" t="s">
        <v>1529</v>
      </c>
      <c r="S480" s="20">
        <v>46177.0</v>
      </c>
      <c r="T480" s="21"/>
      <c r="U480" s="8" t="s">
        <v>1530</v>
      </c>
      <c r="V480" s="13"/>
      <c r="W480" s="13"/>
      <c r="X480" s="13"/>
      <c r="Z480" s="13"/>
    </row>
    <row r="481" ht="21.75" customHeight="1">
      <c r="A481" s="25" t="str">
        <f>IF(B481="","","CAN-"&amp;TEXT(480,"000"))</f>
        <v>CAN-480</v>
      </c>
      <c r="B481" s="15" t="s">
        <v>1531</v>
      </c>
      <c r="C481" s="8" t="s">
        <v>147</v>
      </c>
      <c r="D481" s="16">
        <v>7.977817225E9</v>
      </c>
      <c r="E481" s="15" t="s">
        <v>515</v>
      </c>
      <c r="F481" s="8" t="s">
        <v>108</v>
      </c>
      <c r="G481" s="16" t="s">
        <v>343</v>
      </c>
      <c r="H481" s="16" t="s">
        <v>468</v>
      </c>
      <c r="I481" s="15" t="s">
        <v>39</v>
      </c>
      <c r="J481" s="15" t="s">
        <v>507</v>
      </c>
      <c r="K481" s="9" t="s">
        <v>92</v>
      </c>
      <c r="L481" s="8" t="s">
        <v>33</v>
      </c>
      <c r="M481" s="8" t="s">
        <v>72</v>
      </c>
      <c r="N481" s="15" t="s">
        <v>31</v>
      </c>
      <c r="O481" s="17"/>
      <c r="P481" s="17"/>
      <c r="Q481" s="17"/>
      <c r="R481" s="22" t="s">
        <v>1532</v>
      </c>
      <c r="S481" s="18">
        <v>46177.0</v>
      </c>
      <c r="T481" s="19"/>
      <c r="U481" s="17"/>
      <c r="V481" s="13"/>
      <c r="W481" s="13"/>
      <c r="X481" s="13"/>
      <c r="Z481" s="13"/>
    </row>
    <row r="482" ht="21.75" customHeight="1">
      <c r="A482" s="27" t="str">
        <f>IF(B482="","","CAN-"&amp;TEXT(481,"000"))</f>
        <v>CAN-481</v>
      </c>
      <c r="B482" s="8" t="s">
        <v>1533</v>
      </c>
      <c r="C482" s="8" t="s">
        <v>41</v>
      </c>
      <c r="D482" s="9">
        <v>8.806637752E9</v>
      </c>
      <c r="E482" s="8" t="s">
        <v>50</v>
      </c>
      <c r="F482" s="8" t="s">
        <v>179</v>
      </c>
      <c r="G482" s="24"/>
      <c r="H482" s="24"/>
      <c r="I482" s="8" t="s">
        <v>39</v>
      </c>
      <c r="J482" s="8" t="s">
        <v>388</v>
      </c>
      <c r="K482" s="9" t="s">
        <v>92</v>
      </c>
      <c r="L482" s="8" t="s">
        <v>207</v>
      </c>
      <c r="M482" s="8" t="s">
        <v>72</v>
      </c>
      <c r="N482" s="8" t="s">
        <v>35</v>
      </c>
      <c r="O482" s="10"/>
      <c r="P482" s="10"/>
      <c r="Q482" s="10"/>
      <c r="R482" s="11" t="s">
        <v>1534</v>
      </c>
      <c r="S482" s="20">
        <v>46178.0</v>
      </c>
      <c r="T482" s="21"/>
      <c r="U482" s="8" t="s">
        <v>560</v>
      </c>
      <c r="V482" s="13"/>
      <c r="W482" s="13"/>
      <c r="X482" s="13"/>
      <c r="Z482" s="13"/>
    </row>
    <row r="483" ht="21.75" customHeight="1">
      <c r="A483" s="25" t="str">
        <f>IF(B483="","","CAN-"&amp;TEXT(482,"000"))</f>
        <v>CAN-482</v>
      </c>
      <c r="B483" s="15" t="s">
        <v>1535</v>
      </c>
      <c r="C483" s="8" t="s">
        <v>41</v>
      </c>
      <c r="D483" s="16">
        <v>9.867731204E9</v>
      </c>
      <c r="E483" s="15" t="s">
        <v>101</v>
      </c>
      <c r="F483" s="8" t="s">
        <v>90</v>
      </c>
      <c r="G483" s="23"/>
      <c r="H483" s="23"/>
      <c r="I483" s="15" t="s">
        <v>39</v>
      </c>
      <c r="J483" s="15" t="s">
        <v>590</v>
      </c>
      <c r="K483" s="9" t="s">
        <v>92</v>
      </c>
      <c r="L483" s="8" t="s">
        <v>207</v>
      </c>
      <c r="M483" s="8" t="s">
        <v>195</v>
      </c>
      <c r="N483" s="15" t="s">
        <v>45</v>
      </c>
      <c r="O483" s="17"/>
      <c r="P483" s="17"/>
      <c r="Q483" s="17"/>
      <c r="R483" s="22" t="s">
        <v>1536</v>
      </c>
      <c r="S483" s="20">
        <v>46178.0</v>
      </c>
      <c r="T483" s="19"/>
      <c r="U483" s="15" t="s">
        <v>560</v>
      </c>
      <c r="V483" s="13"/>
      <c r="W483" s="13"/>
      <c r="X483" s="13"/>
      <c r="Z483" s="13"/>
    </row>
    <row r="484" ht="21.75" customHeight="1">
      <c r="A484" s="27" t="str">
        <f>IF(B484="","","CAN-"&amp;TEXT(483,"000"))</f>
        <v>CAN-483</v>
      </c>
      <c r="B484" s="8" t="s">
        <v>1537</v>
      </c>
      <c r="C484" s="8" t="s">
        <v>41</v>
      </c>
      <c r="D484" s="9">
        <v>8.591621664E9</v>
      </c>
      <c r="E484" s="8" t="s">
        <v>101</v>
      </c>
      <c r="F484" s="8" t="s">
        <v>90</v>
      </c>
      <c r="G484" s="24"/>
      <c r="H484" s="24"/>
      <c r="I484" s="8" t="s">
        <v>39</v>
      </c>
      <c r="J484" s="10"/>
      <c r="K484" s="9" t="s">
        <v>92</v>
      </c>
      <c r="L484" s="8" t="s">
        <v>207</v>
      </c>
      <c r="M484" s="8" t="s">
        <v>195</v>
      </c>
      <c r="N484" s="8" t="s">
        <v>45</v>
      </c>
      <c r="O484" s="10"/>
      <c r="P484" s="10"/>
      <c r="Q484" s="10"/>
      <c r="R484" s="11" t="s">
        <v>1538</v>
      </c>
      <c r="S484" s="20">
        <v>46178.0</v>
      </c>
      <c r="T484" s="21"/>
      <c r="U484" s="8" t="s">
        <v>560</v>
      </c>
      <c r="V484" s="13"/>
      <c r="W484" s="13"/>
      <c r="X484" s="13"/>
      <c r="Z484" s="13"/>
    </row>
    <row r="485" ht="21.75" customHeight="1">
      <c r="A485" s="25" t="str">
        <f>IF(B485="","","CAN-"&amp;TEXT(484,"000"))</f>
        <v/>
      </c>
      <c r="B485" s="17"/>
      <c r="C485" s="8"/>
      <c r="D485" s="23"/>
      <c r="E485" s="17"/>
      <c r="F485" s="8"/>
      <c r="G485" s="23"/>
      <c r="H485" s="23"/>
      <c r="I485" s="17"/>
      <c r="J485" s="17"/>
      <c r="K485" s="23"/>
      <c r="L485" s="17"/>
      <c r="M485" s="17"/>
      <c r="N485" s="17"/>
      <c r="O485" s="17"/>
      <c r="P485" s="17"/>
      <c r="Q485" s="17"/>
      <c r="R485" s="17"/>
      <c r="S485" s="19"/>
      <c r="T485" s="19"/>
      <c r="U485" s="17"/>
      <c r="V485" s="13"/>
      <c r="W485" s="13"/>
      <c r="X485" s="13"/>
      <c r="Z485" s="13"/>
    </row>
    <row r="486" ht="21.75" customHeight="1">
      <c r="A486" s="27" t="str">
        <f>IF(B486="","","CAN-"&amp;TEXT(485,"000"))</f>
        <v/>
      </c>
      <c r="B486" s="10"/>
      <c r="C486" s="8"/>
      <c r="D486" s="24"/>
      <c r="E486" s="10"/>
      <c r="F486" s="8"/>
      <c r="G486" s="24"/>
      <c r="H486" s="24"/>
      <c r="I486" s="10"/>
      <c r="J486" s="10"/>
      <c r="K486" s="24"/>
      <c r="L486" s="10"/>
      <c r="M486" s="10"/>
      <c r="N486" s="10"/>
      <c r="O486" s="10"/>
      <c r="P486" s="10"/>
      <c r="Q486" s="10"/>
      <c r="R486" s="10"/>
      <c r="S486" s="21"/>
      <c r="T486" s="21"/>
      <c r="U486" s="10"/>
      <c r="V486" s="13"/>
      <c r="W486" s="13"/>
      <c r="X486" s="13"/>
      <c r="Z486" s="13"/>
    </row>
    <row r="487" ht="21.75" customHeight="1">
      <c r="A487" s="25" t="str">
        <f>IF(B487="","","CAN-"&amp;TEXT(486,"000"))</f>
        <v/>
      </c>
      <c r="B487" s="17"/>
      <c r="C487" s="8"/>
      <c r="D487" s="23"/>
      <c r="E487" s="17"/>
      <c r="F487" s="8"/>
      <c r="G487" s="23"/>
      <c r="H487" s="23"/>
      <c r="I487" s="17"/>
      <c r="J487" s="17"/>
      <c r="K487" s="23"/>
      <c r="L487" s="17"/>
      <c r="M487" s="17"/>
      <c r="N487" s="17"/>
      <c r="O487" s="17"/>
      <c r="P487" s="17"/>
      <c r="Q487" s="17"/>
      <c r="R487" s="17"/>
      <c r="S487" s="19"/>
      <c r="T487" s="19"/>
      <c r="U487" s="17"/>
      <c r="V487" s="13"/>
      <c r="W487" s="13"/>
      <c r="X487" s="13"/>
      <c r="Z487" s="13"/>
    </row>
    <row r="488" ht="21.75" customHeight="1">
      <c r="A488" s="27" t="str">
        <f>IF(B488="","","CAN-"&amp;TEXT(487,"000"))</f>
        <v/>
      </c>
      <c r="B488" s="10"/>
      <c r="C488" s="8"/>
      <c r="D488" s="24"/>
      <c r="E488" s="10"/>
      <c r="F488" s="8"/>
      <c r="G488" s="24"/>
      <c r="H488" s="24"/>
      <c r="I488" s="10"/>
      <c r="J488" s="10"/>
      <c r="K488" s="24"/>
      <c r="L488" s="10"/>
      <c r="M488" s="10"/>
      <c r="N488" s="10"/>
      <c r="O488" s="10"/>
      <c r="P488" s="10"/>
      <c r="Q488" s="10"/>
      <c r="R488" s="10"/>
      <c r="S488" s="21"/>
      <c r="T488" s="21"/>
      <c r="U488" s="10"/>
      <c r="V488" s="13"/>
      <c r="W488" s="13"/>
      <c r="X488" s="13"/>
      <c r="Z488" s="13"/>
    </row>
    <row r="489" ht="21.75" customHeight="1">
      <c r="A489" s="25" t="str">
        <f>IF(B489="","","CAN-"&amp;TEXT(488,"000"))</f>
        <v/>
      </c>
      <c r="B489" s="17"/>
      <c r="C489" s="8"/>
      <c r="D489" s="23"/>
      <c r="E489" s="17"/>
      <c r="F489" s="8"/>
      <c r="G489" s="23"/>
      <c r="H489" s="23"/>
      <c r="I489" s="17"/>
      <c r="J489" s="17"/>
      <c r="K489" s="23"/>
      <c r="L489" s="17"/>
      <c r="M489" s="17"/>
      <c r="N489" s="17"/>
      <c r="O489" s="17"/>
      <c r="P489" s="17"/>
      <c r="Q489" s="17"/>
      <c r="R489" s="17"/>
      <c r="S489" s="19"/>
      <c r="T489" s="19"/>
      <c r="U489" s="17"/>
      <c r="V489" s="13"/>
      <c r="W489" s="13"/>
      <c r="X489" s="13"/>
      <c r="Z489" s="13"/>
    </row>
    <row r="490" ht="21.75" customHeight="1">
      <c r="A490" s="27" t="str">
        <f>IF(B490="","","CAN-"&amp;TEXT(489,"000"))</f>
        <v/>
      </c>
      <c r="B490" s="10"/>
      <c r="C490" s="8"/>
      <c r="D490" s="24"/>
      <c r="E490" s="10"/>
      <c r="F490" s="10"/>
      <c r="G490" s="24"/>
      <c r="H490" s="24"/>
      <c r="I490" s="10"/>
      <c r="J490" s="10"/>
      <c r="K490" s="24"/>
      <c r="L490" s="10"/>
      <c r="M490" s="10"/>
      <c r="N490" s="10"/>
      <c r="O490" s="10"/>
      <c r="P490" s="10"/>
      <c r="Q490" s="10"/>
      <c r="R490" s="10"/>
      <c r="S490" s="21"/>
      <c r="T490" s="21"/>
      <c r="U490" s="10"/>
      <c r="V490" s="13"/>
      <c r="W490" s="13"/>
      <c r="X490" s="13"/>
      <c r="Z490" s="13"/>
    </row>
    <row r="491" ht="21.75" customHeight="1">
      <c r="A491" s="25" t="str">
        <f>IF(B491="","","CAN-"&amp;TEXT(490,"000"))</f>
        <v/>
      </c>
      <c r="B491" s="17"/>
      <c r="C491" s="8"/>
      <c r="D491" s="23"/>
      <c r="E491" s="17"/>
      <c r="F491" s="17"/>
      <c r="G491" s="23"/>
      <c r="H491" s="23"/>
      <c r="I491" s="17"/>
      <c r="J491" s="17"/>
      <c r="K491" s="23"/>
      <c r="L491" s="17"/>
      <c r="M491" s="17"/>
      <c r="N491" s="17"/>
      <c r="O491" s="17"/>
      <c r="P491" s="17"/>
      <c r="Q491" s="17"/>
      <c r="R491" s="17"/>
      <c r="S491" s="19"/>
      <c r="T491" s="19"/>
      <c r="U491" s="17"/>
      <c r="V491" s="13"/>
      <c r="W491" s="13"/>
      <c r="X491" s="13"/>
      <c r="Z491" s="13"/>
    </row>
    <row r="492" ht="21.75" customHeight="1">
      <c r="A492" s="27" t="str">
        <f>IF(B492="","","CAN-"&amp;TEXT(491,"000"))</f>
        <v/>
      </c>
      <c r="B492" s="10"/>
      <c r="C492" s="8"/>
      <c r="D492" s="24"/>
      <c r="E492" s="10"/>
      <c r="F492" s="10"/>
      <c r="G492" s="24"/>
      <c r="H492" s="24"/>
      <c r="I492" s="10"/>
      <c r="J492" s="10"/>
      <c r="K492" s="24"/>
      <c r="L492" s="10"/>
      <c r="M492" s="10"/>
      <c r="N492" s="10"/>
      <c r="O492" s="10"/>
      <c r="P492" s="10"/>
      <c r="Q492" s="10"/>
      <c r="R492" s="10"/>
      <c r="S492" s="21"/>
      <c r="T492" s="21"/>
      <c r="U492" s="10"/>
      <c r="V492" s="13"/>
      <c r="W492" s="13"/>
      <c r="X492" s="13"/>
      <c r="Z492" s="13"/>
    </row>
    <row r="493" ht="21.75" customHeight="1">
      <c r="A493" s="25" t="str">
        <f>IF(B493="","","CAN-"&amp;TEXT(492,"000"))</f>
        <v/>
      </c>
      <c r="B493" s="17"/>
      <c r="C493" s="8"/>
      <c r="D493" s="23"/>
      <c r="E493" s="17"/>
      <c r="F493" s="17"/>
      <c r="G493" s="23"/>
      <c r="H493" s="23"/>
      <c r="I493" s="17"/>
      <c r="J493" s="17"/>
      <c r="K493" s="23"/>
      <c r="L493" s="17"/>
      <c r="M493" s="17"/>
      <c r="N493" s="17"/>
      <c r="O493" s="17"/>
      <c r="P493" s="17"/>
      <c r="Q493" s="17"/>
      <c r="R493" s="17"/>
      <c r="S493" s="19"/>
      <c r="T493" s="19"/>
      <c r="U493" s="17"/>
      <c r="V493" s="13"/>
      <c r="W493" s="13"/>
      <c r="X493" s="13"/>
      <c r="Z493" s="13"/>
    </row>
    <row r="494" ht="21.75" customHeight="1">
      <c r="A494" s="27" t="str">
        <f>IF(B494="","","CAN-"&amp;TEXT(493,"000"))</f>
        <v/>
      </c>
      <c r="B494" s="10"/>
      <c r="C494" s="8"/>
      <c r="D494" s="24"/>
      <c r="E494" s="10"/>
      <c r="F494" s="10"/>
      <c r="G494" s="24"/>
      <c r="H494" s="24"/>
      <c r="I494" s="10"/>
      <c r="J494" s="10"/>
      <c r="K494" s="24"/>
      <c r="L494" s="10"/>
      <c r="M494" s="10"/>
      <c r="N494" s="10"/>
      <c r="O494" s="10"/>
      <c r="P494" s="10"/>
      <c r="Q494" s="10"/>
      <c r="R494" s="10"/>
      <c r="S494" s="21"/>
      <c r="T494" s="21"/>
      <c r="U494" s="10"/>
      <c r="V494" s="13"/>
      <c r="W494" s="13"/>
      <c r="X494" s="13"/>
      <c r="Z494" s="13"/>
    </row>
    <row r="495" ht="21.75" customHeight="1">
      <c r="A495" s="25" t="str">
        <f>IF(B495="","","CAN-"&amp;TEXT(494,"000"))</f>
        <v/>
      </c>
      <c r="B495" s="17"/>
      <c r="C495" s="8"/>
      <c r="D495" s="23"/>
      <c r="E495" s="17"/>
      <c r="F495" s="17"/>
      <c r="G495" s="23"/>
      <c r="H495" s="23"/>
      <c r="I495" s="17"/>
      <c r="J495" s="17"/>
      <c r="K495" s="23"/>
      <c r="L495" s="17"/>
      <c r="M495" s="17"/>
      <c r="N495" s="17"/>
      <c r="O495" s="17"/>
      <c r="P495" s="17"/>
      <c r="Q495" s="17"/>
      <c r="R495" s="17"/>
      <c r="S495" s="19"/>
      <c r="T495" s="19"/>
      <c r="U495" s="17"/>
      <c r="V495" s="13"/>
      <c r="W495" s="13"/>
      <c r="X495" s="13"/>
      <c r="Z495" s="13"/>
    </row>
    <row r="496" ht="21.75" customHeight="1">
      <c r="A496" s="27" t="str">
        <f>IF(B496="","","CAN-"&amp;TEXT(495,"000"))</f>
        <v/>
      </c>
      <c r="B496" s="10"/>
      <c r="C496" s="8"/>
      <c r="D496" s="24"/>
      <c r="E496" s="10"/>
      <c r="F496" s="10"/>
      <c r="G496" s="24"/>
      <c r="H496" s="24"/>
      <c r="I496" s="10"/>
      <c r="J496" s="10"/>
      <c r="K496" s="24"/>
      <c r="L496" s="10"/>
      <c r="M496" s="10"/>
      <c r="N496" s="10"/>
      <c r="O496" s="10"/>
      <c r="P496" s="10"/>
      <c r="Q496" s="10"/>
      <c r="R496" s="10"/>
      <c r="S496" s="21"/>
      <c r="T496" s="21"/>
      <c r="U496" s="10"/>
      <c r="V496" s="13"/>
      <c r="W496" s="13"/>
      <c r="X496" s="13"/>
      <c r="Z496" s="13"/>
    </row>
    <row r="497" ht="21.75" customHeight="1">
      <c r="A497" s="25" t="str">
        <f>IF(B497="","","CAN-"&amp;TEXT(496,"000"))</f>
        <v/>
      </c>
      <c r="B497" s="17"/>
      <c r="C497" s="8"/>
      <c r="D497" s="23"/>
      <c r="E497" s="17"/>
      <c r="F497" s="17"/>
      <c r="G497" s="23"/>
      <c r="H497" s="23"/>
      <c r="I497" s="17"/>
      <c r="J497" s="17"/>
      <c r="K497" s="23"/>
      <c r="L497" s="17"/>
      <c r="M497" s="17"/>
      <c r="N497" s="17"/>
      <c r="O497" s="17"/>
      <c r="P497" s="17"/>
      <c r="Q497" s="17"/>
      <c r="R497" s="17"/>
      <c r="S497" s="19"/>
      <c r="T497" s="19"/>
      <c r="U497" s="17"/>
      <c r="V497" s="13"/>
      <c r="W497" s="13"/>
      <c r="X497" s="13"/>
      <c r="Z497" s="13"/>
    </row>
    <row r="498" ht="21.75" customHeight="1">
      <c r="A498" s="27" t="str">
        <f>IF(B498="","","CAN-"&amp;TEXT(497,"000"))</f>
        <v/>
      </c>
      <c r="B498" s="10"/>
      <c r="C498" s="8"/>
      <c r="D498" s="24"/>
      <c r="E498" s="10"/>
      <c r="F498" s="10"/>
      <c r="G498" s="24"/>
      <c r="H498" s="24"/>
      <c r="I498" s="10"/>
      <c r="J498" s="10"/>
      <c r="K498" s="24"/>
      <c r="L498" s="10"/>
      <c r="M498" s="10"/>
      <c r="N498" s="10"/>
      <c r="O498" s="10"/>
      <c r="P498" s="10"/>
      <c r="Q498" s="10"/>
      <c r="R498" s="10"/>
      <c r="S498" s="21"/>
      <c r="T498" s="21"/>
      <c r="U498" s="10"/>
      <c r="V498" s="13"/>
      <c r="W498" s="13"/>
      <c r="X498" s="13"/>
      <c r="Z498" s="13"/>
    </row>
    <row r="499" ht="21.75" customHeight="1">
      <c r="A499" s="25" t="str">
        <f>IF(B499="","","CAN-"&amp;TEXT(498,"000"))</f>
        <v/>
      </c>
      <c r="B499" s="17"/>
      <c r="C499" s="8"/>
      <c r="D499" s="23"/>
      <c r="E499" s="17"/>
      <c r="F499" s="17"/>
      <c r="G499" s="23"/>
      <c r="H499" s="23"/>
      <c r="I499" s="17"/>
      <c r="J499" s="17"/>
      <c r="K499" s="23"/>
      <c r="L499" s="17"/>
      <c r="M499" s="17"/>
      <c r="N499" s="17"/>
      <c r="O499" s="17"/>
      <c r="P499" s="17"/>
      <c r="Q499" s="17"/>
      <c r="R499" s="17"/>
      <c r="S499" s="19"/>
      <c r="T499" s="19"/>
      <c r="U499" s="17"/>
      <c r="V499" s="13"/>
      <c r="W499" s="13"/>
      <c r="X499" s="13"/>
      <c r="Z499" s="13"/>
    </row>
    <row r="500" ht="21.75" customHeight="1">
      <c r="A500" s="27" t="str">
        <f>IF(B500="","","CAN-"&amp;TEXT(499,"000"))</f>
        <v/>
      </c>
      <c r="B500" s="10"/>
      <c r="C500" s="8"/>
      <c r="D500" s="24"/>
      <c r="E500" s="10"/>
      <c r="F500" s="10"/>
      <c r="G500" s="24"/>
      <c r="H500" s="24"/>
      <c r="I500" s="10"/>
      <c r="J500" s="10"/>
      <c r="K500" s="24"/>
      <c r="L500" s="10"/>
      <c r="M500" s="10"/>
      <c r="N500" s="10"/>
      <c r="O500" s="10"/>
      <c r="P500" s="10"/>
      <c r="Q500" s="10"/>
      <c r="R500" s="10"/>
      <c r="S500" s="21"/>
      <c r="T500" s="21"/>
      <c r="U500" s="10"/>
      <c r="V500" s="13"/>
      <c r="W500" s="13"/>
      <c r="X500" s="13"/>
      <c r="Z500" s="13"/>
    </row>
    <row r="501" ht="21.75" customHeight="1">
      <c r="A501" s="25" t="str">
        <f>IF(B501="","","CAN-"&amp;TEXT(500,"000"))</f>
        <v/>
      </c>
      <c r="B501" s="17"/>
      <c r="C501" s="8"/>
      <c r="D501" s="23"/>
      <c r="E501" s="17"/>
      <c r="F501" s="17"/>
      <c r="G501" s="23"/>
      <c r="H501" s="23"/>
      <c r="I501" s="17"/>
      <c r="J501" s="17"/>
      <c r="K501" s="23"/>
      <c r="L501" s="17"/>
      <c r="M501" s="17"/>
      <c r="N501" s="17"/>
      <c r="O501" s="17"/>
      <c r="P501" s="17"/>
      <c r="Q501" s="17"/>
      <c r="R501" s="17"/>
      <c r="S501" s="19"/>
      <c r="T501" s="19"/>
      <c r="U501" s="17"/>
      <c r="V501" s="13"/>
      <c r="W501" s="13"/>
      <c r="X501" s="13"/>
      <c r="Z501" s="13"/>
    </row>
    <row r="502" ht="15.75" customHeight="1">
      <c r="C502" s="8"/>
      <c r="E502" s="44"/>
      <c r="I502" s="44"/>
      <c r="N502" s="44"/>
      <c r="U502" s="44"/>
    </row>
    <row r="503" ht="15.75" customHeight="1">
      <c r="C503" s="8"/>
      <c r="E503" s="44"/>
      <c r="I503" s="44"/>
      <c r="N503" s="44"/>
      <c r="U503" s="44"/>
    </row>
    <row r="504" ht="15.75" customHeight="1">
      <c r="C504" s="8"/>
      <c r="E504" s="44"/>
      <c r="I504" s="44"/>
      <c r="N504" s="44"/>
      <c r="U504" s="44"/>
    </row>
    <row r="505" ht="15.75" customHeight="1">
      <c r="C505" s="8"/>
      <c r="E505" s="44"/>
      <c r="I505" s="44"/>
      <c r="N505" s="44"/>
      <c r="U505" s="44"/>
    </row>
    <row r="506" ht="15.75" customHeight="1">
      <c r="C506" s="8"/>
      <c r="E506" s="44"/>
      <c r="I506" s="44"/>
      <c r="N506" s="44"/>
      <c r="U506" s="44"/>
    </row>
    <row r="507" ht="15.75" customHeight="1">
      <c r="C507" s="8"/>
      <c r="E507" s="44"/>
      <c r="I507" s="44"/>
      <c r="N507" s="44"/>
      <c r="U507" s="44"/>
    </row>
    <row r="508" ht="15.75" customHeight="1">
      <c r="C508" s="8"/>
      <c r="E508" s="44"/>
      <c r="I508" s="44"/>
      <c r="N508" s="44"/>
      <c r="U508" s="44"/>
    </row>
    <row r="509" ht="15.75" customHeight="1">
      <c r="C509" s="8"/>
      <c r="E509" s="44"/>
      <c r="I509" s="44"/>
      <c r="N509" s="44"/>
      <c r="U509" s="44"/>
    </row>
    <row r="510" ht="15.75" customHeight="1">
      <c r="C510" s="8"/>
      <c r="E510" s="44"/>
      <c r="I510" s="44"/>
      <c r="N510" s="44"/>
      <c r="U510" s="44"/>
    </row>
    <row r="511" ht="15.75" customHeight="1">
      <c r="C511" s="8"/>
      <c r="E511" s="44"/>
      <c r="I511" s="44"/>
      <c r="N511" s="44"/>
      <c r="U511" s="44"/>
    </row>
    <row r="512" ht="15.75" customHeight="1">
      <c r="C512" s="8"/>
      <c r="E512" s="44"/>
      <c r="I512" s="44"/>
      <c r="N512" s="44"/>
      <c r="U512" s="44"/>
    </row>
    <row r="513" ht="15.75" customHeight="1">
      <c r="C513" s="8"/>
      <c r="E513" s="44"/>
      <c r="I513" s="44"/>
      <c r="N513" s="44"/>
      <c r="U513" s="44"/>
    </row>
    <row r="514" ht="15.75" customHeight="1">
      <c r="C514" s="8"/>
      <c r="E514" s="44"/>
      <c r="I514" s="44"/>
      <c r="N514" s="44"/>
      <c r="U514" s="44"/>
    </row>
    <row r="515" ht="15.75" customHeight="1">
      <c r="C515" s="8"/>
      <c r="E515" s="44"/>
      <c r="I515" s="44"/>
      <c r="N515" s="44"/>
      <c r="U515" s="44"/>
    </row>
    <row r="516" ht="15.75" customHeight="1">
      <c r="C516" s="8"/>
      <c r="E516" s="44"/>
      <c r="I516" s="44"/>
      <c r="N516" s="44"/>
      <c r="U516" s="44"/>
    </row>
    <row r="517" ht="15.75" customHeight="1">
      <c r="C517" s="8"/>
      <c r="E517" s="44"/>
      <c r="I517" s="44"/>
      <c r="N517" s="44"/>
      <c r="U517" s="44"/>
    </row>
    <row r="518" ht="15.75" customHeight="1">
      <c r="C518" s="8"/>
      <c r="E518" s="44"/>
      <c r="I518" s="44"/>
      <c r="N518" s="44"/>
      <c r="U518" s="44"/>
    </row>
    <row r="519" ht="15.75" customHeight="1">
      <c r="C519" s="8"/>
      <c r="E519" s="44"/>
      <c r="I519" s="44"/>
      <c r="N519" s="44"/>
      <c r="U519" s="44"/>
    </row>
    <row r="520" ht="15.75" customHeight="1">
      <c r="C520" s="8"/>
      <c r="E520" s="44"/>
      <c r="I520" s="44"/>
      <c r="N520" s="44"/>
      <c r="U520" s="44"/>
    </row>
    <row r="521" ht="15.75" customHeight="1">
      <c r="C521" s="8"/>
      <c r="E521" s="44"/>
      <c r="I521" s="44"/>
      <c r="N521" s="44"/>
      <c r="U521" s="44"/>
    </row>
    <row r="522" ht="15.75" customHeight="1">
      <c r="C522" s="8"/>
      <c r="E522" s="44"/>
      <c r="I522" s="44"/>
      <c r="N522" s="44"/>
      <c r="U522" s="44"/>
    </row>
    <row r="523" ht="15.75" customHeight="1">
      <c r="C523" s="8"/>
      <c r="E523" s="44"/>
      <c r="I523" s="44"/>
      <c r="N523" s="44"/>
      <c r="U523" s="44"/>
    </row>
    <row r="524" ht="15.75" customHeight="1">
      <c r="C524" s="8"/>
      <c r="E524" s="44"/>
      <c r="I524" s="44"/>
      <c r="N524" s="44"/>
      <c r="U524" s="44"/>
    </row>
    <row r="525" ht="15.75" customHeight="1">
      <c r="C525" s="8"/>
      <c r="E525" s="44"/>
      <c r="I525" s="44"/>
      <c r="N525" s="44"/>
      <c r="U525" s="44"/>
    </row>
    <row r="526" ht="15.75" customHeight="1">
      <c r="C526" s="8"/>
      <c r="E526" s="44"/>
      <c r="I526" s="44"/>
      <c r="N526" s="44"/>
      <c r="U526" s="44"/>
    </row>
    <row r="527" ht="15.75" customHeight="1">
      <c r="C527" s="8"/>
      <c r="E527" s="44"/>
      <c r="I527" s="44"/>
      <c r="N527" s="44"/>
      <c r="U527" s="44"/>
    </row>
    <row r="528" ht="15.75" customHeight="1">
      <c r="C528" s="8"/>
      <c r="E528" s="44"/>
      <c r="I528" s="44"/>
      <c r="N528" s="44"/>
      <c r="U528" s="44"/>
    </row>
    <row r="529" ht="15.75" customHeight="1">
      <c r="C529" s="8"/>
      <c r="E529" s="44"/>
      <c r="I529" s="44"/>
      <c r="N529" s="44"/>
      <c r="U529" s="44"/>
    </row>
    <row r="530" ht="15.75" customHeight="1">
      <c r="C530" s="8"/>
      <c r="E530" s="44"/>
      <c r="I530" s="44"/>
      <c r="N530" s="44"/>
      <c r="U530" s="44"/>
    </row>
    <row r="531" ht="15.75" customHeight="1">
      <c r="C531" s="8"/>
      <c r="E531" s="44"/>
      <c r="I531" s="44"/>
      <c r="N531" s="44"/>
      <c r="U531" s="44"/>
    </row>
    <row r="532" ht="15.75" customHeight="1">
      <c r="C532" s="8"/>
      <c r="E532" s="44"/>
      <c r="I532" s="44"/>
      <c r="N532" s="44"/>
      <c r="U532" s="44"/>
    </row>
    <row r="533" ht="15.75" customHeight="1">
      <c r="C533" s="8"/>
      <c r="E533" s="44"/>
      <c r="I533" s="44"/>
      <c r="N533" s="44"/>
      <c r="U533" s="44"/>
    </row>
    <row r="534" ht="15.75" customHeight="1">
      <c r="E534" s="44"/>
      <c r="I534" s="44"/>
      <c r="N534" s="44"/>
      <c r="U534" s="44"/>
    </row>
    <row r="535" ht="15.75" customHeight="1">
      <c r="E535" s="44"/>
      <c r="I535" s="44"/>
      <c r="N535" s="44"/>
      <c r="U535" s="44"/>
    </row>
    <row r="536" ht="15.75" customHeight="1">
      <c r="E536" s="44"/>
      <c r="I536" s="44"/>
      <c r="N536" s="44"/>
      <c r="U536" s="44"/>
    </row>
    <row r="537" ht="15.75" customHeight="1">
      <c r="E537" s="44"/>
      <c r="I537" s="44"/>
      <c r="N537" s="44"/>
      <c r="U537" s="44"/>
    </row>
    <row r="538" ht="15.75" customHeight="1">
      <c r="E538" s="44"/>
      <c r="I538" s="44"/>
      <c r="N538" s="44"/>
      <c r="U538" s="44"/>
    </row>
    <row r="539" ht="15.75" customHeight="1">
      <c r="E539" s="44"/>
      <c r="I539" s="44"/>
      <c r="N539" s="44"/>
      <c r="U539" s="44"/>
    </row>
    <row r="540" ht="15.75" customHeight="1">
      <c r="E540" s="44"/>
      <c r="I540" s="44"/>
      <c r="N540" s="44"/>
      <c r="U540" s="44"/>
    </row>
    <row r="541" ht="15.75" customHeight="1">
      <c r="E541" s="44"/>
      <c r="I541" s="44"/>
      <c r="N541" s="44"/>
      <c r="U541" s="44"/>
    </row>
    <row r="542" ht="15.75" customHeight="1">
      <c r="E542" s="44"/>
      <c r="I542" s="44"/>
      <c r="N542" s="44"/>
      <c r="U542" s="44"/>
    </row>
    <row r="543" ht="15.75" customHeight="1">
      <c r="E543" s="44"/>
      <c r="I543" s="44"/>
      <c r="N543" s="44"/>
      <c r="U543" s="44"/>
    </row>
    <row r="544" ht="15.75" customHeight="1">
      <c r="E544" s="44"/>
      <c r="I544" s="44"/>
      <c r="N544" s="44"/>
      <c r="U544" s="44"/>
    </row>
    <row r="545" ht="15.75" customHeight="1">
      <c r="E545" s="44"/>
      <c r="I545" s="44"/>
      <c r="N545" s="44"/>
      <c r="U545" s="44"/>
    </row>
    <row r="546" ht="15.75" customHeight="1">
      <c r="E546" s="44"/>
      <c r="I546" s="44"/>
      <c r="N546" s="44"/>
      <c r="U546" s="44"/>
    </row>
    <row r="547" ht="15.75" customHeight="1">
      <c r="E547" s="44"/>
      <c r="I547" s="44"/>
      <c r="N547" s="44"/>
      <c r="U547" s="44"/>
    </row>
    <row r="548" ht="15.75" customHeight="1">
      <c r="E548" s="44"/>
      <c r="I548" s="44"/>
      <c r="N548" s="44"/>
      <c r="U548" s="44"/>
    </row>
    <row r="549" ht="15.75" customHeight="1">
      <c r="E549" s="44"/>
      <c r="I549" s="44"/>
      <c r="N549" s="44"/>
      <c r="U549" s="44"/>
    </row>
    <row r="550" ht="15.75" customHeight="1">
      <c r="E550" s="44"/>
      <c r="I550" s="44"/>
      <c r="N550" s="44"/>
      <c r="U550" s="44"/>
    </row>
    <row r="551" ht="15.75" customHeight="1">
      <c r="E551" s="44"/>
      <c r="I551" s="44"/>
      <c r="N551" s="44"/>
      <c r="U551" s="44"/>
    </row>
    <row r="552" ht="15.75" customHeight="1">
      <c r="E552" s="44"/>
      <c r="I552" s="44"/>
      <c r="N552" s="44"/>
      <c r="U552" s="44"/>
    </row>
    <row r="553" ht="15.75" customHeight="1">
      <c r="E553" s="44"/>
      <c r="I553" s="44"/>
      <c r="N553" s="44"/>
      <c r="U553" s="44"/>
    </row>
    <row r="554" ht="15.75" customHeight="1">
      <c r="E554" s="44"/>
      <c r="I554" s="44"/>
      <c r="N554" s="44"/>
      <c r="U554" s="44"/>
    </row>
    <row r="555" ht="15.75" customHeight="1">
      <c r="E555" s="44"/>
      <c r="I555" s="44"/>
      <c r="N555" s="44"/>
      <c r="U555" s="44"/>
    </row>
    <row r="556" ht="15.75" customHeight="1">
      <c r="E556" s="44"/>
      <c r="I556" s="44"/>
      <c r="N556" s="44"/>
      <c r="U556" s="44"/>
    </row>
    <row r="557" ht="15.75" customHeight="1">
      <c r="E557" s="44"/>
      <c r="I557" s="44"/>
      <c r="N557" s="44"/>
      <c r="U557" s="44"/>
    </row>
    <row r="558" ht="15.75" customHeight="1">
      <c r="E558" s="44"/>
      <c r="I558" s="44"/>
      <c r="N558" s="44"/>
      <c r="U558" s="44"/>
    </row>
    <row r="559" ht="15.75" customHeight="1">
      <c r="E559" s="44"/>
      <c r="I559" s="44"/>
      <c r="N559" s="44"/>
      <c r="U559" s="44"/>
    </row>
    <row r="560" ht="15.75" customHeight="1">
      <c r="E560" s="44"/>
      <c r="I560" s="44"/>
      <c r="N560" s="44"/>
      <c r="U560" s="44"/>
    </row>
    <row r="561" ht="15.75" customHeight="1">
      <c r="E561" s="44"/>
      <c r="I561" s="44"/>
      <c r="N561" s="44"/>
      <c r="U561" s="44"/>
    </row>
    <row r="562" ht="15.75" customHeight="1">
      <c r="E562" s="44"/>
      <c r="I562" s="44"/>
      <c r="N562" s="44"/>
      <c r="U562" s="44"/>
    </row>
    <row r="563" ht="15.75" customHeight="1">
      <c r="E563" s="44"/>
      <c r="I563" s="44"/>
      <c r="N563" s="44"/>
      <c r="U563" s="44"/>
    </row>
    <row r="564" ht="15.75" customHeight="1">
      <c r="E564" s="44"/>
      <c r="I564" s="44"/>
      <c r="N564" s="44"/>
      <c r="U564" s="44"/>
    </row>
    <row r="565" ht="15.75" customHeight="1">
      <c r="E565" s="44"/>
      <c r="I565" s="44"/>
      <c r="N565" s="44"/>
      <c r="U565" s="44"/>
    </row>
    <row r="566" ht="15.75" customHeight="1">
      <c r="E566" s="44"/>
      <c r="I566" s="44"/>
      <c r="N566" s="44"/>
      <c r="U566" s="44"/>
    </row>
    <row r="567" ht="15.75" customHeight="1">
      <c r="E567" s="44"/>
      <c r="I567" s="44"/>
      <c r="N567" s="44"/>
      <c r="U567" s="44"/>
    </row>
    <row r="568" ht="15.75" customHeight="1">
      <c r="E568" s="44"/>
      <c r="I568" s="44"/>
      <c r="N568" s="44"/>
      <c r="U568" s="44"/>
    </row>
    <row r="569" ht="15.75" customHeight="1">
      <c r="E569" s="44"/>
      <c r="I569" s="44"/>
      <c r="N569" s="44"/>
      <c r="U569" s="44"/>
    </row>
    <row r="570" ht="15.75" customHeight="1">
      <c r="E570" s="44"/>
      <c r="I570" s="44"/>
      <c r="N570" s="44"/>
      <c r="U570" s="44"/>
    </row>
    <row r="571" ht="15.75" customHeight="1">
      <c r="E571" s="44"/>
      <c r="I571" s="44"/>
      <c r="N571" s="44"/>
      <c r="U571" s="44"/>
    </row>
    <row r="572" ht="15.75" customHeight="1">
      <c r="E572" s="44"/>
      <c r="I572" s="44"/>
      <c r="N572" s="44"/>
      <c r="U572" s="44"/>
    </row>
    <row r="573" ht="15.75" customHeight="1">
      <c r="E573" s="44"/>
      <c r="I573" s="44"/>
      <c r="N573" s="44"/>
      <c r="U573" s="44"/>
    </row>
    <row r="574" ht="15.75" customHeight="1">
      <c r="E574" s="44"/>
      <c r="I574" s="44"/>
      <c r="N574" s="44"/>
      <c r="U574" s="44"/>
    </row>
    <row r="575" ht="15.75" customHeight="1">
      <c r="E575" s="44"/>
      <c r="I575" s="44"/>
      <c r="N575" s="44"/>
      <c r="U575" s="44"/>
    </row>
    <row r="576" ht="15.75" customHeight="1">
      <c r="E576" s="44"/>
      <c r="I576" s="44"/>
      <c r="N576" s="44"/>
      <c r="U576" s="44"/>
    </row>
    <row r="577" ht="15.75" customHeight="1">
      <c r="E577" s="44"/>
      <c r="I577" s="44"/>
      <c r="N577" s="44"/>
      <c r="U577" s="44"/>
    </row>
    <row r="578" ht="15.75" customHeight="1">
      <c r="E578" s="44"/>
      <c r="I578" s="44"/>
      <c r="N578" s="44"/>
      <c r="U578" s="44"/>
    </row>
    <row r="579" ht="15.75" customHeight="1">
      <c r="E579" s="44"/>
      <c r="I579" s="44"/>
      <c r="N579" s="44"/>
      <c r="U579" s="44"/>
    </row>
    <row r="580" ht="15.75" customHeight="1">
      <c r="E580" s="44"/>
      <c r="I580" s="44"/>
      <c r="N580" s="44"/>
      <c r="U580" s="44"/>
    </row>
    <row r="581" ht="15.75" customHeight="1">
      <c r="E581" s="44"/>
      <c r="I581" s="44"/>
      <c r="N581" s="44"/>
      <c r="U581" s="44"/>
    </row>
    <row r="582" ht="15.75" customHeight="1">
      <c r="E582" s="44"/>
      <c r="I582" s="44"/>
      <c r="N582" s="44"/>
      <c r="U582" s="44"/>
    </row>
    <row r="583" ht="15.75" customHeight="1">
      <c r="E583" s="44"/>
      <c r="I583" s="44"/>
      <c r="N583" s="44"/>
      <c r="U583" s="44"/>
    </row>
    <row r="584" ht="15.75" customHeight="1">
      <c r="E584" s="44"/>
      <c r="I584" s="44"/>
      <c r="N584" s="44"/>
      <c r="U584" s="44"/>
    </row>
    <row r="585" ht="15.75" customHeight="1">
      <c r="E585" s="44"/>
      <c r="I585" s="44"/>
      <c r="N585" s="44"/>
      <c r="U585" s="44"/>
    </row>
    <row r="586" ht="15.75" customHeight="1">
      <c r="E586" s="44"/>
      <c r="I586" s="44"/>
      <c r="N586" s="44"/>
      <c r="U586" s="44"/>
    </row>
    <row r="587" ht="15.75" customHeight="1">
      <c r="E587" s="44"/>
      <c r="I587" s="44"/>
      <c r="N587" s="44"/>
      <c r="U587" s="44"/>
    </row>
    <row r="588" ht="15.75" customHeight="1">
      <c r="E588" s="44"/>
      <c r="I588" s="44"/>
      <c r="N588" s="44"/>
      <c r="U588" s="44"/>
    </row>
    <row r="589" ht="15.75" customHeight="1">
      <c r="E589" s="44"/>
      <c r="I589" s="44"/>
      <c r="N589" s="44"/>
      <c r="U589" s="44"/>
    </row>
    <row r="590" ht="15.75" customHeight="1">
      <c r="E590" s="44"/>
      <c r="I590" s="44"/>
      <c r="N590" s="44"/>
      <c r="U590" s="44"/>
    </row>
    <row r="591" ht="15.75" customHeight="1">
      <c r="E591" s="44"/>
      <c r="I591" s="44"/>
      <c r="N591" s="44"/>
      <c r="U591" s="44"/>
    </row>
    <row r="592" ht="15.75" customHeight="1">
      <c r="E592" s="44"/>
      <c r="I592" s="44"/>
      <c r="N592" s="44"/>
      <c r="U592" s="44"/>
    </row>
    <row r="593" ht="15.75" customHeight="1">
      <c r="E593" s="44"/>
      <c r="I593" s="44"/>
      <c r="N593" s="44"/>
      <c r="U593" s="44"/>
    </row>
    <row r="594" ht="15.75" customHeight="1">
      <c r="E594" s="44"/>
      <c r="I594" s="44"/>
      <c r="N594" s="44"/>
      <c r="U594" s="44"/>
    </row>
    <row r="595" ht="15.75" customHeight="1">
      <c r="E595" s="44"/>
      <c r="I595" s="44"/>
      <c r="N595" s="44"/>
      <c r="U595" s="44"/>
    </row>
    <row r="596" ht="15.75" customHeight="1">
      <c r="E596" s="44"/>
      <c r="I596" s="44"/>
      <c r="N596" s="44"/>
      <c r="U596" s="44"/>
    </row>
    <row r="597" ht="15.75" customHeight="1">
      <c r="E597" s="44"/>
      <c r="I597" s="44"/>
      <c r="N597" s="44"/>
      <c r="U597" s="44"/>
    </row>
    <row r="598" ht="15.75" customHeight="1">
      <c r="E598" s="44"/>
      <c r="I598" s="44"/>
      <c r="N598" s="44"/>
      <c r="U598" s="44"/>
    </row>
    <row r="599" ht="15.75" customHeight="1">
      <c r="E599" s="44"/>
      <c r="I599" s="44"/>
      <c r="N599" s="44"/>
      <c r="U599" s="44"/>
    </row>
    <row r="600" ht="15.75" customHeight="1">
      <c r="E600" s="44"/>
      <c r="I600" s="44"/>
      <c r="N600" s="44"/>
      <c r="U600" s="44"/>
    </row>
    <row r="601" ht="15.75" customHeight="1">
      <c r="E601" s="44"/>
      <c r="I601" s="44"/>
      <c r="N601" s="44"/>
      <c r="U601" s="44"/>
    </row>
    <row r="602" ht="15.75" customHeight="1">
      <c r="E602" s="44"/>
      <c r="I602" s="44"/>
      <c r="N602" s="44"/>
      <c r="U602" s="44"/>
    </row>
    <row r="603" ht="15.75" customHeight="1">
      <c r="E603" s="44"/>
      <c r="I603" s="44"/>
      <c r="N603" s="44"/>
      <c r="U603" s="44"/>
    </row>
    <row r="604" ht="15.75" customHeight="1">
      <c r="E604" s="44"/>
      <c r="I604" s="44"/>
      <c r="N604" s="44"/>
      <c r="U604" s="44"/>
    </row>
    <row r="605" ht="15.75" customHeight="1">
      <c r="E605" s="44"/>
      <c r="I605" s="44"/>
      <c r="N605" s="44"/>
      <c r="U605" s="44"/>
    </row>
    <row r="606" ht="15.75" customHeight="1">
      <c r="E606" s="44"/>
      <c r="I606" s="44"/>
      <c r="N606" s="44"/>
      <c r="U606" s="44"/>
    </row>
    <row r="607" ht="15.75" customHeight="1">
      <c r="E607" s="44"/>
      <c r="I607" s="44"/>
      <c r="N607" s="44"/>
      <c r="U607" s="44"/>
    </row>
    <row r="608" ht="15.75" customHeight="1">
      <c r="E608" s="44"/>
      <c r="I608" s="44"/>
      <c r="N608" s="44"/>
      <c r="U608" s="44"/>
    </row>
    <row r="609" ht="15.75" customHeight="1">
      <c r="E609" s="44"/>
      <c r="I609" s="44"/>
      <c r="N609" s="44"/>
      <c r="U609" s="44"/>
    </row>
    <row r="610" ht="15.75" customHeight="1">
      <c r="E610" s="44"/>
      <c r="I610" s="44"/>
      <c r="N610" s="44"/>
      <c r="U610" s="44"/>
    </row>
    <row r="611" ht="15.75" customHeight="1">
      <c r="E611" s="44"/>
      <c r="I611" s="44"/>
      <c r="N611" s="44"/>
      <c r="U611" s="44"/>
    </row>
    <row r="612" ht="15.75" customHeight="1">
      <c r="E612" s="44"/>
      <c r="I612" s="44"/>
      <c r="N612" s="44"/>
      <c r="U612" s="44"/>
    </row>
    <row r="613" ht="15.75" customHeight="1">
      <c r="E613" s="44"/>
      <c r="I613" s="44"/>
      <c r="N613" s="44"/>
      <c r="U613" s="44"/>
    </row>
    <row r="614" ht="15.75" customHeight="1">
      <c r="E614" s="44"/>
      <c r="I614" s="44"/>
      <c r="N614" s="44"/>
      <c r="U614" s="44"/>
    </row>
    <row r="615" ht="15.75" customHeight="1">
      <c r="E615" s="44"/>
      <c r="I615" s="44"/>
      <c r="N615" s="44"/>
      <c r="U615" s="44"/>
    </row>
    <row r="616" ht="15.75" customHeight="1">
      <c r="E616" s="44"/>
      <c r="I616" s="44"/>
      <c r="N616" s="44"/>
      <c r="U616" s="44"/>
    </row>
    <row r="617" ht="15.75" customHeight="1">
      <c r="E617" s="44"/>
      <c r="I617" s="44"/>
      <c r="N617" s="44"/>
      <c r="U617" s="44"/>
    </row>
    <row r="618" ht="15.75" customHeight="1">
      <c r="E618" s="44"/>
      <c r="I618" s="44"/>
      <c r="N618" s="44"/>
      <c r="U618" s="44"/>
    </row>
    <row r="619" ht="15.75" customHeight="1">
      <c r="E619" s="44"/>
      <c r="I619" s="44"/>
      <c r="N619" s="44"/>
      <c r="U619" s="44"/>
    </row>
    <row r="620" ht="15.75" customHeight="1">
      <c r="E620" s="44"/>
      <c r="I620" s="44"/>
      <c r="N620" s="44"/>
      <c r="U620" s="44"/>
    </row>
    <row r="621" ht="15.75" customHeight="1">
      <c r="E621" s="44"/>
      <c r="I621" s="44"/>
      <c r="N621" s="44"/>
      <c r="U621" s="44"/>
    </row>
    <row r="622" ht="15.75" customHeight="1">
      <c r="E622" s="44"/>
      <c r="I622" s="44"/>
      <c r="N622" s="44"/>
      <c r="U622" s="44"/>
    </row>
    <row r="623" ht="15.75" customHeight="1">
      <c r="E623" s="44"/>
      <c r="I623" s="44"/>
      <c r="N623" s="44"/>
      <c r="U623" s="44"/>
    </row>
    <row r="624" ht="15.75" customHeight="1">
      <c r="E624" s="44"/>
      <c r="I624" s="44"/>
      <c r="N624" s="44"/>
      <c r="U624" s="44"/>
    </row>
    <row r="625" ht="15.75" customHeight="1">
      <c r="E625" s="44"/>
      <c r="I625" s="44"/>
      <c r="N625" s="44"/>
      <c r="U625" s="44"/>
    </row>
    <row r="626" ht="15.75" customHeight="1">
      <c r="E626" s="44"/>
      <c r="I626" s="44"/>
      <c r="N626" s="44"/>
      <c r="U626" s="44"/>
    </row>
    <row r="627" ht="15.75" customHeight="1">
      <c r="E627" s="44"/>
      <c r="I627" s="44"/>
      <c r="N627" s="44"/>
      <c r="U627" s="44"/>
    </row>
    <row r="628" ht="15.75" customHeight="1">
      <c r="E628" s="44"/>
      <c r="I628" s="44"/>
      <c r="N628" s="44"/>
      <c r="U628" s="44"/>
    </row>
    <row r="629" ht="15.75" customHeight="1">
      <c r="E629" s="44"/>
      <c r="I629" s="44"/>
      <c r="N629" s="44"/>
      <c r="U629" s="44"/>
    </row>
    <row r="630" ht="15.75" customHeight="1">
      <c r="E630" s="44"/>
      <c r="I630" s="44"/>
      <c r="N630" s="44"/>
      <c r="U630" s="44"/>
    </row>
    <row r="631" ht="15.75" customHeight="1">
      <c r="E631" s="44"/>
      <c r="I631" s="44"/>
      <c r="N631" s="44"/>
      <c r="U631" s="44"/>
    </row>
    <row r="632" ht="15.75" customHeight="1">
      <c r="E632" s="44"/>
      <c r="I632" s="44"/>
      <c r="N632" s="44"/>
      <c r="U632" s="44"/>
    </row>
    <row r="633" ht="15.75" customHeight="1">
      <c r="E633" s="44"/>
      <c r="I633" s="44"/>
      <c r="N633" s="44"/>
      <c r="U633" s="44"/>
    </row>
    <row r="634" ht="15.75" customHeight="1">
      <c r="E634" s="44"/>
      <c r="I634" s="44"/>
      <c r="N634" s="44"/>
      <c r="U634" s="44"/>
    </row>
    <row r="635" ht="15.75" customHeight="1">
      <c r="E635" s="44"/>
      <c r="I635" s="44"/>
      <c r="N635" s="44"/>
      <c r="U635" s="44"/>
    </row>
    <row r="636" ht="15.75" customHeight="1">
      <c r="E636" s="44"/>
      <c r="I636" s="44"/>
      <c r="N636" s="44"/>
      <c r="U636" s="44"/>
    </row>
    <row r="637" ht="15.75" customHeight="1">
      <c r="E637" s="44"/>
      <c r="I637" s="44"/>
      <c r="N637" s="44"/>
      <c r="U637" s="44"/>
    </row>
    <row r="638" ht="15.75" customHeight="1">
      <c r="E638" s="44"/>
      <c r="I638" s="44"/>
      <c r="N638" s="44"/>
      <c r="U638" s="44"/>
    </row>
    <row r="639" ht="15.75" customHeight="1">
      <c r="E639" s="44"/>
      <c r="I639" s="44"/>
      <c r="N639" s="44"/>
      <c r="U639" s="44"/>
    </row>
    <row r="640" ht="15.75" customHeight="1">
      <c r="E640" s="44"/>
      <c r="I640" s="44"/>
      <c r="N640" s="44"/>
      <c r="U640" s="44"/>
    </row>
    <row r="641" ht="15.75" customHeight="1">
      <c r="E641" s="44"/>
      <c r="I641" s="44"/>
      <c r="N641" s="44"/>
      <c r="U641" s="44"/>
    </row>
    <row r="642" ht="15.75" customHeight="1">
      <c r="E642" s="44"/>
      <c r="I642" s="44"/>
      <c r="N642" s="44"/>
      <c r="U642" s="44"/>
    </row>
    <row r="643" ht="15.75" customHeight="1">
      <c r="E643" s="44"/>
      <c r="I643" s="44"/>
      <c r="N643" s="44"/>
      <c r="U643" s="44"/>
    </row>
    <row r="644" ht="15.75" customHeight="1">
      <c r="E644" s="44"/>
      <c r="I644" s="44"/>
      <c r="N644" s="44"/>
      <c r="U644" s="44"/>
    </row>
    <row r="645" ht="15.75" customHeight="1">
      <c r="E645" s="44"/>
      <c r="I645" s="44"/>
      <c r="N645" s="44"/>
      <c r="U645" s="44"/>
    </row>
    <row r="646" ht="15.75" customHeight="1">
      <c r="E646" s="44"/>
      <c r="I646" s="44"/>
      <c r="N646" s="44"/>
      <c r="U646" s="44"/>
    </row>
    <row r="647" ht="15.75" customHeight="1">
      <c r="E647" s="44"/>
      <c r="I647" s="44"/>
      <c r="N647" s="44"/>
      <c r="U647" s="44"/>
    </row>
    <row r="648" ht="15.75" customHeight="1">
      <c r="E648" s="44"/>
      <c r="I648" s="44"/>
      <c r="N648" s="44"/>
      <c r="U648" s="44"/>
    </row>
    <row r="649" ht="15.75" customHeight="1">
      <c r="E649" s="44"/>
      <c r="I649" s="44"/>
      <c r="N649" s="44"/>
      <c r="U649" s="44"/>
    </row>
    <row r="650" ht="15.75" customHeight="1">
      <c r="E650" s="44"/>
      <c r="I650" s="44"/>
      <c r="N650" s="44"/>
      <c r="U650" s="44"/>
    </row>
    <row r="651" ht="15.75" customHeight="1">
      <c r="E651" s="44"/>
      <c r="I651" s="44"/>
      <c r="N651" s="44"/>
      <c r="U651" s="44"/>
    </row>
    <row r="652" ht="15.75" customHeight="1">
      <c r="E652" s="44"/>
      <c r="I652" s="44"/>
      <c r="N652" s="44"/>
      <c r="U652" s="44"/>
    </row>
    <row r="653" ht="15.75" customHeight="1">
      <c r="E653" s="44"/>
      <c r="I653" s="44"/>
      <c r="N653" s="44"/>
      <c r="U653" s="44"/>
    </row>
    <row r="654" ht="15.75" customHeight="1">
      <c r="E654" s="44"/>
      <c r="I654" s="44"/>
      <c r="N654" s="44"/>
      <c r="U654" s="44"/>
    </row>
    <row r="655" ht="15.75" customHeight="1">
      <c r="E655" s="44"/>
      <c r="I655" s="44"/>
      <c r="N655" s="44"/>
      <c r="U655" s="44"/>
    </row>
    <row r="656" ht="15.75" customHeight="1">
      <c r="E656" s="44"/>
      <c r="I656" s="44"/>
      <c r="N656" s="44"/>
      <c r="U656" s="44"/>
    </row>
    <row r="657" ht="15.75" customHeight="1">
      <c r="E657" s="44"/>
      <c r="I657" s="44"/>
      <c r="N657" s="44"/>
      <c r="U657" s="44"/>
    </row>
    <row r="658" ht="15.75" customHeight="1">
      <c r="E658" s="44"/>
      <c r="I658" s="44"/>
      <c r="N658" s="44"/>
      <c r="U658" s="44"/>
    </row>
    <row r="659" ht="15.75" customHeight="1">
      <c r="E659" s="44"/>
      <c r="I659" s="44"/>
      <c r="N659" s="44"/>
      <c r="U659" s="44"/>
    </row>
    <row r="660" ht="15.75" customHeight="1">
      <c r="E660" s="44"/>
      <c r="I660" s="44"/>
      <c r="N660" s="44"/>
      <c r="U660" s="44"/>
    </row>
    <row r="661" ht="15.75" customHeight="1">
      <c r="E661" s="44"/>
      <c r="I661" s="44"/>
      <c r="N661" s="44"/>
      <c r="U661" s="44"/>
    </row>
    <row r="662" ht="15.75" customHeight="1">
      <c r="E662" s="44"/>
      <c r="I662" s="44"/>
      <c r="N662" s="44"/>
      <c r="U662" s="44"/>
    </row>
    <row r="663" ht="15.75" customHeight="1">
      <c r="E663" s="44"/>
      <c r="I663" s="44"/>
      <c r="N663" s="44"/>
      <c r="U663" s="44"/>
    </row>
    <row r="664" ht="15.75" customHeight="1">
      <c r="E664" s="44"/>
      <c r="I664" s="44"/>
      <c r="N664" s="44"/>
      <c r="U664" s="44"/>
    </row>
    <row r="665" ht="15.75" customHeight="1">
      <c r="E665" s="44"/>
      <c r="I665" s="44"/>
      <c r="N665" s="44"/>
      <c r="U665" s="44"/>
    </row>
    <row r="666" ht="15.75" customHeight="1">
      <c r="E666" s="44"/>
      <c r="I666" s="44"/>
      <c r="N666" s="44"/>
      <c r="U666" s="44"/>
    </row>
    <row r="667" ht="15.75" customHeight="1">
      <c r="E667" s="44"/>
      <c r="I667" s="44"/>
      <c r="N667" s="44"/>
      <c r="U667" s="44"/>
    </row>
    <row r="668" ht="15.75" customHeight="1">
      <c r="E668" s="44"/>
      <c r="I668" s="44"/>
      <c r="N668" s="44"/>
      <c r="U668" s="44"/>
    </row>
    <row r="669" ht="15.75" customHeight="1">
      <c r="E669" s="44"/>
      <c r="I669" s="44"/>
      <c r="N669" s="44"/>
      <c r="U669" s="44"/>
    </row>
    <row r="670" ht="15.75" customHeight="1">
      <c r="E670" s="44"/>
      <c r="I670" s="44"/>
      <c r="N670" s="44"/>
      <c r="U670" s="44"/>
    </row>
    <row r="671" ht="15.75" customHeight="1">
      <c r="E671" s="44"/>
      <c r="I671" s="44"/>
      <c r="N671" s="44"/>
      <c r="U671" s="44"/>
    </row>
    <row r="672" ht="15.75" customHeight="1">
      <c r="E672" s="44"/>
      <c r="I672" s="44"/>
      <c r="N672" s="44"/>
      <c r="U672" s="44"/>
    </row>
    <row r="673" ht="15.75" customHeight="1">
      <c r="E673" s="44"/>
      <c r="I673" s="44"/>
      <c r="N673" s="44"/>
      <c r="U673" s="44"/>
    </row>
    <row r="674" ht="15.75" customHeight="1">
      <c r="E674" s="44"/>
      <c r="I674" s="44"/>
      <c r="N674" s="44"/>
      <c r="U674" s="44"/>
    </row>
    <row r="675" ht="15.75" customHeight="1">
      <c r="E675" s="44"/>
      <c r="I675" s="44"/>
      <c r="N675" s="44"/>
      <c r="U675" s="44"/>
    </row>
    <row r="676" ht="15.75" customHeight="1">
      <c r="E676" s="44"/>
      <c r="I676" s="44"/>
      <c r="N676" s="44"/>
      <c r="U676" s="44"/>
    </row>
    <row r="677" ht="15.75" customHeight="1">
      <c r="E677" s="44"/>
      <c r="I677" s="44"/>
      <c r="N677" s="44"/>
      <c r="U677" s="44"/>
    </row>
    <row r="678" ht="15.75" customHeight="1">
      <c r="E678" s="44"/>
      <c r="I678" s="44"/>
      <c r="N678" s="44"/>
      <c r="U678" s="44"/>
    </row>
    <row r="679" ht="15.75" customHeight="1">
      <c r="E679" s="44"/>
      <c r="I679" s="44"/>
      <c r="N679" s="44"/>
      <c r="U679" s="44"/>
    </row>
    <row r="680" ht="15.75" customHeight="1">
      <c r="E680" s="44"/>
      <c r="I680" s="44"/>
      <c r="N680" s="44"/>
      <c r="U680" s="44"/>
    </row>
    <row r="681" ht="15.75" customHeight="1">
      <c r="E681" s="44"/>
      <c r="I681" s="44"/>
      <c r="N681" s="44"/>
      <c r="U681" s="44"/>
    </row>
    <row r="682" ht="15.75" customHeight="1">
      <c r="E682" s="44"/>
      <c r="I682" s="44"/>
      <c r="N682" s="44"/>
      <c r="U682" s="44"/>
    </row>
    <row r="683" ht="15.75" customHeight="1">
      <c r="E683" s="44"/>
      <c r="I683" s="44"/>
      <c r="N683" s="44"/>
      <c r="U683" s="44"/>
    </row>
    <row r="684" ht="15.75" customHeight="1">
      <c r="E684" s="44"/>
      <c r="I684" s="44"/>
      <c r="N684" s="44"/>
      <c r="U684" s="44"/>
    </row>
    <row r="685" ht="15.75" customHeight="1">
      <c r="E685" s="44"/>
      <c r="I685" s="44"/>
      <c r="N685" s="44"/>
      <c r="U685" s="44"/>
    </row>
    <row r="686" ht="15.75" customHeight="1">
      <c r="E686" s="44"/>
      <c r="I686" s="44"/>
      <c r="N686" s="44"/>
      <c r="U686" s="44"/>
    </row>
    <row r="687" ht="15.75" customHeight="1">
      <c r="E687" s="44"/>
      <c r="I687" s="44"/>
      <c r="N687" s="44"/>
      <c r="U687" s="44"/>
    </row>
    <row r="688" ht="15.75" customHeight="1">
      <c r="E688" s="44"/>
      <c r="I688" s="44"/>
      <c r="N688" s="44"/>
      <c r="U688" s="44"/>
    </row>
    <row r="689" ht="15.75" customHeight="1">
      <c r="E689" s="44"/>
      <c r="I689" s="44"/>
      <c r="N689" s="44"/>
      <c r="U689" s="44"/>
    </row>
    <row r="690" ht="15.75" customHeight="1">
      <c r="E690" s="44"/>
      <c r="I690" s="44"/>
      <c r="N690" s="44"/>
      <c r="U690" s="44"/>
    </row>
    <row r="691" ht="15.75" customHeight="1">
      <c r="E691" s="44"/>
      <c r="I691" s="44"/>
      <c r="N691" s="44"/>
      <c r="U691" s="44"/>
    </row>
    <row r="692" ht="15.75" customHeight="1">
      <c r="E692" s="44"/>
      <c r="I692" s="44"/>
      <c r="N692" s="44"/>
      <c r="U692" s="44"/>
    </row>
    <row r="693" ht="15.75" customHeight="1">
      <c r="E693" s="44"/>
      <c r="I693" s="44"/>
      <c r="N693" s="44"/>
      <c r="U693" s="44"/>
    </row>
    <row r="694" ht="15.75" customHeight="1">
      <c r="E694" s="44"/>
      <c r="I694" s="44"/>
      <c r="N694" s="44"/>
      <c r="U694" s="44"/>
    </row>
    <row r="695" ht="15.75" customHeight="1">
      <c r="E695" s="44"/>
      <c r="I695" s="44"/>
      <c r="N695" s="44"/>
      <c r="U695" s="44"/>
    </row>
    <row r="696" ht="15.75" customHeight="1">
      <c r="E696" s="44"/>
      <c r="I696" s="44"/>
      <c r="N696" s="44"/>
      <c r="U696" s="44"/>
    </row>
    <row r="697" ht="15.75" customHeight="1">
      <c r="E697" s="44"/>
      <c r="I697" s="44"/>
      <c r="N697" s="44"/>
      <c r="U697" s="44"/>
    </row>
    <row r="698" ht="15.75" customHeight="1">
      <c r="E698" s="44"/>
      <c r="I698" s="44"/>
      <c r="N698" s="44"/>
      <c r="U698" s="44"/>
    </row>
    <row r="699" ht="15.75" customHeight="1">
      <c r="E699" s="44"/>
      <c r="I699" s="44"/>
      <c r="N699" s="44"/>
      <c r="U699" s="44"/>
    </row>
    <row r="700" ht="15.75" customHeight="1">
      <c r="E700" s="44"/>
      <c r="I700" s="44"/>
      <c r="N700" s="44"/>
      <c r="U700" s="44"/>
    </row>
    <row r="701" ht="15.75" customHeight="1">
      <c r="E701" s="44"/>
      <c r="I701" s="44"/>
      <c r="N701" s="44"/>
      <c r="U701" s="44"/>
    </row>
    <row r="702" ht="15.75" customHeight="1">
      <c r="E702" s="44"/>
      <c r="I702" s="44"/>
      <c r="N702" s="44"/>
      <c r="U702" s="44"/>
    </row>
    <row r="703" ht="15.75" customHeight="1">
      <c r="E703" s="44"/>
      <c r="I703" s="44"/>
      <c r="N703" s="44"/>
      <c r="U703" s="44"/>
    </row>
    <row r="704" ht="15.75" customHeight="1">
      <c r="E704" s="44"/>
      <c r="I704" s="44"/>
      <c r="N704" s="44"/>
      <c r="U704" s="44"/>
    </row>
    <row r="705" ht="15.75" customHeight="1">
      <c r="E705" s="44"/>
      <c r="I705" s="44"/>
      <c r="N705" s="44"/>
      <c r="U705" s="44"/>
    </row>
    <row r="706" ht="15.75" customHeight="1">
      <c r="E706" s="44"/>
      <c r="I706" s="44"/>
      <c r="N706" s="44"/>
      <c r="U706" s="44"/>
    </row>
    <row r="707" ht="15.75" customHeight="1">
      <c r="E707" s="44"/>
      <c r="I707" s="44"/>
      <c r="N707" s="44"/>
      <c r="U707" s="44"/>
    </row>
    <row r="708" ht="15.75" customHeight="1">
      <c r="E708" s="44"/>
      <c r="I708" s="44"/>
      <c r="N708" s="44"/>
      <c r="U708" s="44"/>
    </row>
    <row r="709" ht="15.75" customHeight="1">
      <c r="E709" s="44"/>
      <c r="I709" s="44"/>
      <c r="N709" s="44"/>
      <c r="U709" s="44"/>
    </row>
    <row r="710" ht="15.75" customHeight="1">
      <c r="E710" s="44"/>
      <c r="I710" s="44"/>
      <c r="N710" s="44"/>
      <c r="U710" s="44"/>
    </row>
    <row r="711" ht="15.75" customHeight="1">
      <c r="E711" s="44"/>
      <c r="I711" s="44"/>
      <c r="N711" s="44"/>
      <c r="U711" s="44"/>
    </row>
    <row r="712" ht="15.75" customHeight="1">
      <c r="E712" s="44"/>
      <c r="I712" s="44"/>
      <c r="N712" s="44"/>
      <c r="U712" s="44"/>
    </row>
    <row r="713" ht="15.75" customHeight="1">
      <c r="E713" s="44"/>
      <c r="I713" s="44"/>
      <c r="N713" s="44"/>
      <c r="U713" s="44"/>
    </row>
    <row r="714" ht="15.75" customHeight="1">
      <c r="E714" s="44"/>
      <c r="I714" s="44"/>
      <c r="N714" s="44"/>
      <c r="U714" s="44"/>
    </row>
    <row r="715" ht="15.75" customHeight="1">
      <c r="E715" s="44"/>
      <c r="I715" s="44"/>
      <c r="N715" s="44"/>
      <c r="U715" s="44"/>
    </row>
    <row r="716" ht="15.75" customHeight="1">
      <c r="E716" s="44"/>
      <c r="I716" s="44"/>
      <c r="N716" s="44"/>
      <c r="U716" s="44"/>
    </row>
    <row r="717" ht="15.75" customHeight="1">
      <c r="E717" s="44"/>
      <c r="I717" s="44"/>
      <c r="N717" s="44"/>
      <c r="U717" s="44"/>
    </row>
    <row r="718" ht="15.75" customHeight="1">
      <c r="E718" s="44"/>
      <c r="I718" s="44"/>
      <c r="N718" s="44"/>
      <c r="U718" s="44"/>
    </row>
    <row r="719" ht="15.75" customHeight="1">
      <c r="E719" s="44"/>
      <c r="I719" s="44"/>
      <c r="N719" s="44"/>
      <c r="U719" s="44"/>
    </row>
    <row r="720" ht="15.75" customHeight="1">
      <c r="E720" s="44"/>
      <c r="I720" s="44"/>
      <c r="N720" s="44"/>
      <c r="U720" s="44"/>
    </row>
    <row r="721" ht="15.75" customHeight="1">
      <c r="E721" s="44"/>
      <c r="I721" s="44"/>
      <c r="N721" s="44"/>
      <c r="U721" s="44"/>
    </row>
    <row r="722" ht="15.75" customHeight="1">
      <c r="E722" s="44"/>
      <c r="I722" s="44"/>
      <c r="N722" s="44"/>
      <c r="U722" s="44"/>
    </row>
    <row r="723" ht="15.75" customHeight="1">
      <c r="E723" s="44"/>
      <c r="I723" s="44"/>
      <c r="N723" s="44"/>
      <c r="U723" s="44"/>
    </row>
    <row r="724" ht="15.75" customHeight="1">
      <c r="E724" s="44"/>
      <c r="I724" s="44"/>
      <c r="N724" s="44"/>
      <c r="U724" s="44"/>
    </row>
    <row r="725" ht="15.75" customHeight="1">
      <c r="E725" s="44"/>
      <c r="I725" s="44"/>
      <c r="N725" s="44"/>
      <c r="U725" s="44"/>
    </row>
    <row r="726" ht="15.75" customHeight="1">
      <c r="E726" s="44"/>
      <c r="I726" s="44"/>
      <c r="N726" s="44"/>
      <c r="U726" s="44"/>
    </row>
    <row r="727" ht="15.75" customHeight="1">
      <c r="E727" s="44"/>
      <c r="I727" s="44"/>
      <c r="N727" s="44"/>
      <c r="U727" s="44"/>
    </row>
    <row r="728" ht="15.75" customHeight="1">
      <c r="E728" s="44"/>
      <c r="I728" s="44"/>
      <c r="N728" s="44"/>
      <c r="U728" s="44"/>
    </row>
    <row r="729" ht="15.75" customHeight="1">
      <c r="E729" s="44"/>
      <c r="I729" s="44"/>
      <c r="N729" s="44"/>
      <c r="U729" s="44"/>
    </row>
    <row r="730" ht="15.75" customHeight="1">
      <c r="E730" s="44"/>
      <c r="I730" s="44"/>
      <c r="N730" s="44"/>
      <c r="U730" s="44"/>
    </row>
    <row r="731" ht="15.75" customHeight="1">
      <c r="E731" s="44"/>
      <c r="I731" s="44"/>
      <c r="N731" s="44"/>
      <c r="U731" s="44"/>
    </row>
    <row r="732" ht="15.75" customHeight="1">
      <c r="E732" s="44"/>
      <c r="I732" s="44"/>
      <c r="N732" s="44"/>
      <c r="U732" s="44"/>
    </row>
    <row r="733" ht="15.75" customHeight="1">
      <c r="E733" s="44"/>
      <c r="I733" s="44"/>
      <c r="N733" s="44"/>
      <c r="U733" s="44"/>
    </row>
    <row r="734" ht="15.75" customHeight="1">
      <c r="E734" s="44"/>
      <c r="I734" s="44"/>
      <c r="N734" s="44"/>
      <c r="U734" s="44"/>
    </row>
    <row r="735" ht="15.75" customHeight="1">
      <c r="E735" s="44"/>
      <c r="I735" s="44"/>
      <c r="N735" s="44"/>
      <c r="U735" s="44"/>
    </row>
    <row r="736" ht="15.75" customHeight="1">
      <c r="E736" s="44"/>
      <c r="I736" s="44"/>
      <c r="N736" s="44"/>
      <c r="U736" s="44"/>
    </row>
    <row r="737" ht="15.75" customHeight="1">
      <c r="E737" s="44"/>
      <c r="I737" s="44"/>
      <c r="N737" s="44"/>
      <c r="U737" s="44"/>
    </row>
    <row r="738" ht="15.75" customHeight="1">
      <c r="E738" s="44"/>
      <c r="I738" s="44"/>
      <c r="N738" s="44"/>
      <c r="U738" s="44"/>
    </row>
    <row r="739" ht="15.75" customHeight="1">
      <c r="E739" s="44"/>
      <c r="I739" s="44"/>
      <c r="N739" s="44"/>
      <c r="U739" s="44"/>
    </row>
    <row r="740" ht="15.75" customHeight="1">
      <c r="E740" s="44"/>
      <c r="I740" s="44"/>
      <c r="N740" s="44"/>
      <c r="U740" s="44"/>
    </row>
    <row r="741" ht="15.75" customHeight="1">
      <c r="E741" s="44"/>
      <c r="I741" s="44"/>
      <c r="N741" s="44"/>
      <c r="U741" s="44"/>
    </row>
    <row r="742" ht="15.75" customHeight="1">
      <c r="E742" s="44"/>
      <c r="I742" s="44"/>
      <c r="N742" s="44"/>
      <c r="U742" s="44"/>
    </row>
    <row r="743" ht="15.75" customHeight="1">
      <c r="E743" s="44"/>
      <c r="I743" s="44"/>
      <c r="N743" s="44"/>
      <c r="U743" s="44"/>
    </row>
    <row r="744" ht="15.75" customHeight="1">
      <c r="E744" s="44"/>
      <c r="I744" s="44"/>
      <c r="N744" s="44"/>
      <c r="U744" s="44"/>
    </row>
    <row r="745" ht="15.75" customHeight="1">
      <c r="E745" s="44"/>
      <c r="I745" s="44"/>
      <c r="N745" s="44"/>
      <c r="U745" s="44"/>
    </row>
    <row r="746" ht="15.75" customHeight="1">
      <c r="E746" s="44"/>
      <c r="I746" s="44"/>
      <c r="N746" s="44"/>
      <c r="U746" s="44"/>
    </row>
    <row r="747" ht="15.75" customHeight="1">
      <c r="E747" s="44"/>
      <c r="I747" s="44"/>
      <c r="N747" s="44"/>
      <c r="U747" s="44"/>
    </row>
    <row r="748" ht="15.75" customHeight="1">
      <c r="E748" s="44"/>
      <c r="I748" s="44"/>
      <c r="N748" s="44"/>
      <c r="U748" s="44"/>
    </row>
    <row r="749" ht="15.75" customHeight="1">
      <c r="E749" s="44"/>
      <c r="I749" s="44"/>
      <c r="N749" s="44"/>
      <c r="U749" s="44"/>
    </row>
    <row r="750" ht="15.75" customHeight="1">
      <c r="E750" s="44"/>
      <c r="I750" s="44"/>
      <c r="N750" s="44"/>
      <c r="U750" s="44"/>
    </row>
    <row r="751" ht="15.75" customHeight="1">
      <c r="E751" s="44"/>
      <c r="I751" s="44"/>
      <c r="N751" s="44"/>
      <c r="U751" s="44"/>
    </row>
    <row r="752" ht="15.75" customHeight="1">
      <c r="E752" s="44"/>
      <c r="I752" s="44"/>
      <c r="N752" s="44"/>
      <c r="U752" s="44"/>
    </row>
    <row r="753" ht="15.75" customHeight="1">
      <c r="E753" s="44"/>
      <c r="I753" s="44"/>
      <c r="N753" s="44"/>
      <c r="U753" s="44"/>
    </row>
    <row r="754" ht="15.75" customHeight="1">
      <c r="E754" s="44"/>
      <c r="I754" s="44"/>
      <c r="N754" s="44"/>
      <c r="U754" s="44"/>
    </row>
    <row r="755" ht="15.75" customHeight="1">
      <c r="E755" s="44"/>
      <c r="I755" s="44"/>
      <c r="N755" s="44"/>
      <c r="U755" s="44"/>
    </row>
    <row r="756" ht="15.75" customHeight="1">
      <c r="E756" s="44"/>
      <c r="I756" s="44"/>
      <c r="N756" s="44"/>
      <c r="U756" s="44"/>
    </row>
    <row r="757" ht="15.75" customHeight="1">
      <c r="E757" s="44"/>
      <c r="I757" s="44"/>
      <c r="N757" s="44"/>
      <c r="U757" s="44"/>
    </row>
    <row r="758" ht="15.75" customHeight="1">
      <c r="E758" s="44"/>
      <c r="I758" s="44"/>
      <c r="N758" s="44"/>
      <c r="U758" s="44"/>
    </row>
    <row r="759" ht="15.75" customHeight="1">
      <c r="E759" s="44"/>
      <c r="I759" s="44"/>
      <c r="N759" s="44"/>
      <c r="U759" s="44"/>
    </row>
    <row r="760" ht="15.75" customHeight="1">
      <c r="E760" s="44"/>
      <c r="I760" s="44"/>
      <c r="N760" s="44"/>
      <c r="U760" s="44"/>
    </row>
    <row r="761" ht="15.75" customHeight="1">
      <c r="E761" s="44"/>
      <c r="I761" s="44"/>
      <c r="N761" s="44"/>
      <c r="U761" s="44"/>
    </row>
    <row r="762" ht="15.75" customHeight="1">
      <c r="E762" s="44"/>
      <c r="I762" s="44"/>
      <c r="N762" s="44"/>
      <c r="U762" s="44"/>
    </row>
    <row r="763" ht="15.75" customHeight="1">
      <c r="E763" s="44"/>
      <c r="I763" s="44"/>
      <c r="N763" s="44"/>
      <c r="U763" s="44"/>
    </row>
    <row r="764" ht="15.75" customHeight="1">
      <c r="E764" s="44"/>
      <c r="I764" s="44"/>
      <c r="N764" s="44"/>
      <c r="U764" s="44"/>
    </row>
    <row r="765" ht="15.75" customHeight="1">
      <c r="E765" s="44"/>
      <c r="I765" s="44"/>
      <c r="N765" s="44"/>
      <c r="U765" s="44"/>
    </row>
    <row r="766" ht="15.75" customHeight="1">
      <c r="E766" s="44"/>
      <c r="I766" s="44"/>
      <c r="N766" s="44"/>
      <c r="U766" s="44"/>
    </row>
    <row r="767" ht="15.75" customHeight="1">
      <c r="E767" s="44"/>
      <c r="I767" s="44"/>
      <c r="N767" s="44"/>
      <c r="U767" s="44"/>
    </row>
    <row r="768" ht="15.75" customHeight="1">
      <c r="E768" s="44"/>
      <c r="I768" s="44"/>
      <c r="N768" s="44"/>
      <c r="U768" s="44"/>
    </row>
    <row r="769" ht="15.75" customHeight="1">
      <c r="E769" s="44"/>
      <c r="I769" s="44"/>
      <c r="N769" s="44"/>
      <c r="U769" s="44"/>
    </row>
    <row r="770" ht="15.75" customHeight="1">
      <c r="E770" s="44"/>
      <c r="I770" s="44"/>
      <c r="N770" s="44"/>
      <c r="U770" s="44"/>
    </row>
    <row r="771" ht="15.75" customHeight="1">
      <c r="E771" s="44"/>
      <c r="I771" s="44"/>
      <c r="N771" s="44"/>
      <c r="U771" s="44"/>
    </row>
    <row r="772" ht="15.75" customHeight="1">
      <c r="E772" s="44"/>
      <c r="I772" s="44"/>
      <c r="N772" s="44"/>
      <c r="U772" s="44"/>
    </row>
    <row r="773" ht="15.75" customHeight="1">
      <c r="E773" s="44"/>
      <c r="I773" s="44"/>
      <c r="N773" s="44"/>
      <c r="U773" s="44"/>
    </row>
    <row r="774" ht="15.75" customHeight="1">
      <c r="E774" s="44"/>
      <c r="I774" s="44"/>
      <c r="N774" s="44"/>
      <c r="U774" s="44"/>
    </row>
    <row r="775" ht="15.75" customHeight="1">
      <c r="E775" s="44"/>
      <c r="I775" s="44"/>
      <c r="N775" s="44"/>
      <c r="U775" s="44"/>
    </row>
    <row r="776" ht="15.75" customHeight="1">
      <c r="E776" s="44"/>
      <c r="I776" s="44"/>
      <c r="N776" s="44"/>
      <c r="U776" s="44"/>
    </row>
    <row r="777" ht="15.75" customHeight="1">
      <c r="E777" s="44"/>
      <c r="I777" s="44"/>
      <c r="N777" s="44"/>
      <c r="U777" s="44"/>
    </row>
    <row r="778" ht="15.75" customHeight="1">
      <c r="E778" s="44"/>
      <c r="I778" s="44"/>
      <c r="N778" s="44"/>
      <c r="U778" s="44"/>
    </row>
    <row r="779" ht="15.75" customHeight="1">
      <c r="E779" s="44"/>
      <c r="I779" s="44"/>
      <c r="N779" s="44"/>
      <c r="U779" s="44"/>
    </row>
    <row r="780" ht="15.75" customHeight="1">
      <c r="E780" s="44"/>
      <c r="I780" s="44"/>
      <c r="N780" s="44"/>
      <c r="U780" s="44"/>
    </row>
    <row r="781" ht="15.75" customHeight="1">
      <c r="E781" s="44"/>
      <c r="I781" s="44"/>
      <c r="N781" s="44"/>
      <c r="U781" s="44"/>
    </row>
    <row r="782" ht="15.75" customHeight="1">
      <c r="E782" s="44"/>
      <c r="I782" s="44"/>
      <c r="N782" s="44"/>
      <c r="U782" s="44"/>
    </row>
    <row r="783" ht="15.75" customHeight="1">
      <c r="E783" s="44"/>
      <c r="I783" s="44"/>
      <c r="N783" s="44"/>
      <c r="U783" s="44"/>
    </row>
    <row r="784" ht="15.75" customHeight="1">
      <c r="E784" s="44"/>
      <c r="I784" s="44"/>
      <c r="N784" s="44"/>
      <c r="U784" s="44"/>
    </row>
    <row r="785" ht="15.75" customHeight="1">
      <c r="E785" s="44"/>
      <c r="I785" s="44"/>
      <c r="N785" s="44"/>
      <c r="U785" s="44"/>
    </row>
    <row r="786" ht="15.75" customHeight="1">
      <c r="E786" s="44"/>
      <c r="I786" s="44"/>
      <c r="N786" s="44"/>
      <c r="U786" s="44"/>
    </row>
    <row r="787" ht="15.75" customHeight="1">
      <c r="E787" s="44"/>
      <c r="I787" s="44"/>
      <c r="N787" s="44"/>
      <c r="U787" s="44"/>
    </row>
    <row r="788" ht="15.75" customHeight="1">
      <c r="E788" s="44"/>
      <c r="I788" s="44"/>
      <c r="N788" s="44"/>
      <c r="U788" s="44"/>
    </row>
    <row r="789" ht="15.75" customHeight="1">
      <c r="E789" s="44"/>
      <c r="I789" s="44"/>
      <c r="N789" s="44"/>
      <c r="U789" s="44"/>
    </row>
    <row r="790" ht="15.75" customHeight="1">
      <c r="E790" s="44"/>
      <c r="I790" s="44"/>
      <c r="N790" s="44"/>
      <c r="U790" s="44"/>
    </row>
    <row r="791" ht="15.75" customHeight="1">
      <c r="E791" s="44"/>
      <c r="I791" s="44"/>
      <c r="N791" s="44"/>
      <c r="U791" s="44"/>
    </row>
    <row r="792" ht="15.75" customHeight="1">
      <c r="E792" s="44"/>
      <c r="I792" s="44"/>
      <c r="N792" s="44"/>
      <c r="U792" s="44"/>
    </row>
    <row r="793" ht="15.75" customHeight="1">
      <c r="E793" s="44"/>
      <c r="I793" s="44"/>
      <c r="N793" s="44"/>
      <c r="U793" s="44"/>
    </row>
    <row r="794" ht="15.75" customHeight="1">
      <c r="E794" s="44"/>
      <c r="I794" s="44"/>
      <c r="N794" s="44"/>
      <c r="U794" s="44"/>
    </row>
    <row r="795" ht="15.75" customHeight="1">
      <c r="E795" s="44"/>
      <c r="I795" s="44"/>
      <c r="N795" s="44"/>
      <c r="U795" s="44"/>
    </row>
    <row r="796" ht="15.75" customHeight="1">
      <c r="E796" s="44"/>
      <c r="I796" s="44"/>
      <c r="N796" s="44"/>
      <c r="U796" s="44"/>
    </row>
    <row r="797" ht="15.75" customHeight="1">
      <c r="E797" s="44"/>
      <c r="I797" s="44"/>
      <c r="N797" s="44"/>
      <c r="U797" s="44"/>
    </row>
    <row r="798" ht="15.75" customHeight="1">
      <c r="E798" s="44"/>
      <c r="I798" s="44"/>
      <c r="N798" s="44"/>
      <c r="U798" s="44"/>
    </row>
    <row r="799" ht="15.75" customHeight="1">
      <c r="E799" s="44"/>
      <c r="I799" s="44"/>
      <c r="N799" s="44"/>
      <c r="U799" s="44"/>
    </row>
    <row r="800" ht="15.75" customHeight="1">
      <c r="E800" s="44"/>
      <c r="I800" s="44"/>
      <c r="N800" s="44"/>
      <c r="U800" s="44"/>
    </row>
    <row r="801" ht="15.75" customHeight="1">
      <c r="E801" s="44"/>
      <c r="I801" s="44"/>
      <c r="N801" s="44"/>
      <c r="U801" s="44"/>
    </row>
    <row r="802" ht="15.75" customHeight="1">
      <c r="E802" s="44"/>
      <c r="I802" s="44"/>
      <c r="N802" s="44"/>
      <c r="U802" s="44"/>
    </row>
    <row r="803" ht="15.75" customHeight="1">
      <c r="E803" s="44"/>
      <c r="I803" s="44"/>
      <c r="N803" s="44"/>
      <c r="U803" s="44"/>
    </row>
    <row r="804" ht="15.75" customHeight="1">
      <c r="E804" s="44"/>
      <c r="I804" s="44"/>
      <c r="N804" s="44"/>
      <c r="U804" s="44"/>
    </row>
    <row r="805" ht="15.75" customHeight="1">
      <c r="E805" s="44"/>
      <c r="I805" s="44"/>
      <c r="N805" s="44"/>
      <c r="U805" s="44"/>
    </row>
    <row r="806" ht="15.75" customHeight="1">
      <c r="E806" s="44"/>
      <c r="I806" s="44"/>
      <c r="N806" s="44"/>
      <c r="U806" s="44"/>
    </row>
    <row r="807" ht="15.75" customHeight="1">
      <c r="E807" s="44"/>
      <c r="I807" s="44"/>
      <c r="N807" s="44"/>
      <c r="U807" s="44"/>
    </row>
    <row r="808" ht="15.75" customHeight="1">
      <c r="E808" s="44"/>
      <c r="I808" s="44"/>
      <c r="N808" s="44"/>
      <c r="U808" s="44"/>
    </row>
    <row r="809" ht="15.75" customHeight="1">
      <c r="E809" s="44"/>
      <c r="I809" s="44"/>
      <c r="N809" s="44"/>
      <c r="U809" s="44"/>
    </row>
    <row r="810" ht="15.75" customHeight="1">
      <c r="E810" s="44"/>
      <c r="I810" s="44"/>
      <c r="N810" s="44"/>
      <c r="U810" s="44"/>
    </row>
    <row r="811" ht="15.75" customHeight="1">
      <c r="E811" s="44"/>
      <c r="I811" s="44"/>
      <c r="N811" s="44"/>
      <c r="U811" s="44"/>
    </row>
    <row r="812" ht="15.75" customHeight="1">
      <c r="E812" s="44"/>
      <c r="I812" s="44"/>
      <c r="N812" s="44"/>
      <c r="U812" s="44"/>
    </row>
    <row r="813" ht="15.75" customHeight="1">
      <c r="E813" s="44"/>
      <c r="I813" s="44"/>
      <c r="N813" s="44"/>
      <c r="U813" s="44"/>
    </row>
    <row r="814" ht="15.75" customHeight="1">
      <c r="E814" s="44"/>
      <c r="I814" s="44"/>
      <c r="N814" s="44"/>
      <c r="U814" s="44"/>
    </row>
    <row r="815" ht="15.75" customHeight="1">
      <c r="E815" s="44"/>
      <c r="I815" s="44"/>
      <c r="N815" s="44"/>
      <c r="U815" s="44"/>
    </row>
    <row r="816" ht="15.75" customHeight="1">
      <c r="E816" s="44"/>
      <c r="I816" s="44"/>
      <c r="N816" s="44"/>
      <c r="U816" s="44"/>
    </row>
    <row r="817" ht="15.75" customHeight="1">
      <c r="E817" s="44"/>
      <c r="I817" s="44"/>
      <c r="N817" s="44"/>
      <c r="U817" s="44"/>
    </row>
    <row r="818" ht="15.75" customHeight="1">
      <c r="E818" s="44"/>
      <c r="I818" s="44"/>
      <c r="N818" s="44"/>
      <c r="U818" s="44"/>
    </row>
    <row r="819" ht="15.75" customHeight="1">
      <c r="E819" s="44"/>
      <c r="I819" s="44"/>
      <c r="N819" s="44"/>
      <c r="U819" s="44"/>
    </row>
    <row r="820" ht="15.75" customHeight="1">
      <c r="E820" s="44"/>
      <c r="I820" s="44"/>
      <c r="N820" s="44"/>
      <c r="U820" s="44"/>
    </row>
    <row r="821" ht="15.75" customHeight="1">
      <c r="E821" s="44"/>
      <c r="I821" s="44"/>
      <c r="N821" s="44"/>
      <c r="U821" s="44"/>
    </row>
    <row r="822" ht="15.75" customHeight="1">
      <c r="E822" s="44"/>
      <c r="I822" s="44"/>
      <c r="N822" s="44"/>
      <c r="U822" s="44"/>
    </row>
    <row r="823" ht="15.75" customHeight="1">
      <c r="E823" s="44"/>
      <c r="I823" s="44"/>
      <c r="N823" s="44"/>
      <c r="U823" s="44"/>
    </row>
    <row r="824" ht="15.75" customHeight="1">
      <c r="E824" s="44"/>
      <c r="I824" s="44"/>
      <c r="N824" s="44"/>
      <c r="U824" s="44"/>
    </row>
    <row r="825" ht="15.75" customHeight="1">
      <c r="E825" s="44"/>
      <c r="I825" s="44"/>
      <c r="N825" s="44"/>
      <c r="U825" s="44"/>
    </row>
    <row r="826" ht="15.75" customHeight="1">
      <c r="E826" s="44"/>
      <c r="I826" s="44"/>
      <c r="N826" s="44"/>
      <c r="U826" s="44"/>
    </row>
    <row r="827" ht="15.75" customHeight="1">
      <c r="E827" s="44"/>
      <c r="I827" s="44"/>
      <c r="N827" s="44"/>
      <c r="U827" s="44"/>
    </row>
    <row r="828" ht="15.75" customHeight="1">
      <c r="E828" s="44"/>
      <c r="I828" s="44"/>
      <c r="N828" s="44"/>
      <c r="U828" s="44"/>
    </row>
    <row r="829" ht="15.75" customHeight="1">
      <c r="E829" s="44"/>
      <c r="I829" s="44"/>
      <c r="N829" s="44"/>
      <c r="U829" s="44"/>
    </row>
    <row r="830" ht="15.75" customHeight="1">
      <c r="E830" s="44"/>
      <c r="I830" s="44"/>
      <c r="N830" s="44"/>
      <c r="U830" s="44"/>
    </row>
    <row r="831" ht="15.75" customHeight="1">
      <c r="E831" s="44"/>
      <c r="I831" s="44"/>
      <c r="N831" s="44"/>
      <c r="U831" s="44"/>
    </row>
    <row r="832" ht="15.75" customHeight="1">
      <c r="E832" s="44"/>
      <c r="I832" s="44"/>
      <c r="N832" s="44"/>
      <c r="U832" s="44"/>
    </row>
    <row r="833" ht="15.75" customHeight="1">
      <c r="E833" s="44"/>
      <c r="I833" s="44"/>
      <c r="N833" s="44"/>
      <c r="U833" s="44"/>
    </row>
    <row r="834" ht="15.75" customHeight="1">
      <c r="E834" s="44"/>
      <c r="I834" s="44"/>
      <c r="N834" s="44"/>
      <c r="U834" s="44"/>
    </row>
    <row r="835" ht="15.75" customHeight="1">
      <c r="E835" s="44"/>
      <c r="I835" s="44"/>
      <c r="N835" s="44"/>
      <c r="U835" s="44"/>
    </row>
    <row r="836" ht="15.75" customHeight="1">
      <c r="E836" s="44"/>
      <c r="I836" s="44"/>
      <c r="N836" s="44"/>
      <c r="U836" s="44"/>
    </row>
    <row r="837" ht="15.75" customHeight="1">
      <c r="E837" s="44"/>
      <c r="I837" s="44"/>
      <c r="N837" s="44"/>
      <c r="U837" s="44"/>
    </row>
    <row r="838" ht="15.75" customHeight="1">
      <c r="E838" s="44"/>
      <c r="I838" s="44"/>
      <c r="N838" s="44"/>
      <c r="U838" s="44"/>
    </row>
    <row r="839" ht="15.75" customHeight="1">
      <c r="E839" s="44"/>
      <c r="I839" s="44"/>
      <c r="N839" s="44"/>
      <c r="U839" s="44"/>
    </row>
    <row r="840" ht="15.75" customHeight="1">
      <c r="E840" s="44"/>
      <c r="I840" s="44"/>
      <c r="N840" s="44"/>
      <c r="U840" s="44"/>
    </row>
    <row r="841" ht="15.75" customHeight="1">
      <c r="E841" s="44"/>
      <c r="I841" s="44"/>
      <c r="N841" s="44"/>
      <c r="U841" s="44"/>
    </row>
    <row r="842" ht="15.75" customHeight="1">
      <c r="E842" s="44"/>
      <c r="I842" s="44"/>
      <c r="N842" s="44"/>
      <c r="U842" s="44"/>
    </row>
    <row r="843" ht="15.75" customHeight="1">
      <c r="E843" s="44"/>
      <c r="I843" s="44"/>
      <c r="N843" s="44"/>
      <c r="U843" s="44"/>
    </row>
    <row r="844" ht="15.75" customHeight="1">
      <c r="E844" s="44"/>
      <c r="I844" s="44"/>
      <c r="N844" s="44"/>
      <c r="U844" s="44"/>
    </row>
    <row r="845" ht="15.75" customHeight="1">
      <c r="E845" s="44"/>
      <c r="I845" s="44"/>
      <c r="N845" s="44"/>
      <c r="U845" s="44"/>
    </row>
    <row r="846" ht="15.75" customHeight="1">
      <c r="E846" s="44"/>
      <c r="I846" s="44"/>
      <c r="N846" s="44"/>
      <c r="U846" s="44"/>
    </row>
    <row r="847" ht="15.75" customHeight="1">
      <c r="E847" s="44"/>
      <c r="I847" s="44"/>
      <c r="N847" s="44"/>
      <c r="U847" s="44"/>
    </row>
    <row r="848" ht="15.75" customHeight="1">
      <c r="E848" s="44"/>
      <c r="I848" s="44"/>
      <c r="N848" s="44"/>
      <c r="U848" s="44"/>
    </row>
    <row r="849" ht="15.75" customHeight="1">
      <c r="E849" s="44"/>
      <c r="I849" s="44"/>
      <c r="N849" s="44"/>
      <c r="U849" s="44"/>
    </row>
    <row r="850" ht="15.75" customHeight="1">
      <c r="E850" s="44"/>
      <c r="I850" s="44"/>
      <c r="N850" s="44"/>
      <c r="U850" s="44"/>
    </row>
    <row r="851" ht="15.75" customHeight="1">
      <c r="E851" s="44"/>
      <c r="I851" s="44"/>
      <c r="N851" s="44"/>
      <c r="U851" s="44"/>
    </row>
    <row r="852" ht="15.75" customHeight="1">
      <c r="E852" s="44"/>
      <c r="I852" s="44"/>
      <c r="N852" s="44"/>
      <c r="U852" s="44"/>
    </row>
    <row r="853" ht="15.75" customHeight="1">
      <c r="E853" s="44"/>
      <c r="I853" s="44"/>
      <c r="N853" s="44"/>
      <c r="U853" s="44"/>
    </row>
    <row r="854" ht="15.75" customHeight="1">
      <c r="E854" s="44"/>
      <c r="I854" s="44"/>
      <c r="N854" s="44"/>
      <c r="U854" s="44"/>
    </row>
    <row r="855" ht="15.75" customHeight="1">
      <c r="E855" s="44"/>
      <c r="I855" s="44"/>
      <c r="N855" s="44"/>
      <c r="U855" s="44"/>
    </row>
    <row r="856" ht="15.75" customHeight="1">
      <c r="E856" s="44"/>
      <c r="I856" s="44"/>
      <c r="N856" s="44"/>
      <c r="U856" s="44"/>
    </row>
    <row r="857" ht="15.75" customHeight="1">
      <c r="E857" s="44"/>
      <c r="I857" s="44"/>
      <c r="N857" s="44"/>
      <c r="U857" s="44"/>
    </row>
    <row r="858" ht="15.75" customHeight="1">
      <c r="E858" s="44"/>
      <c r="I858" s="44"/>
      <c r="N858" s="44"/>
      <c r="U858" s="44"/>
    </row>
    <row r="859" ht="15.75" customHeight="1">
      <c r="E859" s="44"/>
      <c r="I859" s="44"/>
      <c r="N859" s="44"/>
      <c r="U859" s="44"/>
    </row>
    <row r="860" ht="15.75" customHeight="1">
      <c r="E860" s="44"/>
      <c r="I860" s="44"/>
      <c r="N860" s="44"/>
      <c r="U860" s="44"/>
    </row>
    <row r="861" ht="15.75" customHeight="1">
      <c r="E861" s="44"/>
      <c r="I861" s="44"/>
      <c r="N861" s="44"/>
      <c r="U861" s="44"/>
    </row>
    <row r="862" ht="15.75" customHeight="1">
      <c r="E862" s="44"/>
      <c r="I862" s="44"/>
      <c r="N862" s="44"/>
      <c r="U862" s="44"/>
    </row>
    <row r="863" ht="15.75" customHeight="1">
      <c r="E863" s="44"/>
      <c r="I863" s="44"/>
      <c r="N863" s="44"/>
      <c r="U863" s="44"/>
    </row>
    <row r="864" ht="15.75" customHeight="1">
      <c r="E864" s="44"/>
      <c r="I864" s="44"/>
      <c r="N864" s="44"/>
      <c r="U864" s="44"/>
    </row>
    <row r="865" ht="15.75" customHeight="1">
      <c r="E865" s="44"/>
      <c r="I865" s="44"/>
      <c r="N865" s="44"/>
      <c r="U865" s="44"/>
    </row>
    <row r="866" ht="15.75" customHeight="1">
      <c r="E866" s="44"/>
      <c r="I866" s="44"/>
      <c r="N866" s="44"/>
      <c r="U866" s="44"/>
    </row>
    <row r="867" ht="15.75" customHeight="1">
      <c r="E867" s="44"/>
      <c r="I867" s="44"/>
      <c r="N867" s="44"/>
      <c r="U867" s="44"/>
    </row>
    <row r="868" ht="15.75" customHeight="1">
      <c r="E868" s="44"/>
      <c r="I868" s="44"/>
      <c r="N868" s="44"/>
      <c r="U868" s="44"/>
    </row>
    <row r="869" ht="15.75" customHeight="1">
      <c r="E869" s="44"/>
      <c r="I869" s="44"/>
      <c r="N869" s="44"/>
      <c r="U869" s="44"/>
    </row>
    <row r="870" ht="15.75" customHeight="1">
      <c r="E870" s="44"/>
      <c r="I870" s="44"/>
      <c r="N870" s="44"/>
      <c r="U870" s="44"/>
    </row>
    <row r="871" ht="15.75" customHeight="1">
      <c r="E871" s="44"/>
      <c r="I871" s="44"/>
      <c r="N871" s="44"/>
      <c r="U871" s="44"/>
    </row>
    <row r="872" ht="15.75" customHeight="1">
      <c r="E872" s="44"/>
      <c r="I872" s="44"/>
      <c r="N872" s="44"/>
      <c r="U872" s="44"/>
    </row>
    <row r="873" ht="15.75" customHeight="1">
      <c r="E873" s="44"/>
      <c r="I873" s="44"/>
      <c r="N873" s="44"/>
      <c r="U873" s="44"/>
    </row>
    <row r="874" ht="15.75" customHeight="1">
      <c r="E874" s="44"/>
      <c r="I874" s="44"/>
      <c r="N874" s="44"/>
      <c r="U874" s="44"/>
    </row>
    <row r="875" ht="15.75" customHeight="1">
      <c r="E875" s="44"/>
      <c r="I875" s="44"/>
      <c r="N875" s="44"/>
      <c r="U875" s="44"/>
    </row>
    <row r="876" ht="15.75" customHeight="1">
      <c r="E876" s="44"/>
      <c r="I876" s="44"/>
      <c r="N876" s="44"/>
      <c r="U876" s="44"/>
    </row>
    <row r="877" ht="15.75" customHeight="1">
      <c r="E877" s="44"/>
      <c r="I877" s="44"/>
      <c r="N877" s="44"/>
      <c r="U877" s="44"/>
    </row>
    <row r="878" ht="15.75" customHeight="1">
      <c r="E878" s="44"/>
      <c r="I878" s="44"/>
      <c r="N878" s="44"/>
      <c r="U878" s="44"/>
    </row>
    <row r="879" ht="15.75" customHeight="1">
      <c r="E879" s="44"/>
      <c r="I879" s="44"/>
      <c r="N879" s="44"/>
      <c r="U879" s="44"/>
    </row>
    <row r="880" ht="15.75" customHeight="1">
      <c r="E880" s="44"/>
      <c r="I880" s="44"/>
      <c r="N880" s="44"/>
      <c r="U880" s="44"/>
    </row>
    <row r="881" ht="15.75" customHeight="1">
      <c r="E881" s="44"/>
      <c r="I881" s="44"/>
      <c r="N881" s="44"/>
      <c r="U881" s="44"/>
    </row>
    <row r="882" ht="15.75" customHeight="1">
      <c r="E882" s="44"/>
      <c r="I882" s="44"/>
      <c r="N882" s="44"/>
      <c r="U882" s="44"/>
    </row>
    <row r="883" ht="15.75" customHeight="1">
      <c r="E883" s="44"/>
      <c r="I883" s="44"/>
      <c r="N883" s="44"/>
      <c r="U883" s="44"/>
    </row>
    <row r="884" ht="15.75" customHeight="1">
      <c r="E884" s="44"/>
      <c r="I884" s="44"/>
      <c r="N884" s="44"/>
      <c r="U884" s="44"/>
    </row>
    <row r="885" ht="15.75" customHeight="1">
      <c r="E885" s="44"/>
      <c r="I885" s="44"/>
      <c r="N885" s="44"/>
      <c r="U885" s="44"/>
    </row>
    <row r="886" ht="15.75" customHeight="1">
      <c r="E886" s="44"/>
      <c r="I886" s="44"/>
      <c r="N886" s="44"/>
      <c r="U886" s="44"/>
    </row>
    <row r="887" ht="15.75" customHeight="1">
      <c r="E887" s="44"/>
      <c r="I887" s="44"/>
      <c r="N887" s="44"/>
      <c r="U887" s="44"/>
    </row>
    <row r="888" ht="15.75" customHeight="1">
      <c r="E888" s="44"/>
      <c r="I888" s="44"/>
      <c r="N888" s="44"/>
      <c r="U888" s="44"/>
    </row>
    <row r="889" ht="15.75" customHeight="1">
      <c r="E889" s="44"/>
      <c r="I889" s="44"/>
      <c r="N889" s="44"/>
      <c r="U889" s="44"/>
    </row>
    <row r="890" ht="15.75" customHeight="1">
      <c r="E890" s="44"/>
      <c r="I890" s="44"/>
      <c r="N890" s="44"/>
      <c r="U890" s="44"/>
    </row>
    <row r="891" ht="15.75" customHeight="1">
      <c r="E891" s="44"/>
      <c r="I891" s="44"/>
      <c r="N891" s="44"/>
      <c r="U891" s="44"/>
    </row>
    <row r="892" ht="15.75" customHeight="1">
      <c r="E892" s="44"/>
      <c r="I892" s="44"/>
      <c r="N892" s="44"/>
      <c r="U892" s="44"/>
    </row>
    <row r="893" ht="15.75" customHeight="1">
      <c r="E893" s="44"/>
      <c r="I893" s="44"/>
      <c r="N893" s="44"/>
      <c r="U893" s="44"/>
    </row>
    <row r="894" ht="15.75" customHeight="1">
      <c r="E894" s="44"/>
      <c r="I894" s="44"/>
      <c r="N894" s="44"/>
      <c r="U894" s="44"/>
    </row>
    <row r="895" ht="15.75" customHeight="1">
      <c r="E895" s="44"/>
      <c r="I895" s="44"/>
      <c r="N895" s="44"/>
      <c r="U895" s="44"/>
    </row>
    <row r="896" ht="15.75" customHeight="1">
      <c r="E896" s="44"/>
      <c r="I896" s="44"/>
      <c r="N896" s="44"/>
      <c r="U896" s="44"/>
    </row>
    <row r="897" ht="15.75" customHeight="1">
      <c r="E897" s="44"/>
      <c r="I897" s="44"/>
      <c r="N897" s="44"/>
      <c r="U897" s="44"/>
    </row>
    <row r="898" ht="15.75" customHeight="1">
      <c r="E898" s="44"/>
      <c r="I898" s="44"/>
      <c r="N898" s="44"/>
      <c r="U898" s="44"/>
    </row>
    <row r="899" ht="15.75" customHeight="1">
      <c r="E899" s="44"/>
      <c r="I899" s="44"/>
      <c r="N899" s="44"/>
      <c r="U899" s="44"/>
    </row>
    <row r="900" ht="15.75" customHeight="1">
      <c r="E900" s="44"/>
      <c r="I900" s="44"/>
      <c r="N900" s="44"/>
      <c r="U900" s="44"/>
    </row>
    <row r="901" ht="15.75" customHeight="1">
      <c r="E901" s="44"/>
      <c r="I901" s="44"/>
      <c r="N901" s="44"/>
      <c r="U901" s="44"/>
    </row>
    <row r="902" ht="15.75" customHeight="1">
      <c r="E902" s="44"/>
      <c r="I902" s="44"/>
      <c r="N902" s="44"/>
      <c r="U902" s="44"/>
    </row>
    <row r="903" ht="15.75" customHeight="1">
      <c r="E903" s="44"/>
      <c r="I903" s="44"/>
      <c r="N903" s="44"/>
      <c r="U903" s="44"/>
    </row>
    <row r="904" ht="15.75" customHeight="1">
      <c r="E904" s="44"/>
      <c r="I904" s="44"/>
      <c r="N904" s="44"/>
      <c r="U904" s="44"/>
    </row>
    <row r="905" ht="15.75" customHeight="1">
      <c r="E905" s="44"/>
      <c r="I905" s="44"/>
      <c r="N905" s="44"/>
      <c r="U905" s="44"/>
    </row>
    <row r="906" ht="15.75" customHeight="1">
      <c r="E906" s="44"/>
      <c r="I906" s="44"/>
      <c r="N906" s="44"/>
      <c r="U906" s="44"/>
    </row>
    <row r="907" ht="15.75" customHeight="1">
      <c r="E907" s="44"/>
      <c r="I907" s="44"/>
      <c r="N907" s="44"/>
      <c r="U907" s="44"/>
    </row>
    <row r="908" ht="15.75" customHeight="1">
      <c r="E908" s="44"/>
      <c r="I908" s="44"/>
      <c r="N908" s="44"/>
      <c r="U908" s="44"/>
    </row>
    <row r="909" ht="15.75" customHeight="1">
      <c r="E909" s="44"/>
      <c r="I909" s="44"/>
      <c r="N909" s="44"/>
      <c r="U909" s="44"/>
    </row>
    <row r="910" ht="15.75" customHeight="1">
      <c r="E910" s="44"/>
      <c r="I910" s="44"/>
      <c r="N910" s="44"/>
      <c r="U910" s="44"/>
    </row>
    <row r="911" ht="15.75" customHeight="1">
      <c r="E911" s="44"/>
      <c r="I911" s="44"/>
      <c r="N911" s="44"/>
      <c r="U911" s="44"/>
    </row>
    <row r="912" ht="15.75" customHeight="1">
      <c r="E912" s="44"/>
      <c r="I912" s="44"/>
      <c r="N912" s="44"/>
      <c r="U912" s="44"/>
    </row>
    <row r="913" ht="15.75" customHeight="1">
      <c r="E913" s="44"/>
      <c r="I913" s="44"/>
      <c r="N913" s="44"/>
      <c r="U913" s="44"/>
    </row>
    <row r="914" ht="15.75" customHeight="1">
      <c r="E914" s="44"/>
      <c r="I914" s="44"/>
      <c r="N914" s="44"/>
      <c r="U914" s="44"/>
    </row>
    <row r="915" ht="15.75" customHeight="1">
      <c r="E915" s="44"/>
      <c r="I915" s="44"/>
      <c r="N915" s="44"/>
      <c r="U915" s="44"/>
    </row>
    <row r="916" ht="15.75" customHeight="1">
      <c r="E916" s="44"/>
      <c r="I916" s="44"/>
      <c r="N916" s="44"/>
      <c r="U916" s="44"/>
    </row>
    <row r="917" ht="15.75" customHeight="1">
      <c r="E917" s="44"/>
      <c r="I917" s="44"/>
      <c r="N917" s="44"/>
      <c r="U917" s="44"/>
    </row>
    <row r="918" ht="15.75" customHeight="1">
      <c r="E918" s="44"/>
      <c r="I918" s="44"/>
      <c r="N918" s="44"/>
      <c r="U918" s="44"/>
    </row>
    <row r="919" ht="15.75" customHeight="1">
      <c r="E919" s="44"/>
      <c r="I919" s="44"/>
      <c r="N919" s="44"/>
      <c r="U919" s="44"/>
    </row>
    <row r="920" ht="15.75" customHeight="1">
      <c r="E920" s="44"/>
      <c r="I920" s="44"/>
      <c r="N920" s="44"/>
      <c r="U920" s="44"/>
    </row>
    <row r="921" ht="15.75" customHeight="1">
      <c r="E921" s="44"/>
      <c r="I921" s="44"/>
      <c r="N921" s="44"/>
      <c r="U921" s="44"/>
    </row>
    <row r="922" ht="15.75" customHeight="1">
      <c r="E922" s="44"/>
      <c r="I922" s="44"/>
      <c r="N922" s="44"/>
      <c r="U922" s="44"/>
    </row>
    <row r="923" ht="15.75" customHeight="1">
      <c r="E923" s="44"/>
      <c r="I923" s="44"/>
      <c r="N923" s="44"/>
      <c r="U923" s="44"/>
    </row>
    <row r="924" ht="15.75" customHeight="1">
      <c r="E924" s="44"/>
      <c r="I924" s="44"/>
      <c r="N924" s="44"/>
      <c r="U924" s="44"/>
    </row>
    <row r="925" ht="15.75" customHeight="1">
      <c r="E925" s="44"/>
      <c r="I925" s="44"/>
      <c r="N925" s="44"/>
      <c r="U925" s="44"/>
    </row>
    <row r="926" ht="15.75" customHeight="1">
      <c r="E926" s="44"/>
      <c r="I926" s="44"/>
      <c r="N926" s="44"/>
      <c r="U926" s="44"/>
    </row>
    <row r="927" ht="15.75" customHeight="1">
      <c r="E927" s="44"/>
      <c r="I927" s="44"/>
      <c r="N927" s="44"/>
      <c r="U927" s="44"/>
    </row>
    <row r="928" ht="15.75" customHeight="1">
      <c r="E928" s="44"/>
      <c r="I928" s="44"/>
      <c r="N928" s="44"/>
      <c r="U928" s="44"/>
    </row>
    <row r="929" ht="15.75" customHeight="1">
      <c r="E929" s="44"/>
      <c r="I929" s="44"/>
      <c r="N929" s="44"/>
      <c r="U929" s="44"/>
    </row>
    <row r="930" ht="15.75" customHeight="1">
      <c r="E930" s="44"/>
      <c r="I930" s="44"/>
      <c r="N930" s="44"/>
      <c r="U930" s="44"/>
    </row>
    <row r="931" ht="15.75" customHeight="1">
      <c r="E931" s="44"/>
      <c r="I931" s="44"/>
      <c r="N931" s="44"/>
      <c r="U931" s="44"/>
    </row>
    <row r="932" ht="15.75" customHeight="1">
      <c r="E932" s="44"/>
      <c r="I932" s="44"/>
      <c r="N932" s="44"/>
      <c r="U932" s="44"/>
    </row>
    <row r="933" ht="15.75" customHeight="1">
      <c r="E933" s="44"/>
      <c r="I933" s="44"/>
      <c r="N933" s="44"/>
      <c r="U933" s="44"/>
    </row>
    <row r="934" ht="15.75" customHeight="1">
      <c r="E934" s="44"/>
      <c r="I934" s="44"/>
      <c r="N934" s="44"/>
      <c r="U934" s="44"/>
    </row>
    <row r="935" ht="15.75" customHeight="1">
      <c r="E935" s="44"/>
      <c r="I935" s="44"/>
      <c r="N935" s="44"/>
      <c r="U935" s="44"/>
    </row>
    <row r="936" ht="15.75" customHeight="1">
      <c r="E936" s="44"/>
      <c r="I936" s="44"/>
      <c r="N936" s="44"/>
      <c r="U936" s="44"/>
    </row>
    <row r="937" ht="15.75" customHeight="1">
      <c r="E937" s="44"/>
      <c r="I937" s="44"/>
      <c r="N937" s="44"/>
      <c r="U937" s="44"/>
    </row>
    <row r="938" ht="15.75" customHeight="1">
      <c r="E938" s="44"/>
      <c r="I938" s="44"/>
      <c r="N938" s="44"/>
      <c r="U938" s="44"/>
    </row>
    <row r="939" ht="15.75" customHeight="1">
      <c r="E939" s="44"/>
      <c r="I939" s="44"/>
      <c r="N939" s="44"/>
      <c r="U939" s="44"/>
    </row>
    <row r="940" ht="15.75" customHeight="1">
      <c r="E940" s="44"/>
      <c r="I940" s="44"/>
      <c r="N940" s="44"/>
      <c r="U940" s="44"/>
    </row>
    <row r="941" ht="15.75" customHeight="1">
      <c r="E941" s="44"/>
      <c r="I941" s="44"/>
      <c r="N941" s="44"/>
      <c r="U941" s="44"/>
    </row>
    <row r="942" ht="15.75" customHeight="1">
      <c r="E942" s="44"/>
      <c r="I942" s="44"/>
      <c r="N942" s="44"/>
      <c r="U942" s="44"/>
    </row>
    <row r="943" ht="15.75" customHeight="1">
      <c r="E943" s="44"/>
      <c r="I943" s="44"/>
      <c r="N943" s="44"/>
      <c r="U943" s="44"/>
    </row>
    <row r="944" ht="15.75" customHeight="1">
      <c r="E944" s="44"/>
      <c r="I944" s="44"/>
      <c r="N944" s="44"/>
      <c r="U944" s="44"/>
    </row>
    <row r="945" ht="15.75" customHeight="1">
      <c r="E945" s="44"/>
      <c r="I945" s="44"/>
      <c r="N945" s="44"/>
      <c r="U945" s="44"/>
    </row>
    <row r="946" ht="15.75" customHeight="1">
      <c r="E946" s="44"/>
      <c r="I946" s="44"/>
      <c r="N946" s="44"/>
      <c r="U946" s="44"/>
    </row>
    <row r="947" ht="15.75" customHeight="1">
      <c r="E947" s="44"/>
      <c r="I947" s="44"/>
      <c r="N947" s="44"/>
      <c r="U947" s="44"/>
    </row>
    <row r="948" ht="15.75" customHeight="1">
      <c r="E948" s="44"/>
      <c r="I948" s="44"/>
      <c r="N948" s="44"/>
      <c r="U948" s="44"/>
    </row>
    <row r="949" ht="15.75" customHeight="1">
      <c r="E949" s="44"/>
      <c r="I949" s="44"/>
      <c r="N949" s="44"/>
      <c r="U949" s="44"/>
    </row>
    <row r="950" ht="15.75" customHeight="1">
      <c r="E950" s="44"/>
      <c r="I950" s="44"/>
      <c r="N950" s="44"/>
      <c r="U950" s="44"/>
    </row>
    <row r="951" ht="15.75" customHeight="1">
      <c r="E951" s="44"/>
      <c r="I951" s="44"/>
      <c r="N951" s="44"/>
      <c r="U951" s="44"/>
    </row>
    <row r="952" ht="15.75" customHeight="1">
      <c r="E952" s="44"/>
      <c r="I952" s="44"/>
      <c r="N952" s="44"/>
      <c r="U952" s="44"/>
    </row>
    <row r="953" ht="15.75" customHeight="1">
      <c r="E953" s="44"/>
      <c r="I953" s="44"/>
      <c r="N953" s="44"/>
      <c r="U953" s="44"/>
    </row>
    <row r="954" ht="15.75" customHeight="1">
      <c r="E954" s="44"/>
      <c r="I954" s="44"/>
      <c r="N954" s="44"/>
      <c r="U954" s="44"/>
    </row>
    <row r="955" ht="15.75" customHeight="1">
      <c r="E955" s="44"/>
      <c r="I955" s="44"/>
      <c r="N955" s="44"/>
      <c r="U955" s="44"/>
    </row>
    <row r="956" ht="15.75" customHeight="1">
      <c r="E956" s="44"/>
      <c r="I956" s="44"/>
      <c r="N956" s="44"/>
      <c r="U956" s="44"/>
    </row>
    <row r="957" ht="15.75" customHeight="1">
      <c r="E957" s="44"/>
      <c r="I957" s="44"/>
      <c r="N957" s="44"/>
      <c r="U957" s="44"/>
    </row>
    <row r="958" ht="15.75" customHeight="1">
      <c r="E958" s="44"/>
      <c r="I958" s="44"/>
      <c r="N958" s="44"/>
      <c r="U958" s="44"/>
    </row>
    <row r="959" ht="15.75" customHeight="1">
      <c r="E959" s="44"/>
      <c r="I959" s="44"/>
      <c r="N959" s="44"/>
      <c r="U959" s="44"/>
    </row>
    <row r="960" ht="15.75" customHeight="1">
      <c r="E960" s="44"/>
      <c r="I960" s="44"/>
      <c r="N960" s="44"/>
      <c r="U960" s="44"/>
    </row>
    <row r="961" ht="15.75" customHeight="1">
      <c r="E961" s="44"/>
      <c r="I961" s="44"/>
      <c r="N961" s="44"/>
      <c r="U961" s="44"/>
    </row>
    <row r="962" ht="15.75" customHeight="1">
      <c r="E962" s="44"/>
      <c r="I962" s="44"/>
      <c r="N962" s="44"/>
      <c r="U962" s="44"/>
    </row>
    <row r="963" ht="15.75" customHeight="1">
      <c r="E963" s="44"/>
      <c r="I963" s="44"/>
      <c r="N963" s="44"/>
      <c r="U963" s="44"/>
    </row>
    <row r="964" ht="15.75" customHeight="1">
      <c r="E964" s="44"/>
      <c r="I964" s="44"/>
      <c r="N964" s="44"/>
      <c r="U964" s="44"/>
    </row>
    <row r="965" ht="15.75" customHeight="1">
      <c r="E965" s="44"/>
      <c r="I965" s="44"/>
      <c r="N965" s="44"/>
      <c r="U965" s="44"/>
    </row>
    <row r="966" ht="15.75" customHeight="1">
      <c r="E966" s="44"/>
      <c r="I966" s="44"/>
      <c r="N966" s="44"/>
      <c r="U966" s="44"/>
    </row>
    <row r="967" ht="15.75" customHeight="1">
      <c r="E967" s="44"/>
      <c r="I967" s="44"/>
      <c r="N967" s="44"/>
      <c r="U967" s="44"/>
    </row>
    <row r="968" ht="15.75" customHeight="1">
      <c r="E968" s="44"/>
      <c r="I968" s="44"/>
      <c r="N968" s="44"/>
      <c r="U968" s="44"/>
    </row>
    <row r="969" ht="15.75" customHeight="1">
      <c r="E969" s="44"/>
      <c r="I969" s="44"/>
      <c r="N969" s="44"/>
      <c r="U969" s="44"/>
    </row>
    <row r="970" ht="15.75" customHeight="1">
      <c r="E970" s="44"/>
      <c r="I970" s="44"/>
      <c r="N970" s="44"/>
      <c r="U970" s="44"/>
    </row>
    <row r="971" ht="15.75" customHeight="1">
      <c r="E971" s="44"/>
      <c r="I971" s="44"/>
      <c r="N971" s="44"/>
      <c r="U971" s="44"/>
    </row>
    <row r="972" ht="15.75" customHeight="1">
      <c r="E972" s="44"/>
      <c r="I972" s="44"/>
      <c r="N972" s="44"/>
      <c r="U972" s="44"/>
    </row>
    <row r="973" ht="15.75" customHeight="1">
      <c r="E973" s="44"/>
      <c r="I973" s="44"/>
      <c r="N973" s="44"/>
      <c r="U973" s="44"/>
    </row>
    <row r="974" ht="15.75" customHeight="1">
      <c r="E974" s="44"/>
      <c r="I974" s="44"/>
      <c r="N974" s="44"/>
      <c r="U974" s="44"/>
    </row>
    <row r="975" ht="15.75" customHeight="1">
      <c r="E975" s="44"/>
      <c r="I975" s="44"/>
      <c r="N975" s="44"/>
      <c r="U975" s="44"/>
    </row>
    <row r="976" ht="15.75" customHeight="1">
      <c r="E976" s="44"/>
      <c r="I976" s="44"/>
      <c r="N976" s="44"/>
      <c r="U976" s="44"/>
    </row>
    <row r="977" ht="15.75" customHeight="1">
      <c r="E977" s="44"/>
      <c r="I977" s="44"/>
      <c r="N977" s="44"/>
      <c r="U977" s="44"/>
    </row>
    <row r="978" ht="15.75" customHeight="1">
      <c r="E978" s="44"/>
      <c r="I978" s="44"/>
      <c r="N978" s="44"/>
      <c r="U978" s="44"/>
    </row>
    <row r="979" ht="15.75" customHeight="1">
      <c r="E979" s="44"/>
      <c r="I979" s="44"/>
      <c r="N979" s="44"/>
      <c r="U979" s="44"/>
    </row>
    <row r="980" ht="15.75" customHeight="1">
      <c r="E980" s="44"/>
      <c r="I980" s="44"/>
      <c r="N980" s="44"/>
      <c r="U980" s="44"/>
    </row>
    <row r="981" ht="15.75" customHeight="1">
      <c r="E981" s="44"/>
      <c r="I981" s="44"/>
      <c r="N981" s="44"/>
      <c r="U981" s="44"/>
    </row>
    <row r="982" ht="15.75" customHeight="1">
      <c r="E982" s="44"/>
      <c r="I982" s="44"/>
      <c r="N982" s="44"/>
      <c r="U982" s="44"/>
    </row>
    <row r="983" ht="15.75" customHeight="1">
      <c r="E983" s="44"/>
      <c r="I983" s="44"/>
      <c r="N983" s="44"/>
      <c r="U983" s="44"/>
    </row>
    <row r="984" ht="15.75" customHeight="1">
      <c r="E984" s="44"/>
      <c r="I984" s="44"/>
      <c r="N984" s="44"/>
      <c r="U984" s="44"/>
    </row>
    <row r="985" ht="15.75" customHeight="1">
      <c r="E985" s="44"/>
      <c r="I985" s="44"/>
      <c r="N985" s="44"/>
      <c r="U985" s="44"/>
    </row>
    <row r="986" ht="15.75" customHeight="1">
      <c r="E986" s="44"/>
      <c r="I986" s="44"/>
      <c r="N986" s="44"/>
      <c r="U986" s="44"/>
    </row>
    <row r="987" ht="15.75" customHeight="1">
      <c r="E987" s="44"/>
      <c r="I987" s="44"/>
      <c r="N987" s="44"/>
      <c r="U987" s="44"/>
    </row>
    <row r="988" ht="15.75" customHeight="1">
      <c r="E988" s="44"/>
      <c r="I988" s="44"/>
      <c r="N988" s="44"/>
      <c r="U988" s="44"/>
    </row>
    <row r="989" ht="15.75" customHeight="1">
      <c r="E989" s="44"/>
      <c r="I989" s="44"/>
      <c r="N989" s="44"/>
      <c r="U989" s="44"/>
    </row>
    <row r="990" ht="15.75" customHeight="1">
      <c r="E990" s="44"/>
      <c r="I990" s="44"/>
      <c r="N990" s="44"/>
      <c r="U990" s="44"/>
    </row>
    <row r="991" ht="15.75" customHeight="1">
      <c r="E991" s="44"/>
      <c r="I991" s="44"/>
      <c r="N991" s="44"/>
      <c r="U991" s="44"/>
    </row>
    <row r="992" ht="15.75" customHeight="1">
      <c r="E992" s="44"/>
      <c r="I992" s="44"/>
      <c r="N992" s="44"/>
      <c r="U992" s="44"/>
    </row>
    <row r="993" ht="15.75" customHeight="1">
      <c r="E993" s="44"/>
      <c r="I993" s="44"/>
      <c r="N993" s="44"/>
      <c r="U993" s="44"/>
    </row>
    <row r="994" ht="15.75" customHeight="1">
      <c r="E994" s="44"/>
      <c r="I994" s="44"/>
      <c r="N994" s="44"/>
      <c r="U994" s="44"/>
    </row>
    <row r="995" ht="15.75" customHeight="1">
      <c r="E995" s="44"/>
      <c r="I995" s="44"/>
      <c r="N995" s="44"/>
      <c r="U995" s="44"/>
    </row>
    <row r="996" ht="15.75" customHeight="1">
      <c r="E996" s="44"/>
      <c r="I996" s="44"/>
      <c r="N996" s="44"/>
      <c r="U996" s="44"/>
    </row>
    <row r="997" ht="15.75" customHeight="1">
      <c r="E997" s="44"/>
      <c r="I997" s="44"/>
      <c r="N997" s="44"/>
      <c r="U997" s="44"/>
    </row>
    <row r="998" ht="15.75" customHeight="1">
      <c r="E998" s="44"/>
      <c r="I998" s="44"/>
      <c r="N998" s="44"/>
      <c r="U998" s="44"/>
    </row>
  </sheetData>
  <autoFilter ref="$A$1:$X$184"/>
  <mergeCells count="2">
    <mergeCell ref="A1:U1"/>
    <mergeCell ref="A2:U2"/>
  </mergeCells>
  <dataValidations>
    <dataValidation type="list" allowBlank="1" showErrorMessage="1" sqref="K4:K103 K106:K122 K145:K202 K204:K369 K372:K373 K380:K484">
      <formula1>"Male,Female"</formula1>
    </dataValidation>
    <dataValidation type="list" allowBlank="1" showErrorMessage="1" sqref="C4:C533">
      <formula1>"Mohit,Edwin,Hardik,Aakash,Manu"</formula1>
    </dataValidation>
    <dataValidation type="list" allowBlank="1" sqref="N4:N998">
      <formula1>$X$4:$X$15</formula1>
    </dataValidation>
    <dataValidation type="list" allowBlank="1" sqref="U4:U998">
      <formula1>$V$4:$V$998</formula1>
    </dataValidation>
    <dataValidation type="list" allowBlank="1" sqref="E4:E998">
      <formula1>$W$4:$W$198</formula1>
    </dataValidation>
    <dataValidation type="list" allowBlank="1" showErrorMessage="1" sqref="M4:M103 M106:M122 M145:M202 M204:M369 M372:M373 M382:M435 M437:M484">
      <formula1>"0-6 Months,6 months-1 year,1-2 years,More than 2 years,More than 2 Years"</formula1>
    </dataValidation>
    <dataValidation type="list" allowBlank="1" showErrorMessage="1" sqref="F4:F202 F204:F370 F372:F373 F380:F489">
      <formula1>"Cluster,Chinese,Ops,FOH,BOH,Bartender,HeadChef,Commi 1/2,Bar Sup,Head Chef,F&amp;B Associate,Team member,Barista,Conti/ Garde manger,Hostess,Captain,barista,Sous chef,Sr. GSA,Floor Supervisor,Restaurant,Conti,Pastry,Section lead,Kitchen,L&amp;D,WOK,Payroll,Asst m"&amp;"anager,Sales,Pastry/Baery,Guest Relations,Indian/ Tandoor,PR,HR"</formula1>
    </dataValidation>
    <dataValidation type="list" allowBlank="1" sqref="I4:I998">
      <formula1>$Z$4:$Z$20</formula1>
    </dataValidation>
    <dataValidation type="list" allowBlank="1" showErrorMessage="1" sqref="L4:L103 L106:L110 L114:L122 L145 L149:L202 L204:L285 L287:L369 L372:L373 L380:L484">
      <formula1>"Hotel Management,SSC,Graduate,HSC,Hospitality Graduate,Culinary Graduate,12th Pass,Diploma,Hotel management,Graduate ,Masters"</formula1>
    </dataValidation>
  </dataValidations>
  <hyperlinks>
    <hyperlink r:id="rId1" ref="R4"/>
    <hyperlink r:id="rId2" ref="R6"/>
    <hyperlink r:id="rId3" ref="R7"/>
    <hyperlink r:id="rId4" ref="R8"/>
    <hyperlink r:id="rId5" ref="R9"/>
    <hyperlink r:id="rId6" ref="R10"/>
    <hyperlink r:id="rId7" ref="R11"/>
    <hyperlink r:id="rId8" ref="R12"/>
    <hyperlink r:id="rId9" ref="R14"/>
    <hyperlink r:id="rId10" ref="R15"/>
    <hyperlink r:id="rId11" ref="R18"/>
    <hyperlink r:id="rId12" ref="R19"/>
    <hyperlink r:id="rId13" ref="R20"/>
    <hyperlink r:id="rId14" ref="R21"/>
    <hyperlink r:id="rId15" ref="R22"/>
    <hyperlink r:id="rId16" ref="R23"/>
    <hyperlink r:id="rId17" ref="R24"/>
    <hyperlink r:id="rId18" ref="R25"/>
    <hyperlink r:id="rId19" ref="R27"/>
    <hyperlink r:id="rId20" ref="R28"/>
    <hyperlink r:id="rId21" ref="R29"/>
    <hyperlink r:id="rId22" ref="R30"/>
    <hyperlink r:id="rId23" ref="R31"/>
    <hyperlink r:id="rId24" ref="R32"/>
    <hyperlink r:id="rId25" ref="R33"/>
    <hyperlink r:id="rId26" ref="R34"/>
    <hyperlink r:id="rId27" ref="R35"/>
    <hyperlink r:id="rId28" ref="R36"/>
    <hyperlink r:id="rId29" ref="R38"/>
    <hyperlink r:id="rId30" ref="R40"/>
    <hyperlink r:id="rId31" ref="R41"/>
    <hyperlink r:id="rId32" ref="R42"/>
    <hyperlink r:id="rId33" ref="R44"/>
    <hyperlink r:id="rId34" ref="R45"/>
    <hyperlink r:id="rId35" ref="R46"/>
    <hyperlink r:id="rId36" ref="R47"/>
    <hyperlink r:id="rId37" ref="R48"/>
    <hyperlink r:id="rId38" ref="R49"/>
    <hyperlink r:id="rId39" ref="R51"/>
    <hyperlink r:id="rId40" ref="R52"/>
    <hyperlink r:id="rId41" ref="R53"/>
    <hyperlink r:id="rId42" ref="R54"/>
    <hyperlink r:id="rId43" ref="R55"/>
    <hyperlink r:id="rId44" ref="R56"/>
    <hyperlink r:id="rId45" ref="R57"/>
    <hyperlink r:id="rId46" ref="R58"/>
    <hyperlink r:id="rId47" ref="R60"/>
    <hyperlink r:id="rId48" ref="R61"/>
    <hyperlink r:id="rId49" ref="R62"/>
    <hyperlink r:id="rId50" ref="R63"/>
    <hyperlink r:id="rId51" ref="R64"/>
    <hyperlink r:id="rId52" ref="R65"/>
    <hyperlink r:id="rId53" ref="R66"/>
    <hyperlink r:id="rId54" ref="R67"/>
    <hyperlink r:id="rId55" ref="R68"/>
    <hyperlink r:id="rId56" ref="R69"/>
    <hyperlink r:id="rId57" ref="R70"/>
    <hyperlink r:id="rId58" ref="R71"/>
    <hyperlink r:id="rId59" ref="R72"/>
    <hyperlink r:id="rId60" ref="R73"/>
    <hyperlink r:id="rId61" ref="R74"/>
    <hyperlink r:id="rId62" ref="R75"/>
    <hyperlink r:id="rId63" ref="R76"/>
    <hyperlink r:id="rId64" ref="R77"/>
    <hyperlink r:id="rId65" ref="R79"/>
    <hyperlink r:id="rId66" ref="R80"/>
    <hyperlink r:id="rId67" ref="R81"/>
    <hyperlink r:id="rId68" ref="R82"/>
    <hyperlink r:id="rId69" ref="R83"/>
    <hyperlink r:id="rId70" ref="R84"/>
    <hyperlink r:id="rId71" ref="R85"/>
    <hyperlink r:id="rId72" ref="R91"/>
    <hyperlink r:id="rId73" ref="R92"/>
    <hyperlink r:id="rId74" ref="R94"/>
    <hyperlink r:id="rId75" ref="R95"/>
    <hyperlink r:id="rId76" ref="R96"/>
    <hyperlink r:id="rId77" ref="R97"/>
    <hyperlink r:id="rId78" ref="R98"/>
    <hyperlink r:id="rId79" ref="R99"/>
    <hyperlink r:id="rId80" ref="R100"/>
    <hyperlink r:id="rId81" ref="R101"/>
    <hyperlink r:id="rId82" ref="R102"/>
    <hyperlink r:id="rId83" ref="R103"/>
    <hyperlink r:id="rId84" ref="R104"/>
    <hyperlink r:id="rId85" ref="R105"/>
    <hyperlink r:id="rId86" ref="R106"/>
    <hyperlink r:id="rId87" ref="R107"/>
    <hyperlink r:id="rId88" ref="R108"/>
    <hyperlink r:id="rId89" ref="R109"/>
    <hyperlink r:id="rId90" ref="R110"/>
    <hyperlink r:id="rId91" ref="R111"/>
    <hyperlink r:id="rId92" ref="R112"/>
    <hyperlink r:id="rId93" ref="R113"/>
    <hyperlink r:id="rId94" ref="R114"/>
    <hyperlink r:id="rId95" ref="R115"/>
    <hyperlink r:id="rId96" ref="R116"/>
    <hyperlink r:id="rId97" ref="R117"/>
    <hyperlink r:id="rId98" ref="R118"/>
    <hyperlink r:id="rId99" ref="R119"/>
    <hyperlink r:id="rId100" ref="R120"/>
    <hyperlink r:id="rId101" ref="R121"/>
    <hyperlink r:id="rId102" ref="R122"/>
    <hyperlink r:id="rId103" ref="R123"/>
    <hyperlink r:id="rId104" ref="R124"/>
    <hyperlink r:id="rId105" ref="R125"/>
    <hyperlink r:id="rId106" ref="R126"/>
    <hyperlink r:id="rId107" ref="R127"/>
    <hyperlink r:id="rId108" ref="R129"/>
    <hyperlink r:id="rId109" ref="R131"/>
    <hyperlink r:id="rId110" ref="R132"/>
    <hyperlink r:id="rId111" ref="R133"/>
    <hyperlink r:id="rId112" ref="R134"/>
    <hyperlink r:id="rId113" ref="R135"/>
    <hyperlink r:id="rId114" ref="R136"/>
    <hyperlink r:id="rId115" ref="R137"/>
    <hyperlink r:id="rId116" ref="R138"/>
    <hyperlink r:id="rId117" ref="R139"/>
    <hyperlink r:id="rId118" ref="R140"/>
    <hyperlink r:id="rId119" ref="R141"/>
    <hyperlink r:id="rId120" ref="R142"/>
    <hyperlink r:id="rId121" ref="R143"/>
    <hyperlink r:id="rId122" ref="R144"/>
    <hyperlink r:id="rId123" ref="R145"/>
    <hyperlink r:id="rId124" ref="R146"/>
    <hyperlink r:id="rId125" ref="R147"/>
    <hyperlink r:id="rId126" ref="R149"/>
    <hyperlink r:id="rId127" ref="R150"/>
    <hyperlink r:id="rId128" ref="R151"/>
    <hyperlink r:id="rId129" ref="R152"/>
    <hyperlink r:id="rId130" ref="R153"/>
    <hyperlink r:id="rId131" ref="R154"/>
    <hyperlink r:id="rId132" ref="R155"/>
    <hyperlink r:id="rId133" ref="R156"/>
    <hyperlink r:id="rId134" ref="R157"/>
    <hyperlink r:id="rId135" ref="R158"/>
    <hyperlink r:id="rId136" ref="R159"/>
    <hyperlink r:id="rId137" ref="R160"/>
    <hyperlink r:id="rId138" ref="R161"/>
    <hyperlink r:id="rId139" ref="R162"/>
    <hyperlink r:id="rId140" ref="R163"/>
    <hyperlink r:id="rId141" ref="R164"/>
    <hyperlink r:id="rId142" ref="R165"/>
    <hyperlink r:id="rId143" ref="R166"/>
    <hyperlink r:id="rId144" ref="R167"/>
    <hyperlink r:id="rId145" ref="R168"/>
    <hyperlink r:id="rId146" ref="R169"/>
    <hyperlink r:id="rId147" ref="R170"/>
    <hyperlink r:id="rId148" ref="R171"/>
    <hyperlink r:id="rId149" ref="R172"/>
    <hyperlink r:id="rId150" ref="R173"/>
    <hyperlink r:id="rId151" ref="R174"/>
    <hyperlink r:id="rId152" ref="R175"/>
    <hyperlink r:id="rId153" ref="R176"/>
    <hyperlink r:id="rId154" ref="R177"/>
    <hyperlink r:id="rId155" ref="R178"/>
    <hyperlink r:id="rId156" ref="R179"/>
    <hyperlink r:id="rId157" ref="R180"/>
    <hyperlink r:id="rId158" ref="R181"/>
    <hyperlink r:id="rId159" ref="R182"/>
    <hyperlink r:id="rId160" ref="R183"/>
    <hyperlink r:id="rId161" ref="R184"/>
    <hyperlink r:id="rId162" ref="R185"/>
    <hyperlink r:id="rId163" ref="R186"/>
    <hyperlink r:id="rId164" ref="R187"/>
    <hyperlink r:id="rId165" ref="R188"/>
    <hyperlink r:id="rId166" ref="R189"/>
    <hyperlink r:id="rId167" ref="R190"/>
    <hyperlink r:id="rId168" ref="R191"/>
    <hyperlink r:id="rId169" ref="R193"/>
    <hyperlink r:id="rId170" ref="R194"/>
    <hyperlink r:id="rId171" ref="R195"/>
    <hyperlink r:id="rId172" ref="R196"/>
    <hyperlink r:id="rId173" ref="R197"/>
    <hyperlink r:id="rId174" ref="R198"/>
    <hyperlink r:id="rId175" ref="R199"/>
    <hyperlink r:id="rId176" ref="R200"/>
    <hyperlink r:id="rId177" ref="R201"/>
    <hyperlink r:id="rId178" ref="R202"/>
    <hyperlink r:id="rId179" ref="R204"/>
    <hyperlink r:id="rId180" ref="R205"/>
    <hyperlink r:id="rId181" ref="R206"/>
    <hyperlink r:id="rId182" ref="R207"/>
    <hyperlink r:id="rId183" ref="R208"/>
    <hyperlink r:id="rId184" ref="R209"/>
    <hyperlink r:id="rId185" ref="R210"/>
    <hyperlink r:id="rId186" ref="R211"/>
    <hyperlink r:id="rId187" ref="R212"/>
    <hyperlink r:id="rId188" ref="R213"/>
    <hyperlink r:id="rId189" ref="R214"/>
    <hyperlink r:id="rId190" ref="R215"/>
    <hyperlink r:id="rId191" ref="R216"/>
    <hyperlink r:id="rId192" ref="R217"/>
    <hyperlink r:id="rId193" ref="R218"/>
    <hyperlink r:id="rId194" ref="R219"/>
    <hyperlink r:id="rId195" ref="R220"/>
    <hyperlink r:id="rId196" ref="R221"/>
    <hyperlink r:id="rId197" ref="R222"/>
    <hyperlink r:id="rId198" ref="R223"/>
    <hyperlink r:id="rId199" ref="R224"/>
    <hyperlink r:id="rId200" ref="R225"/>
    <hyperlink r:id="rId201" ref="R226"/>
    <hyperlink r:id="rId202" ref="R227"/>
    <hyperlink r:id="rId203" ref="R229"/>
    <hyperlink r:id="rId204" ref="R230"/>
    <hyperlink r:id="rId205" ref="R231"/>
    <hyperlink r:id="rId206" ref="R232"/>
    <hyperlink r:id="rId207" ref="R233"/>
    <hyperlink r:id="rId208" ref="R234"/>
    <hyperlink r:id="rId209" ref="R235"/>
    <hyperlink r:id="rId210" ref="R236"/>
    <hyperlink r:id="rId211" ref="R237"/>
    <hyperlink r:id="rId212" ref="R238"/>
    <hyperlink r:id="rId213" ref="R239"/>
    <hyperlink r:id="rId214" ref="R240"/>
    <hyperlink r:id="rId215" ref="R241"/>
    <hyperlink r:id="rId216" ref="R242"/>
    <hyperlink r:id="rId217" ref="R243"/>
    <hyperlink r:id="rId218" ref="R244"/>
    <hyperlink r:id="rId219" ref="R245"/>
    <hyperlink r:id="rId220" ref="R246"/>
    <hyperlink r:id="rId221" ref="R247"/>
    <hyperlink r:id="rId222" ref="R248"/>
    <hyperlink r:id="rId223" ref="R249"/>
    <hyperlink r:id="rId224" ref="R250"/>
    <hyperlink r:id="rId225" ref="R251"/>
    <hyperlink r:id="rId226" ref="R252"/>
    <hyperlink r:id="rId227" ref="R253"/>
    <hyperlink r:id="rId228" ref="R254"/>
    <hyperlink r:id="rId229" ref="R255"/>
    <hyperlink r:id="rId230" ref="R256"/>
    <hyperlink r:id="rId231" ref="R257"/>
    <hyperlink r:id="rId232" ref="R258"/>
    <hyperlink r:id="rId233" ref="R259"/>
    <hyperlink r:id="rId234" ref="R260"/>
    <hyperlink r:id="rId235" ref="R261"/>
    <hyperlink r:id="rId236" ref="R262"/>
    <hyperlink r:id="rId237" ref="R263"/>
    <hyperlink r:id="rId238" ref="R264"/>
    <hyperlink r:id="rId239" ref="R265"/>
    <hyperlink r:id="rId240" ref="R266"/>
    <hyperlink r:id="rId241" ref="R267"/>
    <hyperlink r:id="rId242" ref="R268"/>
    <hyperlink r:id="rId243" ref="R269"/>
    <hyperlink r:id="rId244" ref="R270"/>
    <hyperlink r:id="rId245" ref="R271"/>
    <hyperlink r:id="rId246" ref="R272"/>
    <hyperlink r:id="rId247" ref="R273"/>
    <hyperlink r:id="rId248" ref="R274"/>
    <hyperlink r:id="rId249" ref="R275"/>
    <hyperlink r:id="rId250" ref="R276"/>
    <hyperlink r:id="rId251" ref="R277"/>
    <hyperlink r:id="rId252" ref="R278"/>
    <hyperlink r:id="rId253" ref="R279"/>
    <hyperlink r:id="rId254" ref="R280"/>
    <hyperlink r:id="rId255" ref="R281"/>
    <hyperlink r:id="rId256" ref="R282"/>
    <hyperlink r:id="rId257" ref="R283"/>
    <hyperlink r:id="rId258" ref="R284"/>
    <hyperlink r:id="rId259" ref="R285"/>
    <hyperlink r:id="rId260" ref="R286"/>
    <hyperlink r:id="rId261" ref="R287"/>
    <hyperlink r:id="rId262" ref="R288"/>
    <hyperlink r:id="rId263" ref="R289"/>
    <hyperlink r:id="rId264" ref="R290"/>
    <hyperlink r:id="rId265" ref="R291"/>
    <hyperlink r:id="rId266" ref="R292"/>
    <hyperlink r:id="rId267" ref="R293"/>
    <hyperlink r:id="rId268" ref="R294"/>
    <hyperlink r:id="rId269" ref="R295"/>
    <hyperlink r:id="rId270" ref="R296"/>
    <hyperlink r:id="rId271" ref="R297"/>
    <hyperlink r:id="rId272" ref="R298"/>
    <hyperlink r:id="rId273" ref="R299"/>
    <hyperlink r:id="rId274" ref="R300"/>
    <hyperlink r:id="rId275" ref="R301"/>
    <hyperlink r:id="rId276" ref="R302"/>
    <hyperlink r:id="rId277" ref="R303"/>
    <hyperlink r:id="rId278" ref="R304"/>
    <hyperlink r:id="rId279" ref="R305"/>
    <hyperlink r:id="rId280" ref="R306"/>
    <hyperlink r:id="rId281" ref="R307"/>
    <hyperlink r:id="rId282" ref="R308"/>
    <hyperlink r:id="rId283" ref="R309"/>
    <hyperlink r:id="rId284" ref="R310"/>
    <hyperlink r:id="rId285" ref="R311"/>
    <hyperlink r:id="rId286" ref="R312"/>
    <hyperlink r:id="rId287" ref="R313"/>
    <hyperlink r:id="rId288" ref="R314"/>
    <hyperlink r:id="rId289" ref="R315"/>
    <hyperlink r:id="rId290" ref="R316"/>
    <hyperlink r:id="rId291" ref="R317"/>
    <hyperlink r:id="rId292" ref="R318"/>
    <hyperlink r:id="rId293" ref="R319"/>
    <hyperlink r:id="rId294" ref="R320"/>
    <hyperlink r:id="rId295" ref="R321"/>
    <hyperlink r:id="rId296" ref="R322"/>
    <hyperlink r:id="rId297" ref="R354"/>
    <hyperlink r:id="rId298" ref="R355"/>
    <hyperlink r:id="rId299" ref="R356"/>
    <hyperlink r:id="rId300" ref="R357"/>
    <hyperlink r:id="rId301" ref="R358"/>
    <hyperlink r:id="rId302" ref="R359"/>
    <hyperlink r:id="rId303" ref="R360"/>
    <hyperlink r:id="rId304" ref="R361"/>
    <hyperlink r:id="rId305" ref="R362"/>
    <hyperlink r:id="rId306" ref="R363"/>
    <hyperlink r:id="rId307" ref="R364"/>
    <hyperlink r:id="rId308" ref="R365"/>
    <hyperlink r:id="rId309" ref="R366"/>
    <hyperlink r:id="rId310" ref="R367"/>
    <hyperlink r:id="rId311" ref="R368"/>
    <hyperlink r:id="rId312" ref="R369"/>
    <hyperlink r:id="rId313" ref="R372"/>
    <hyperlink r:id="rId314" ref="R373"/>
    <hyperlink r:id="rId315" ref="R374"/>
    <hyperlink r:id="rId316" ref="R375"/>
    <hyperlink r:id="rId317" ref="R376"/>
    <hyperlink r:id="rId318" ref="R377"/>
    <hyperlink r:id="rId319" ref="R380"/>
    <hyperlink r:id="rId320" ref="R381"/>
    <hyperlink r:id="rId321" ref="R382"/>
    <hyperlink r:id="rId322" ref="R383"/>
    <hyperlink r:id="rId323" ref="R384"/>
    <hyperlink r:id="rId324" ref="R385"/>
    <hyperlink r:id="rId325" ref="R386"/>
    <hyperlink r:id="rId326" ref="R387"/>
    <hyperlink r:id="rId327" ref="R388"/>
    <hyperlink r:id="rId328" ref="R389"/>
    <hyperlink r:id="rId329" ref="R390"/>
    <hyperlink r:id="rId330" ref="R391"/>
    <hyperlink r:id="rId331" ref="R392"/>
    <hyperlink r:id="rId332" ref="R393"/>
    <hyperlink r:id="rId333" ref="R394"/>
    <hyperlink r:id="rId334" ref="R395"/>
    <hyperlink r:id="rId335" ref="R396"/>
    <hyperlink r:id="rId336" ref="R397"/>
    <hyperlink r:id="rId337" ref="R398"/>
    <hyperlink r:id="rId338" ref="R399"/>
    <hyperlink r:id="rId339" ref="R400"/>
    <hyperlink r:id="rId340" ref="R401"/>
    <hyperlink r:id="rId341" ref="R402"/>
    <hyperlink r:id="rId342" ref="R403"/>
    <hyperlink r:id="rId343" ref="R404"/>
    <hyperlink r:id="rId344" ref="R405"/>
    <hyperlink r:id="rId345" ref="R406"/>
    <hyperlink r:id="rId346" ref="R407"/>
    <hyperlink r:id="rId347" ref="R408"/>
    <hyperlink r:id="rId348" ref="R409"/>
    <hyperlink r:id="rId349" ref="R410"/>
    <hyperlink r:id="rId350" ref="R411"/>
    <hyperlink r:id="rId351" ref="R412"/>
    <hyperlink r:id="rId352" ref="R413"/>
    <hyperlink r:id="rId353" ref="R414"/>
    <hyperlink r:id="rId354" ref="R415"/>
    <hyperlink r:id="rId355" ref="R416"/>
    <hyperlink r:id="rId356" ref="R417"/>
    <hyperlink r:id="rId357" ref="R418"/>
    <hyperlink r:id="rId358" ref="R419"/>
    <hyperlink r:id="rId359" ref="R420"/>
    <hyperlink r:id="rId360" ref="R421"/>
    <hyperlink r:id="rId361" ref="R422"/>
    <hyperlink r:id="rId362" ref="R423"/>
    <hyperlink r:id="rId363" ref="R424"/>
    <hyperlink r:id="rId364" ref="R425"/>
    <hyperlink r:id="rId365" ref="R426"/>
    <hyperlink r:id="rId366" ref="R427"/>
    <hyperlink r:id="rId367" ref="R428"/>
    <hyperlink r:id="rId368" ref="R429"/>
    <hyperlink r:id="rId369" ref="R430"/>
    <hyperlink r:id="rId370" ref="R431"/>
    <hyperlink r:id="rId371" ref="R432"/>
    <hyperlink r:id="rId372" ref="R433"/>
    <hyperlink r:id="rId373" ref="R434"/>
    <hyperlink r:id="rId374" ref="R435"/>
    <hyperlink r:id="rId375" ref="R437"/>
    <hyperlink r:id="rId376" ref="R438"/>
    <hyperlink r:id="rId377" ref="R439"/>
    <hyperlink r:id="rId378" ref="R440"/>
    <hyperlink r:id="rId379" ref="R441"/>
    <hyperlink r:id="rId380" ref="R442"/>
    <hyperlink r:id="rId381" ref="R443"/>
    <hyperlink r:id="rId382" ref="R444"/>
    <hyperlink r:id="rId383" ref="R445"/>
    <hyperlink r:id="rId384" ref="R446"/>
    <hyperlink r:id="rId385" ref="R447"/>
    <hyperlink r:id="rId386" ref="R448"/>
    <hyperlink r:id="rId387" ref="R449"/>
    <hyperlink r:id="rId388" ref="R450"/>
    <hyperlink r:id="rId389" ref="R451"/>
    <hyperlink r:id="rId390" ref="R452"/>
    <hyperlink r:id="rId391" ref="R453"/>
    <hyperlink r:id="rId392" ref="R454"/>
    <hyperlink r:id="rId393" ref="R455"/>
    <hyperlink r:id="rId394" ref="R456"/>
    <hyperlink r:id="rId395" ref="R457"/>
    <hyperlink r:id="rId396" ref="R458"/>
    <hyperlink r:id="rId397" ref="R459"/>
    <hyperlink r:id="rId398" ref="R460"/>
    <hyperlink r:id="rId399" ref="R461"/>
    <hyperlink r:id="rId400" ref="R462"/>
    <hyperlink r:id="rId401" ref="R463"/>
    <hyperlink r:id="rId402" ref="R464"/>
    <hyperlink r:id="rId403" ref="R465"/>
    <hyperlink r:id="rId404" ref="R466"/>
    <hyperlink r:id="rId405" ref="R467"/>
    <hyperlink r:id="rId406" ref="R468"/>
    <hyperlink r:id="rId407" ref="R469"/>
    <hyperlink r:id="rId408" ref="R470"/>
    <hyperlink r:id="rId409" ref="R471"/>
    <hyperlink r:id="rId410" ref="R472"/>
    <hyperlink r:id="rId411" ref="R473"/>
    <hyperlink r:id="rId412" ref="R474"/>
    <hyperlink r:id="rId413" ref="R475"/>
    <hyperlink r:id="rId414" ref="R476"/>
    <hyperlink r:id="rId415" ref="R477"/>
    <hyperlink r:id="rId416" ref="R478"/>
    <hyperlink r:id="rId417" ref="R479"/>
    <hyperlink r:id="rId418" ref="R480"/>
    <hyperlink r:id="rId419" ref="R481"/>
    <hyperlink r:id="rId420" ref="R482"/>
    <hyperlink r:id="rId421" ref="R483"/>
    <hyperlink r:id="rId422" ref="R484"/>
  </hyperlinks>
  <printOptions/>
  <pageMargins bottom="1.0" footer="0.0" header="0.0" left="0.75" right="0.75" top="1.0"/>
  <pageSetup orientation="landscape"/>
  <drawing r:id="rId4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24.0"/>
    <col customWidth="1" min="4" max="5" width="16.0"/>
    <col customWidth="1" min="6" max="6" width="36.0"/>
    <col customWidth="1" min="7" max="7" width="38.0"/>
    <col customWidth="1" min="8" max="8" width="22.0"/>
    <col customWidth="1" min="9" max="10" width="0.14"/>
    <col customWidth="1" min="11" max="26" width="8.71"/>
  </cols>
  <sheetData>
    <row r="1" ht="31.5" customHeight="1">
      <c r="A1" s="45" t="s">
        <v>1539</v>
      </c>
      <c r="B1" s="2"/>
      <c r="C1" s="2"/>
      <c r="D1" s="2"/>
      <c r="E1" s="2"/>
      <c r="F1" s="2"/>
      <c r="G1" s="2"/>
      <c r="H1" s="3"/>
    </row>
    <row r="2" ht="33.75" customHeight="1">
      <c r="A2" s="46" t="s">
        <v>1540</v>
      </c>
      <c r="B2" s="47"/>
      <c r="C2" s="48" t="s">
        <v>246</v>
      </c>
      <c r="D2" s="49" t="s">
        <v>1541</v>
      </c>
      <c r="E2" s="2"/>
      <c r="F2" s="2"/>
      <c r="G2" s="2"/>
      <c r="H2" s="3"/>
    </row>
    <row r="3" ht="7.5" customHeight="1"/>
    <row r="4" ht="18.0" customHeight="1">
      <c r="A4" s="50" t="str">
        <f>IF($C$2="","← Select a client from the dropdown to view their candidates","Showing "&amp;COUNTIF('Candidate Database'!U4:U998,$C$2)&amp;" candidate(s) for: "&amp;$C$2)</f>
        <v>Showing 2 candidate(s) for: Bare</v>
      </c>
      <c r="B4" s="51"/>
      <c r="C4" s="51"/>
      <c r="D4" s="51"/>
      <c r="E4" s="51"/>
      <c r="F4" s="51"/>
      <c r="G4" s="51"/>
      <c r="H4" s="47"/>
      <c r="I4" s="13" t="s">
        <v>1542</v>
      </c>
      <c r="J4" s="13" t="s">
        <v>511</v>
      </c>
    </row>
    <row r="5" ht="30.0" customHeight="1">
      <c r="A5" s="6" t="s">
        <v>1543</v>
      </c>
      <c r="B5" s="6" t="s">
        <v>1544</v>
      </c>
      <c r="C5" s="6" t="s">
        <v>6</v>
      </c>
      <c r="D5" s="6" t="s">
        <v>8</v>
      </c>
      <c r="E5" s="6" t="s">
        <v>9</v>
      </c>
      <c r="F5" s="6" t="s">
        <v>19</v>
      </c>
      <c r="G5" s="6" t="s">
        <v>17</v>
      </c>
      <c r="H5" s="6" t="s">
        <v>1545</v>
      </c>
      <c r="I5" s="13" t="s">
        <v>1546</v>
      </c>
      <c r="J5" s="13" t="s">
        <v>1547</v>
      </c>
    </row>
    <row r="6" ht="21.75" customHeight="1">
      <c r="A6" s="52">
        <f>IF(COUNTIF('Candidate Database'!U$4:U$998,$C$2)&gt;=1,1,"")</f>
        <v>1</v>
      </c>
      <c r="B6" s="53" t="str">
        <f>IFERROR(__xludf.DUMMYFUNCTION("IFERROR(INDEX(FILTER('Candidate Database'!B$4:B$998,'Candidate Database'!U$4:U$998=$C$2),1),"""")"),"Rushikesh Chavan")</f>
        <v>Rushikesh Chavan</v>
      </c>
      <c r="C6" s="54" t="str">
        <f>IFERROR(__xludf.DUMMYFUNCTION("IFERROR(INDEX(FILTER('Candidate Database'!E$4:E$998,'Candidate Database'!U$4:U$998=$C$2),1),"""")"),"Junior Sous Chef")</f>
        <v>Junior Sous Chef</v>
      </c>
      <c r="D6" s="54" t="str">
        <f>IFERROR(__xludf.DUMMYFUNCTION("IFERROR(INDEX(FILTER('Candidate Database'!G$4:G$998,'Candidate Database'!U$4:U$998=$C$2),1),"""")"),"50k++")</f>
        <v>50k++</v>
      </c>
      <c r="E6" s="54" t="str">
        <f>IFERROR(__xludf.DUMMYFUNCTION("IFERROR(INDEX(FILTER('Candidate Database'!H$4:H$998,'Candidate Database'!U$4:U$998=$C$2),1),"""")"),"")</f>
        <v/>
      </c>
      <c r="F6" s="55" t="str">
        <f>IFERROR(__xludf.DUMMYFUNCTION("IFERROR(INDEX(FILTER('Candidate Database'!R$4:R$998,'Candidate Database'!U$4:U$998=$C$2),1),"""")"),"CV_2026032320525728.pdf")</f>
        <v>CV_2026032320525728.pdf</v>
      </c>
      <c r="G6" s="53" t="str">
        <f>IFERROR(__xludf.DUMMYFUNCTION("IFERROR(INDEX(FILTER('Candidate Database'!P$4:P$998,'Candidate Database'!U$4:U$998=$C$2),1),"""")"),"Worked in Naar, Masque, HOM")</f>
        <v>Worked in Naar, Masque, HOM</v>
      </c>
      <c r="H6" s="56" t="s">
        <v>1548</v>
      </c>
      <c r="I6" s="13" t="s">
        <v>1548</v>
      </c>
      <c r="J6" s="13" t="s">
        <v>1549</v>
      </c>
    </row>
    <row r="7" ht="21.75" customHeight="1">
      <c r="A7" s="57">
        <f>IF(COUNTIF('Candidate Database'!U$4:U$998,$C$2)&gt;=2,2,"")</f>
        <v>2</v>
      </c>
      <c r="B7" s="58" t="str">
        <f>IFERROR(__xludf.DUMMYFUNCTION("IFERROR(INDEX(FILTER('Candidate Database'!B$4:B$998,'Candidate Database'!U$4:U$998=$C$2),2),"""")"),"Nikhil Tambe")</f>
        <v>Nikhil Tambe</v>
      </c>
      <c r="C7" s="59" t="str">
        <f>IFERROR(__xludf.DUMMYFUNCTION("IFERROR(INDEX(FILTER('Candidate Database'!E$4:E$998,'Candidate Database'!U$4:U$998=$C$2),2),"""")"),"ARM")</f>
        <v>ARM</v>
      </c>
      <c r="D7" s="59" t="str">
        <f>IFERROR(__xludf.DUMMYFUNCTION("IFERROR(INDEX(FILTER('Candidate Database'!G$4:G$998,'Candidate Database'!U$4:U$998=$C$2),2),"""")"),"35k")</f>
        <v>35k</v>
      </c>
      <c r="E7" s="59" t="str">
        <f>IFERROR(__xludf.DUMMYFUNCTION("IFERROR(INDEX(FILTER('Candidate Database'!H$4:H$998,'Candidate Database'!U$4:U$998=$C$2),2),"""")"),"45k")</f>
        <v>45k</v>
      </c>
      <c r="F7" s="60" t="str">
        <f>IFERROR(__xludf.DUMMYFUNCTION("IFERROR(INDEX(FILTER('Candidate Database'!R$4:R$998,'Candidate Database'!U$4:U$998=$C$2),2),"""")"),"Nikhil Tambe Resume.pdf")</f>
        <v>Nikhil Tambe Resume.pdf</v>
      </c>
      <c r="G7" s="58" t="str">
        <f>IFERROR(__xludf.DUMMYFUNCTION("IFERROR(INDEX(FILTER('Candidate Database'!P$4:P$998,'Candidate Database'!U$4:U$998=$C$2),2),"""")"),"")</f>
        <v/>
      </c>
      <c r="H7" s="61" t="s">
        <v>1542</v>
      </c>
      <c r="I7" s="13" t="s">
        <v>1550</v>
      </c>
      <c r="J7" s="13" t="s">
        <v>1551</v>
      </c>
    </row>
    <row r="8" ht="21.75" customHeight="1">
      <c r="A8" s="52" t="str">
        <f>IF(COUNTIF('Candidate Database'!U$4:U$998,$C$2)&gt;=3,3,"")</f>
        <v/>
      </c>
      <c r="B8" s="53" t="str">
        <f>IFERROR(__xludf.DUMMYFUNCTION("IFERROR(INDEX(FILTER('Candidate Database'!B$4:B$998,'Candidate Database'!U$4:U$998=$C$2),3),"""")"),"")</f>
        <v/>
      </c>
      <c r="C8" s="54" t="str">
        <f>IFERROR(__xludf.DUMMYFUNCTION("IFERROR(INDEX(FILTER('Candidate Database'!E$4:E$998,'Candidate Database'!U$4:U$998=$C$2),3),"""")"),"")</f>
        <v/>
      </c>
      <c r="D8" s="54" t="str">
        <f>IFERROR(__xludf.DUMMYFUNCTION("IFERROR(INDEX(FILTER('Candidate Database'!G$4:G$998,'Candidate Database'!U$4:U$998=$C$2),3),"""")"),"")</f>
        <v/>
      </c>
      <c r="E8" s="54" t="str">
        <f>IFERROR(__xludf.DUMMYFUNCTION("IFERROR(INDEX(FILTER('Candidate Database'!H$4:H$998,'Candidate Database'!U$4:U$998=$C$2),3),"""")"),"")</f>
        <v/>
      </c>
      <c r="F8" s="53" t="str">
        <f>IFERROR(__xludf.DUMMYFUNCTION("IFERROR(INDEX(FILTER('Candidate Database'!R$4:R$998,'Candidate Database'!U$4:U$998=$C$2),3),"""")"),"")</f>
        <v/>
      </c>
      <c r="G8" s="53" t="str">
        <f>IFERROR(__xludf.DUMMYFUNCTION("IFERROR(INDEX(FILTER('Candidate Database'!P$4:P$998,'Candidate Database'!U$4:U$998=$C$2),3),"""")"),"")</f>
        <v/>
      </c>
      <c r="H8" s="56" t="s">
        <v>1542</v>
      </c>
      <c r="I8" s="13" t="s">
        <v>1552</v>
      </c>
      <c r="J8" s="13" t="s">
        <v>480</v>
      </c>
    </row>
    <row r="9" ht="21.75" customHeight="1">
      <c r="A9" s="57" t="str">
        <f>IF(COUNTIF('Candidate Database'!U$4:U$998,$C$2)&gt;=4,4,"")</f>
        <v/>
      </c>
      <c r="B9" s="58" t="str">
        <f>IFERROR(__xludf.DUMMYFUNCTION("IFERROR(INDEX(FILTER('Candidate Database'!B$4:B$998,'Candidate Database'!U$4:U$998=$C$2),4),"""")"),"")</f>
        <v/>
      </c>
      <c r="C9" s="59" t="str">
        <f>IFERROR(__xludf.DUMMYFUNCTION("IFERROR(INDEX(FILTER('Candidate Database'!E$4:E$998,'Candidate Database'!U$4:U$998=$C$2),4),"""")"),"")</f>
        <v/>
      </c>
      <c r="D9" s="59" t="str">
        <f>IFERROR(__xludf.DUMMYFUNCTION("IFERROR(INDEX(FILTER('Candidate Database'!G$4:G$998,'Candidate Database'!U$4:U$998=$C$2),4),"""")"),"")</f>
        <v/>
      </c>
      <c r="E9" s="59" t="str">
        <f>IFERROR(__xludf.DUMMYFUNCTION("IFERROR(INDEX(FILTER('Candidate Database'!H$4:H$998,'Candidate Database'!U$4:U$998=$C$2),4),"""")"),"")</f>
        <v/>
      </c>
      <c r="F9" s="58" t="str">
        <f>IFERROR(__xludf.DUMMYFUNCTION("IFERROR(INDEX(FILTER('Candidate Database'!R$4:R$998,'Candidate Database'!U$4:U$998=$C$2),4),"""")"),"")</f>
        <v/>
      </c>
      <c r="G9" s="58" t="str">
        <f>IFERROR(__xludf.DUMMYFUNCTION("IFERROR(INDEX(FILTER('Candidate Database'!P$4:P$998,'Candidate Database'!U$4:U$998=$C$2),4),"""")"),"")</f>
        <v/>
      </c>
      <c r="H9" s="61" t="s">
        <v>1542</v>
      </c>
      <c r="I9" s="13"/>
      <c r="J9" s="13" t="s">
        <v>1553</v>
      </c>
    </row>
    <row r="10" ht="21.75" customHeight="1">
      <c r="A10" s="52" t="str">
        <f>IF(COUNTIF('Candidate Database'!U$4:U$998,$C$2)&gt;=5,5,"")</f>
        <v/>
      </c>
      <c r="B10" s="53" t="str">
        <f>IFERROR(__xludf.DUMMYFUNCTION("IFERROR(INDEX(FILTER('Candidate Database'!B$4:B$998,'Candidate Database'!U$4:U$998=$C$2),5),"""")"),"")</f>
        <v/>
      </c>
      <c r="C10" s="54" t="str">
        <f>IFERROR(__xludf.DUMMYFUNCTION("IFERROR(INDEX(FILTER('Candidate Database'!E$4:E$998,'Candidate Database'!U$4:U$998=$C$2),5),"""")"),"")</f>
        <v/>
      </c>
      <c r="D10" s="54" t="str">
        <f>IFERROR(__xludf.DUMMYFUNCTION("IFERROR(INDEX(FILTER('Candidate Database'!G$4:G$998,'Candidate Database'!U$4:U$998=$C$2),5),"""")"),"")</f>
        <v/>
      </c>
      <c r="E10" s="54" t="str">
        <f>IFERROR(__xludf.DUMMYFUNCTION("IFERROR(INDEX(FILTER('Candidate Database'!H$4:H$998,'Candidate Database'!U$4:U$998=$C$2),5),"""")"),"")</f>
        <v/>
      </c>
      <c r="F10" s="53" t="str">
        <f>IFERROR(__xludf.DUMMYFUNCTION("IFERROR(INDEX(FILTER('Candidate Database'!R$4:R$998,'Candidate Database'!U$4:U$998=$C$2),5),"""")"),"")</f>
        <v/>
      </c>
      <c r="G10" s="53" t="str">
        <f>IFERROR(__xludf.DUMMYFUNCTION("IFERROR(INDEX(FILTER('Candidate Database'!P$4:P$998,'Candidate Database'!U$4:U$998=$C$2),5),"""")"),"")</f>
        <v/>
      </c>
      <c r="H10" s="56" t="s">
        <v>1542</v>
      </c>
      <c r="I10" s="13"/>
      <c r="J10" s="13" t="s">
        <v>1554</v>
      </c>
    </row>
    <row r="11" ht="21.75" customHeight="1">
      <c r="A11" s="57" t="str">
        <f>IF(COUNTIF('Candidate Database'!U$4:U$998,$C$2)&gt;=6,6,"")</f>
        <v/>
      </c>
      <c r="B11" s="58" t="str">
        <f>IFERROR(__xludf.DUMMYFUNCTION("IFERROR(INDEX(FILTER('Candidate Database'!B$4:B$998,'Candidate Database'!U$4:U$998=$C$2),6),"""")"),"")</f>
        <v/>
      </c>
      <c r="C11" s="59" t="str">
        <f>IFERROR(__xludf.DUMMYFUNCTION("IFERROR(INDEX(FILTER('Candidate Database'!E$4:E$998,'Candidate Database'!U$4:U$998=$C$2),6),"""")"),"")</f>
        <v/>
      </c>
      <c r="D11" s="59" t="str">
        <f>IFERROR(__xludf.DUMMYFUNCTION("IFERROR(INDEX(FILTER('Candidate Database'!G$4:G$998,'Candidate Database'!U$4:U$998=$C$2),6),"""")"),"")</f>
        <v/>
      </c>
      <c r="E11" s="59" t="str">
        <f>IFERROR(__xludf.DUMMYFUNCTION("IFERROR(INDEX(FILTER('Candidate Database'!H$4:H$998,'Candidate Database'!U$4:U$998=$C$2),6),"""")"),"")</f>
        <v/>
      </c>
      <c r="F11" s="58" t="str">
        <f>IFERROR(__xludf.DUMMYFUNCTION("IFERROR(INDEX(FILTER('Candidate Database'!R$4:R$998,'Candidate Database'!U$4:U$998=$C$2),6),"""")"),"")</f>
        <v/>
      </c>
      <c r="G11" s="58" t="str">
        <f>IFERROR(__xludf.DUMMYFUNCTION("IFERROR(INDEX(FILTER('Candidate Database'!P$4:P$998,'Candidate Database'!U$4:U$998=$C$2),6),"""")"),"")</f>
        <v/>
      </c>
      <c r="H11" s="61" t="s">
        <v>1542</v>
      </c>
      <c r="I11" s="13"/>
      <c r="J11" s="13" t="s">
        <v>1555</v>
      </c>
    </row>
    <row r="12" ht="21.75" customHeight="1">
      <c r="A12" s="52" t="str">
        <f>IF(COUNTIF('Candidate Database'!U$4:U$998,$C$2)&gt;=7,7,"")</f>
        <v/>
      </c>
      <c r="B12" s="53" t="str">
        <f>IFERROR(__xludf.DUMMYFUNCTION("IFERROR(INDEX(FILTER('Candidate Database'!B$4:B$998,'Candidate Database'!U$4:U$998=$C$2),7),"""")"),"")</f>
        <v/>
      </c>
      <c r="C12" s="54" t="str">
        <f>IFERROR(__xludf.DUMMYFUNCTION("IFERROR(INDEX(FILTER('Candidate Database'!E$4:E$998,'Candidate Database'!U$4:U$998=$C$2),7),"""")"),"")</f>
        <v/>
      </c>
      <c r="D12" s="54" t="str">
        <f>IFERROR(__xludf.DUMMYFUNCTION("IFERROR(INDEX(FILTER('Candidate Database'!G$4:G$998,'Candidate Database'!U$4:U$998=$C$2),7),"""")"),"")</f>
        <v/>
      </c>
      <c r="E12" s="54" t="str">
        <f>IFERROR(__xludf.DUMMYFUNCTION("IFERROR(INDEX(FILTER('Candidate Database'!H$4:H$998,'Candidate Database'!U$4:U$998=$C$2),7),"""")"),"")</f>
        <v/>
      </c>
      <c r="F12" s="53" t="str">
        <f>IFERROR(__xludf.DUMMYFUNCTION("IFERROR(INDEX(FILTER('Candidate Database'!R$4:R$998,'Candidate Database'!U$4:U$998=$C$2),7),"""")"),"")</f>
        <v/>
      </c>
      <c r="G12" s="53" t="str">
        <f>IFERROR(__xludf.DUMMYFUNCTION("IFERROR(INDEX(FILTER('Candidate Database'!P$4:P$998,'Candidate Database'!U$4:U$998=$C$2),7),"""")"),"")</f>
        <v/>
      </c>
      <c r="H12" s="56" t="s">
        <v>1542</v>
      </c>
      <c r="I12" s="13"/>
      <c r="J12" s="13" t="s">
        <v>1556</v>
      </c>
    </row>
    <row r="13" ht="21.75" customHeight="1">
      <c r="A13" s="57" t="str">
        <f>IF(COUNTIF('Candidate Database'!U$4:U$998,$C$2)&gt;=8,8,"")</f>
        <v/>
      </c>
      <c r="B13" s="58" t="str">
        <f>IFERROR(__xludf.DUMMYFUNCTION("IFERROR(INDEX(FILTER('Candidate Database'!B$4:B$998,'Candidate Database'!U$4:U$998=$C$2),8),"""")"),"")</f>
        <v/>
      </c>
      <c r="C13" s="59" t="str">
        <f>IFERROR(__xludf.DUMMYFUNCTION("IFERROR(INDEX(FILTER('Candidate Database'!E$4:E$998,'Candidate Database'!U$4:U$998=$C$2),8),"""")"),"")</f>
        <v/>
      </c>
      <c r="D13" s="59" t="str">
        <f>IFERROR(__xludf.DUMMYFUNCTION("IFERROR(INDEX(FILTER('Candidate Database'!G$4:G$998,'Candidate Database'!U$4:U$998=$C$2),8),"""")"),"")</f>
        <v/>
      </c>
      <c r="E13" s="59" t="str">
        <f>IFERROR(__xludf.DUMMYFUNCTION("IFERROR(INDEX(FILTER('Candidate Database'!H$4:H$998,'Candidate Database'!U$4:U$998=$C$2),8),"""")"),"")</f>
        <v/>
      </c>
      <c r="F13" s="58" t="str">
        <f>IFERROR(__xludf.DUMMYFUNCTION("IFERROR(INDEX(FILTER('Candidate Database'!R$4:R$998,'Candidate Database'!U$4:U$998=$C$2),8),"""")"),"")</f>
        <v/>
      </c>
      <c r="G13" s="58" t="str">
        <f>IFERROR(__xludf.DUMMYFUNCTION("IFERROR(INDEX(FILTER('Candidate Database'!P$4:P$998,'Candidate Database'!U$4:U$998=$C$2),8),"""")"),"")</f>
        <v/>
      </c>
      <c r="H13" s="59"/>
      <c r="I13" s="13"/>
      <c r="J13" s="13" t="s">
        <v>1557</v>
      </c>
    </row>
    <row r="14" ht="21.75" customHeight="1">
      <c r="A14" s="52" t="str">
        <f>IF(COUNTIF('Candidate Database'!U$4:U$998,$C$2)&gt;=9,9,"")</f>
        <v/>
      </c>
      <c r="B14" s="53" t="str">
        <f>IFERROR(__xludf.DUMMYFUNCTION("IFERROR(INDEX(FILTER('Candidate Database'!B$4:B$998,'Candidate Database'!U$4:U$998=$C$2),9),"""")"),"")</f>
        <v/>
      </c>
      <c r="C14" s="54" t="str">
        <f>IFERROR(__xludf.DUMMYFUNCTION("IFERROR(INDEX(FILTER('Candidate Database'!E$4:E$998,'Candidate Database'!U$4:U$998=$C$2),9),"""")"),"")</f>
        <v/>
      </c>
      <c r="D14" s="54" t="str">
        <f>IFERROR(__xludf.DUMMYFUNCTION("IFERROR(INDEX(FILTER('Candidate Database'!G$4:G$998,'Candidate Database'!U$4:U$998=$C$2),9),"""")"),"")</f>
        <v/>
      </c>
      <c r="E14" s="54" t="str">
        <f>IFERROR(__xludf.DUMMYFUNCTION("IFERROR(INDEX(FILTER('Candidate Database'!H$4:H$998,'Candidate Database'!U$4:U$998=$C$2),9),"""")"),"")</f>
        <v/>
      </c>
      <c r="F14" s="53" t="str">
        <f>IFERROR(__xludf.DUMMYFUNCTION("IFERROR(INDEX(FILTER('Candidate Database'!R$4:R$998,'Candidate Database'!U$4:U$998=$C$2),9),"""")"),"")</f>
        <v/>
      </c>
      <c r="G14" s="53" t="str">
        <f>IFERROR(__xludf.DUMMYFUNCTION("IFERROR(INDEX(FILTER('Candidate Database'!P$4:P$998,'Candidate Database'!U$4:U$998=$C$2),9),"""")"),"")</f>
        <v/>
      </c>
      <c r="H14" s="56" t="s">
        <v>1542</v>
      </c>
      <c r="I14" s="13"/>
      <c r="J14" s="13" t="s">
        <v>1558</v>
      </c>
    </row>
    <row r="15" ht="21.75" customHeight="1">
      <c r="A15" s="57" t="str">
        <f>IF(COUNTIF('Candidate Database'!U$4:U$998,$C$2)&gt;=10,10,"")</f>
        <v/>
      </c>
      <c r="B15" s="58" t="str">
        <f>IFERROR(__xludf.DUMMYFUNCTION("IFERROR(INDEX(FILTER('Candidate Database'!B$4:B$998,'Candidate Database'!U$4:U$998=$C$2),10),"""")"),"")</f>
        <v/>
      </c>
      <c r="C15" s="59" t="str">
        <f>IFERROR(__xludf.DUMMYFUNCTION("IFERROR(INDEX(FILTER('Candidate Database'!E$4:E$998,'Candidate Database'!U$4:U$998=$C$2),10),"""")"),"")</f>
        <v/>
      </c>
      <c r="D15" s="59" t="str">
        <f>IFERROR(__xludf.DUMMYFUNCTION("IFERROR(INDEX(FILTER('Candidate Database'!G$4:G$998,'Candidate Database'!U$4:U$998=$C$2),10),"""")"),"")</f>
        <v/>
      </c>
      <c r="E15" s="59" t="str">
        <f>IFERROR(__xludf.DUMMYFUNCTION("IFERROR(INDEX(FILTER('Candidate Database'!H$4:H$998,'Candidate Database'!U$4:U$998=$C$2),10),"""")"),"")</f>
        <v/>
      </c>
      <c r="F15" s="58" t="str">
        <f>IFERROR(__xludf.DUMMYFUNCTION("IFERROR(INDEX(FILTER('Candidate Database'!R$4:R$998,'Candidate Database'!U$4:U$998=$C$2),10),"""")"),"")</f>
        <v/>
      </c>
      <c r="G15" s="58" t="str">
        <f>IFERROR(__xludf.DUMMYFUNCTION("IFERROR(INDEX(FILTER('Candidate Database'!P$4:P$998,'Candidate Database'!U$4:U$998=$C$2),10),"""")"),"")</f>
        <v/>
      </c>
      <c r="H15" s="59"/>
      <c r="I15" s="13"/>
      <c r="J15" s="13" t="s">
        <v>1559</v>
      </c>
    </row>
    <row r="16" ht="21.75" customHeight="1">
      <c r="A16" s="52" t="str">
        <f>IF(COUNTIF('Candidate Database'!U$4:U$998,$C$2)&gt;=11,11,"")</f>
        <v/>
      </c>
      <c r="B16" s="53" t="str">
        <f>IFERROR(__xludf.DUMMYFUNCTION("IFERROR(INDEX(FILTER('Candidate Database'!B$4:B$998,'Candidate Database'!U$4:U$998=$C$2),11),"""")"),"")</f>
        <v/>
      </c>
      <c r="C16" s="54" t="str">
        <f>IFERROR(__xludf.DUMMYFUNCTION("IFERROR(INDEX(FILTER('Candidate Database'!E$4:E$998,'Candidate Database'!U$4:U$998=$C$2),11),"""")"),"")</f>
        <v/>
      </c>
      <c r="D16" s="54" t="str">
        <f>IFERROR(__xludf.DUMMYFUNCTION("IFERROR(INDEX(FILTER('Candidate Database'!G$4:G$998,'Candidate Database'!U$4:U$998=$C$2),11),"""")"),"")</f>
        <v/>
      </c>
      <c r="E16" s="54" t="str">
        <f>IFERROR(__xludf.DUMMYFUNCTION("IFERROR(INDEX(FILTER('Candidate Database'!H$4:H$998,'Candidate Database'!U$4:U$998=$C$2),11),"""")"),"")</f>
        <v/>
      </c>
      <c r="F16" s="53" t="str">
        <f>IFERROR(__xludf.DUMMYFUNCTION("IFERROR(INDEX(FILTER('Candidate Database'!R$4:R$998,'Candidate Database'!U$4:U$998=$C$2),11),"""")"),"")</f>
        <v/>
      </c>
      <c r="G16" s="53" t="str">
        <f>IFERROR(__xludf.DUMMYFUNCTION("IFERROR(INDEX(FILTER('Candidate Database'!P$4:P$998,'Candidate Database'!U$4:U$998=$C$2),11),"""")"),"")</f>
        <v/>
      </c>
      <c r="H16" s="54"/>
      <c r="I16" s="13"/>
      <c r="J16" s="13" t="s">
        <v>246</v>
      </c>
    </row>
    <row r="17" ht="21.75" customHeight="1">
      <c r="A17" s="57" t="str">
        <f>IF(COUNTIF('Candidate Database'!U$4:U$998,$C$2)&gt;=12,12,"")</f>
        <v/>
      </c>
      <c r="B17" s="58" t="str">
        <f>IFERROR(__xludf.DUMMYFUNCTION("IFERROR(INDEX(FILTER('Candidate Database'!B$4:B$998,'Candidate Database'!U$4:U$998=$C$2),12),"""")"),"")</f>
        <v/>
      </c>
      <c r="C17" s="59" t="str">
        <f>IFERROR(__xludf.DUMMYFUNCTION("IFERROR(INDEX(FILTER('Candidate Database'!E$4:E$998,'Candidate Database'!U$4:U$998=$C$2),12),"""")"),"")</f>
        <v/>
      </c>
      <c r="D17" s="59" t="str">
        <f>IFERROR(__xludf.DUMMYFUNCTION("IFERROR(INDEX(FILTER('Candidate Database'!G$4:G$998,'Candidate Database'!U$4:U$998=$C$2),12),"""")"),"")</f>
        <v/>
      </c>
      <c r="E17" s="59" t="str">
        <f>IFERROR(__xludf.DUMMYFUNCTION("IFERROR(INDEX(FILTER('Candidate Database'!H$4:H$998,'Candidate Database'!U$4:U$998=$C$2),12),"""")"),"")</f>
        <v/>
      </c>
      <c r="F17" s="58" t="str">
        <f>IFERROR(__xludf.DUMMYFUNCTION("IFERROR(INDEX(FILTER('Candidate Database'!R$4:R$998,'Candidate Database'!U$4:U$998=$C$2),12),"""")"),"")</f>
        <v/>
      </c>
      <c r="G17" s="58" t="str">
        <f>IFERROR(__xludf.DUMMYFUNCTION("IFERROR(INDEX(FILTER('Candidate Database'!P$4:P$998,'Candidate Database'!U$4:U$998=$C$2),12),"""")"),"")</f>
        <v/>
      </c>
      <c r="H17" s="59"/>
      <c r="I17" s="13"/>
      <c r="J17" s="13" t="s">
        <v>125</v>
      </c>
    </row>
    <row r="18" ht="21.75" customHeight="1">
      <c r="A18" s="52" t="str">
        <f>IF(COUNTIF('Candidate Database'!U$4:U$998,$C$2)&gt;=13,13,"")</f>
        <v/>
      </c>
      <c r="B18" s="53" t="str">
        <f>IFERROR(__xludf.DUMMYFUNCTION("IFERROR(INDEX(FILTER('Candidate Database'!B$4:B$998,'Candidate Database'!U$4:U$998=$C$2),13),"""")"),"")</f>
        <v/>
      </c>
      <c r="C18" s="54" t="str">
        <f>IFERROR(__xludf.DUMMYFUNCTION("IFERROR(INDEX(FILTER('Candidate Database'!E$4:E$998,'Candidate Database'!U$4:U$998=$C$2),13),"""")"),"")</f>
        <v/>
      </c>
      <c r="D18" s="54" t="str">
        <f>IFERROR(__xludf.DUMMYFUNCTION("IFERROR(INDEX(FILTER('Candidate Database'!G$4:G$998,'Candidate Database'!U$4:U$998=$C$2),13),"""")"),"")</f>
        <v/>
      </c>
      <c r="E18" s="54" t="str">
        <f>IFERROR(__xludf.DUMMYFUNCTION("IFERROR(INDEX(FILTER('Candidate Database'!H$4:H$998,'Candidate Database'!U$4:U$998=$C$2),13),"""")"),"")</f>
        <v/>
      </c>
      <c r="F18" s="53" t="str">
        <f>IFERROR(__xludf.DUMMYFUNCTION("IFERROR(INDEX(FILTER('Candidate Database'!R$4:R$998,'Candidate Database'!U$4:U$998=$C$2),13),"""")"),"")</f>
        <v/>
      </c>
      <c r="G18" s="53" t="str">
        <f>IFERROR(__xludf.DUMMYFUNCTION("IFERROR(INDEX(FILTER('Candidate Database'!P$4:P$998,'Candidate Database'!U$4:U$998=$C$2),13),"""")"),"")</f>
        <v/>
      </c>
      <c r="H18" s="54"/>
      <c r="I18" s="13"/>
      <c r="J18" s="13" t="s">
        <v>145</v>
      </c>
    </row>
    <row r="19" ht="21.75" customHeight="1">
      <c r="A19" s="57" t="str">
        <f>IF(COUNTIF('Candidate Database'!U$4:U$998,$C$2)&gt;=14,14,"")</f>
        <v/>
      </c>
      <c r="B19" s="58" t="str">
        <f>IFERROR(__xludf.DUMMYFUNCTION("IFERROR(INDEX(FILTER('Candidate Database'!B$4:B$998,'Candidate Database'!U$4:U$998=$C$2),14),"""")"),"")</f>
        <v/>
      </c>
      <c r="C19" s="59" t="str">
        <f>IFERROR(__xludf.DUMMYFUNCTION("IFERROR(INDEX(FILTER('Candidate Database'!E$4:E$998,'Candidate Database'!U$4:U$998=$C$2),14),"""")"),"")</f>
        <v/>
      </c>
      <c r="D19" s="59" t="str">
        <f>IFERROR(__xludf.DUMMYFUNCTION("IFERROR(INDEX(FILTER('Candidate Database'!G$4:G$998,'Candidate Database'!U$4:U$998=$C$2),14),"""")"),"")</f>
        <v/>
      </c>
      <c r="E19" s="59" t="str">
        <f>IFERROR(__xludf.DUMMYFUNCTION("IFERROR(INDEX(FILTER('Candidate Database'!H$4:H$998,'Candidate Database'!U$4:U$998=$C$2),14),"""")"),"")</f>
        <v/>
      </c>
      <c r="F19" s="58" t="str">
        <f>IFERROR(__xludf.DUMMYFUNCTION("IFERROR(INDEX(FILTER('Candidate Database'!R$4:R$998,'Candidate Database'!U$4:U$998=$C$2),14),"""")"),"")</f>
        <v/>
      </c>
      <c r="G19" s="58" t="str">
        <f>IFERROR(__xludf.DUMMYFUNCTION("IFERROR(INDEX(FILTER('Candidate Database'!P$4:P$998,'Candidate Database'!U$4:U$998=$C$2),14),"""")"),"")</f>
        <v/>
      </c>
      <c r="H19" s="59"/>
      <c r="I19" s="13"/>
      <c r="J19" s="13" t="s">
        <v>154</v>
      </c>
    </row>
    <row r="20" ht="21.75" customHeight="1">
      <c r="A20" s="52" t="str">
        <f>IF(COUNTIF('Candidate Database'!U$4:U$998,$C$2)&gt;=15,15,"")</f>
        <v/>
      </c>
      <c r="B20" s="53" t="str">
        <f>IFERROR(__xludf.DUMMYFUNCTION("IFERROR(INDEX(FILTER('Candidate Database'!B$4:B$998,'Candidate Database'!U$4:U$998=$C$2),15),"""")"),"")</f>
        <v/>
      </c>
      <c r="C20" s="54" t="str">
        <f>IFERROR(__xludf.DUMMYFUNCTION("IFERROR(INDEX(FILTER('Candidate Database'!E$4:E$998,'Candidate Database'!U$4:U$998=$C$2),15),"""")"),"")</f>
        <v/>
      </c>
      <c r="D20" s="54" t="str">
        <f>IFERROR(__xludf.DUMMYFUNCTION("IFERROR(INDEX(FILTER('Candidate Database'!G$4:G$998,'Candidate Database'!U$4:U$998=$C$2),15),"""")"),"")</f>
        <v/>
      </c>
      <c r="E20" s="54" t="str">
        <f>IFERROR(__xludf.DUMMYFUNCTION("IFERROR(INDEX(FILTER('Candidate Database'!H$4:H$998,'Candidate Database'!U$4:U$998=$C$2),15),"""")"),"")</f>
        <v/>
      </c>
      <c r="F20" s="53" t="str">
        <f>IFERROR(__xludf.DUMMYFUNCTION("IFERROR(INDEX(FILTER('Candidate Database'!R$4:R$998,'Candidate Database'!U$4:U$998=$C$2),15),"""")"),"")</f>
        <v/>
      </c>
      <c r="G20" s="53" t="str">
        <f>IFERROR(__xludf.DUMMYFUNCTION("IFERROR(INDEX(FILTER('Candidate Database'!P$4:P$998,'Candidate Database'!U$4:U$998=$C$2),15),"""")"),"")</f>
        <v/>
      </c>
      <c r="H20" s="54"/>
      <c r="I20" s="13"/>
      <c r="J20" s="13" t="s">
        <v>162</v>
      </c>
    </row>
    <row r="21" ht="21.75" customHeight="1">
      <c r="A21" s="57" t="str">
        <f>IF(COUNTIF('Candidate Database'!U$4:U$998,$C$2)&gt;=16,16,"")</f>
        <v/>
      </c>
      <c r="B21" s="58" t="str">
        <f>IFERROR(__xludf.DUMMYFUNCTION("IFERROR(INDEX(FILTER('Candidate Database'!B$4:B$998,'Candidate Database'!U$4:U$998=$C$2),16),"""")"),"")</f>
        <v/>
      </c>
      <c r="C21" s="59" t="str">
        <f>IFERROR(__xludf.DUMMYFUNCTION("IFERROR(INDEX(FILTER('Candidate Database'!E$4:E$998,'Candidate Database'!U$4:U$998=$C$2),16),"""")"),"")</f>
        <v/>
      </c>
      <c r="D21" s="59" t="str">
        <f>IFERROR(__xludf.DUMMYFUNCTION("IFERROR(INDEX(FILTER('Candidate Database'!G$4:G$998,'Candidate Database'!U$4:U$998=$C$2),16),"""")"),"")</f>
        <v/>
      </c>
      <c r="E21" s="59" t="str">
        <f>IFERROR(__xludf.DUMMYFUNCTION("IFERROR(INDEX(FILTER('Candidate Database'!H$4:H$998,'Candidate Database'!U$4:U$998=$C$2),16),"""")"),"")</f>
        <v/>
      </c>
      <c r="F21" s="58" t="str">
        <f>IFERROR(__xludf.DUMMYFUNCTION("IFERROR(INDEX(FILTER('Candidate Database'!R$4:R$998,'Candidate Database'!U$4:U$998=$C$2),16),"""")"),"")</f>
        <v/>
      </c>
      <c r="G21" s="58" t="str">
        <f>IFERROR(__xludf.DUMMYFUNCTION("IFERROR(INDEX(FILTER('Candidate Database'!P$4:P$998,'Candidate Database'!U$4:U$998=$C$2),16),"""")"),"")</f>
        <v/>
      </c>
      <c r="H21" s="59"/>
      <c r="I21" s="13"/>
      <c r="J21" s="13" t="s">
        <v>172</v>
      </c>
    </row>
    <row r="22" ht="21.75" customHeight="1">
      <c r="A22" s="52" t="str">
        <f>IF(COUNTIF('Candidate Database'!U$4:U$998,$C$2)&gt;=17,17,"")</f>
        <v/>
      </c>
      <c r="B22" s="53" t="str">
        <f>IFERROR(__xludf.DUMMYFUNCTION("IFERROR(INDEX(FILTER('Candidate Database'!B$4:B$998,'Candidate Database'!U$4:U$998=$C$2),17),"""")"),"")</f>
        <v/>
      </c>
      <c r="C22" s="54" t="str">
        <f>IFERROR(__xludf.DUMMYFUNCTION("IFERROR(INDEX(FILTER('Candidate Database'!E$4:E$998,'Candidate Database'!U$4:U$998=$C$2),17),"""")"),"")</f>
        <v/>
      </c>
      <c r="D22" s="54" t="str">
        <f>IFERROR(__xludf.DUMMYFUNCTION("IFERROR(INDEX(FILTER('Candidate Database'!G$4:G$998,'Candidate Database'!U$4:U$998=$C$2),17),"""")"),"")</f>
        <v/>
      </c>
      <c r="E22" s="54" t="str">
        <f>IFERROR(__xludf.DUMMYFUNCTION("IFERROR(INDEX(FILTER('Candidate Database'!H$4:H$998,'Candidate Database'!U$4:U$998=$C$2),17),"""")"),"")</f>
        <v/>
      </c>
      <c r="F22" s="53" t="str">
        <f>IFERROR(__xludf.DUMMYFUNCTION("IFERROR(INDEX(FILTER('Candidate Database'!R$4:R$998,'Candidate Database'!U$4:U$998=$C$2),17),"""")"),"")</f>
        <v/>
      </c>
      <c r="G22" s="53" t="str">
        <f>IFERROR(__xludf.DUMMYFUNCTION("IFERROR(INDEX(FILTER('Candidate Database'!P$4:P$998,'Candidate Database'!U$4:U$998=$C$2),17),"""")"),"")</f>
        <v/>
      </c>
      <c r="H22" s="54"/>
      <c r="I22" s="13"/>
      <c r="J22" s="13" t="s">
        <v>153</v>
      </c>
    </row>
    <row r="23" ht="21.75" customHeight="1">
      <c r="A23" s="57" t="str">
        <f>IF(COUNTIF('Candidate Database'!U$4:U$998,$C$2)&gt;=18,18,"")</f>
        <v/>
      </c>
      <c r="B23" s="58" t="str">
        <f>IFERROR(__xludf.DUMMYFUNCTION("IFERROR(INDEX(FILTER('Candidate Database'!B$4:B$998,'Candidate Database'!U$4:U$998=$C$2),18),"""")"),"")</f>
        <v/>
      </c>
      <c r="C23" s="59" t="str">
        <f>IFERROR(__xludf.DUMMYFUNCTION("IFERROR(INDEX(FILTER('Candidate Database'!E$4:E$998,'Candidate Database'!U$4:U$998=$C$2),18),"""")"),"")</f>
        <v/>
      </c>
      <c r="D23" s="59" t="str">
        <f>IFERROR(__xludf.DUMMYFUNCTION("IFERROR(INDEX(FILTER('Candidate Database'!G$4:G$998,'Candidate Database'!U$4:U$998=$C$2),18),"""")"),"")</f>
        <v/>
      </c>
      <c r="E23" s="59" t="str">
        <f>IFERROR(__xludf.DUMMYFUNCTION("IFERROR(INDEX(FILTER('Candidate Database'!H$4:H$998,'Candidate Database'!U$4:U$998=$C$2),18),"""")"),"")</f>
        <v/>
      </c>
      <c r="F23" s="58" t="str">
        <f>IFERROR(__xludf.DUMMYFUNCTION("IFERROR(INDEX(FILTER('Candidate Database'!R$4:R$998,'Candidate Database'!U$4:U$998=$C$2),18),"""")"),"")</f>
        <v/>
      </c>
      <c r="G23" s="58" t="str">
        <f>IFERROR(__xludf.DUMMYFUNCTION("IFERROR(INDEX(FILTER('Candidate Database'!P$4:P$998,'Candidate Database'!U$4:U$998=$C$2),18),"""")"),"")</f>
        <v/>
      </c>
      <c r="H23" s="59"/>
      <c r="I23" s="13"/>
      <c r="J23" s="13" t="s">
        <v>182</v>
      </c>
    </row>
    <row r="24" ht="21.75" customHeight="1">
      <c r="A24" s="52" t="str">
        <f>IF(COUNTIF('Candidate Database'!U$4:U$998,$C$2)&gt;=19,19,"")</f>
        <v/>
      </c>
      <c r="B24" s="53" t="str">
        <f>IFERROR(__xludf.DUMMYFUNCTION("IFERROR(INDEX(FILTER('Candidate Database'!B$4:B$998,'Candidate Database'!U$4:U$998=$C$2),19),"""")"),"")</f>
        <v/>
      </c>
      <c r="C24" s="54" t="str">
        <f>IFERROR(__xludf.DUMMYFUNCTION("IFERROR(INDEX(FILTER('Candidate Database'!E$4:E$998,'Candidate Database'!U$4:U$998=$C$2),19),"""")"),"")</f>
        <v/>
      </c>
      <c r="D24" s="54" t="str">
        <f>IFERROR(__xludf.DUMMYFUNCTION("IFERROR(INDEX(FILTER('Candidate Database'!G$4:G$998,'Candidate Database'!U$4:U$998=$C$2),19),"""")"),"")</f>
        <v/>
      </c>
      <c r="E24" s="54" t="str">
        <f>IFERROR(__xludf.DUMMYFUNCTION("IFERROR(INDEX(FILTER('Candidate Database'!H$4:H$998,'Candidate Database'!U$4:U$998=$C$2),19),"""")"),"")</f>
        <v/>
      </c>
      <c r="F24" s="53" t="str">
        <f>IFERROR(__xludf.DUMMYFUNCTION("IFERROR(INDEX(FILTER('Candidate Database'!R$4:R$998,'Candidate Database'!U$4:U$998=$C$2),19),"""")"),"")</f>
        <v/>
      </c>
      <c r="G24" s="53" t="str">
        <f>IFERROR(__xludf.DUMMYFUNCTION("IFERROR(INDEX(FILTER('Candidate Database'!P$4:P$998,'Candidate Database'!U$4:U$998=$C$2),19),"""")"),"")</f>
        <v/>
      </c>
      <c r="H24" s="54"/>
      <c r="I24" s="13"/>
      <c r="J24" s="13" t="s">
        <v>187</v>
      </c>
    </row>
    <row r="25" ht="21.75" customHeight="1">
      <c r="A25" s="57" t="str">
        <f>IF(COUNTIF('Candidate Database'!U$4:U$998,$C$2)&gt;=20,20,"")</f>
        <v/>
      </c>
      <c r="B25" s="58" t="str">
        <f>IFERROR(__xludf.DUMMYFUNCTION("IFERROR(INDEX(FILTER('Candidate Database'!B$4:B$998,'Candidate Database'!U$4:U$998=$C$2),20),"""")"),"")</f>
        <v/>
      </c>
      <c r="C25" s="59" t="str">
        <f>IFERROR(__xludf.DUMMYFUNCTION("IFERROR(INDEX(FILTER('Candidate Database'!E$4:E$998,'Candidate Database'!U$4:U$998=$C$2),20),"""")"),"")</f>
        <v/>
      </c>
      <c r="D25" s="59" t="str">
        <f>IFERROR(__xludf.DUMMYFUNCTION("IFERROR(INDEX(FILTER('Candidate Database'!G$4:G$998,'Candidate Database'!U$4:U$998=$C$2),20),"""")"),"")</f>
        <v/>
      </c>
      <c r="E25" s="59" t="str">
        <f>IFERROR(__xludf.DUMMYFUNCTION("IFERROR(INDEX(FILTER('Candidate Database'!H$4:H$998,'Candidate Database'!U$4:U$998=$C$2),20),"""")"),"")</f>
        <v/>
      </c>
      <c r="F25" s="58" t="str">
        <f>IFERROR(__xludf.DUMMYFUNCTION("IFERROR(INDEX(FILTER('Candidate Database'!R$4:R$998,'Candidate Database'!U$4:U$998=$C$2),20),"""")"),"")</f>
        <v/>
      </c>
      <c r="G25" s="58" t="str">
        <f>IFERROR(__xludf.DUMMYFUNCTION("IFERROR(INDEX(FILTER('Candidate Database'!P$4:P$998,'Candidate Database'!U$4:U$998=$C$2),20),"""")"),"")</f>
        <v/>
      </c>
      <c r="H25" s="59"/>
      <c r="I25" s="13"/>
      <c r="J25" s="13" t="s">
        <v>161</v>
      </c>
    </row>
    <row r="26" ht="21.75" customHeight="1">
      <c r="A26" s="52" t="str">
        <f>IF(COUNTIF('Candidate Database'!U$4:U$998,$C$2)&gt;=21,21,"")</f>
        <v/>
      </c>
      <c r="B26" s="53" t="str">
        <f>IFERROR(__xludf.DUMMYFUNCTION("IFERROR(INDEX(FILTER('Candidate Database'!B$4:B$998,'Candidate Database'!U$4:U$998=$C$2),21),"""")"),"")</f>
        <v/>
      </c>
      <c r="C26" s="54" t="str">
        <f>IFERROR(__xludf.DUMMYFUNCTION("IFERROR(INDEX(FILTER('Candidate Database'!E$4:E$998,'Candidate Database'!U$4:U$998=$C$2),21),"""")"),"")</f>
        <v/>
      </c>
      <c r="D26" s="54" t="str">
        <f>IFERROR(__xludf.DUMMYFUNCTION("IFERROR(INDEX(FILTER('Candidate Database'!G$4:G$998,'Candidate Database'!U$4:U$998=$C$2),21),"""")"),"")</f>
        <v/>
      </c>
      <c r="E26" s="54" t="str">
        <f>IFERROR(__xludf.DUMMYFUNCTION("IFERROR(INDEX(FILTER('Candidate Database'!H$4:H$998,'Candidate Database'!U$4:U$998=$C$2),21),"""")"),"")</f>
        <v/>
      </c>
      <c r="F26" s="53" t="str">
        <f>IFERROR(__xludf.DUMMYFUNCTION("IFERROR(INDEX(FILTER('Candidate Database'!R$4:R$998,'Candidate Database'!U$4:U$998=$C$2),21),"""")"),"")</f>
        <v/>
      </c>
      <c r="G26" s="53" t="str">
        <f>IFERROR(__xludf.DUMMYFUNCTION("IFERROR(INDEX(FILTER('Candidate Database'!P$4:P$998,'Candidate Database'!U$4:U$998=$C$2),21),"""")"),"")</f>
        <v/>
      </c>
      <c r="H26" s="54"/>
      <c r="I26" s="13"/>
      <c r="J26" s="13" t="s">
        <v>203</v>
      </c>
    </row>
    <row r="27" ht="21.75" customHeight="1">
      <c r="A27" s="57" t="str">
        <f>IF(COUNTIF('Candidate Database'!U$4:U$998,$C$2)&gt;=22,22,"")</f>
        <v/>
      </c>
      <c r="B27" s="58" t="str">
        <f>IFERROR(__xludf.DUMMYFUNCTION("IFERROR(INDEX(FILTER('Candidate Database'!B$4:B$998,'Candidate Database'!U$4:U$998=$C$2),22),"""")"),"")</f>
        <v/>
      </c>
      <c r="C27" s="59" t="str">
        <f>IFERROR(__xludf.DUMMYFUNCTION("IFERROR(INDEX(FILTER('Candidate Database'!E$4:E$998,'Candidate Database'!U$4:U$998=$C$2),22),"""")"),"")</f>
        <v/>
      </c>
      <c r="D27" s="59" t="str">
        <f>IFERROR(__xludf.DUMMYFUNCTION("IFERROR(INDEX(FILTER('Candidate Database'!G$4:G$998,'Candidate Database'!U$4:U$998=$C$2),22),"""")"),"")</f>
        <v/>
      </c>
      <c r="E27" s="59" t="str">
        <f>IFERROR(__xludf.DUMMYFUNCTION("IFERROR(INDEX(FILTER('Candidate Database'!H$4:H$998,'Candidate Database'!U$4:U$998=$C$2),22),"""")"),"")</f>
        <v/>
      </c>
      <c r="F27" s="58" t="str">
        <f>IFERROR(__xludf.DUMMYFUNCTION("IFERROR(INDEX(FILTER('Candidate Database'!R$4:R$998,'Candidate Database'!U$4:U$998=$C$2),22),"""")"),"")</f>
        <v/>
      </c>
      <c r="G27" s="58" t="str">
        <f>IFERROR(__xludf.DUMMYFUNCTION("IFERROR(INDEX(FILTER('Candidate Database'!P$4:P$998,'Candidate Database'!U$4:U$998=$C$2),22),"""")"),"")</f>
        <v/>
      </c>
      <c r="H27" s="59"/>
      <c r="I27" s="13"/>
      <c r="J27" s="13" t="s">
        <v>209</v>
      </c>
    </row>
    <row r="28" ht="21.75" customHeight="1">
      <c r="A28" s="52" t="str">
        <f>IF(COUNTIF('Candidate Database'!U$4:U$998,$C$2)&gt;=23,23,"")</f>
        <v/>
      </c>
      <c r="B28" s="53" t="str">
        <f>IFERROR(__xludf.DUMMYFUNCTION("IFERROR(INDEX(FILTER('Candidate Database'!B$4:B$998,'Candidate Database'!U$4:U$998=$C$2),23),"""")"),"")</f>
        <v/>
      </c>
      <c r="C28" s="54" t="str">
        <f>IFERROR(__xludf.DUMMYFUNCTION("IFERROR(INDEX(FILTER('Candidate Database'!E$4:E$998,'Candidate Database'!U$4:U$998=$C$2),23),"""")"),"")</f>
        <v/>
      </c>
      <c r="D28" s="54" t="str">
        <f>IFERROR(__xludf.DUMMYFUNCTION("IFERROR(INDEX(FILTER('Candidate Database'!G$4:G$998,'Candidate Database'!U$4:U$998=$C$2),23),"""")"),"")</f>
        <v/>
      </c>
      <c r="E28" s="54" t="str">
        <f>IFERROR(__xludf.DUMMYFUNCTION("IFERROR(INDEX(FILTER('Candidate Database'!H$4:H$998,'Candidate Database'!U$4:U$998=$C$2),23),"""")"),"")</f>
        <v/>
      </c>
      <c r="F28" s="53" t="str">
        <f>IFERROR(__xludf.DUMMYFUNCTION("IFERROR(INDEX(FILTER('Candidate Database'!R$4:R$998,'Candidate Database'!U$4:U$998=$C$2),23),"""")"),"")</f>
        <v/>
      </c>
      <c r="G28" s="53" t="str">
        <f>IFERROR(__xludf.DUMMYFUNCTION("IFERROR(INDEX(FILTER('Candidate Database'!P$4:P$998,'Candidate Database'!U$4:U$998=$C$2),23),"""")"),"")</f>
        <v/>
      </c>
      <c r="H28" s="54"/>
      <c r="I28" s="13"/>
      <c r="J28" s="13" t="s">
        <v>214</v>
      </c>
    </row>
    <row r="29" ht="21.75" customHeight="1">
      <c r="A29" s="57" t="str">
        <f>IF(COUNTIF('Candidate Database'!U$4:U$998,$C$2)&gt;=24,24,"")</f>
        <v/>
      </c>
      <c r="B29" s="58" t="str">
        <f>IFERROR(__xludf.DUMMYFUNCTION("IFERROR(INDEX(FILTER('Candidate Database'!B$4:B$998,'Candidate Database'!U$4:U$998=$C$2),24),"""")"),"")</f>
        <v/>
      </c>
      <c r="C29" s="59" t="str">
        <f>IFERROR(__xludf.DUMMYFUNCTION("IFERROR(INDEX(FILTER('Candidate Database'!E$4:E$998,'Candidate Database'!U$4:U$998=$C$2),24),"""")"),"")</f>
        <v/>
      </c>
      <c r="D29" s="59" t="str">
        <f>IFERROR(__xludf.DUMMYFUNCTION("IFERROR(INDEX(FILTER('Candidate Database'!G$4:G$998,'Candidate Database'!U$4:U$998=$C$2),24),"""")"),"")</f>
        <v/>
      </c>
      <c r="E29" s="59" t="str">
        <f>IFERROR(__xludf.DUMMYFUNCTION("IFERROR(INDEX(FILTER('Candidate Database'!H$4:H$998,'Candidate Database'!U$4:U$998=$C$2),24),"""")"),"")</f>
        <v/>
      </c>
      <c r="F29" s="58" t="str">
        <f>IFERROR(__xludf.DUMMYFUNCTION("IFERROR(INDEX(FILTER('Candidate Database'!R$4:R$998,'Candidate Database'!U$4:U$998=$C$2),24),"""")"),"")</f>
        <v/>
      </c>
      <c r="G29" s="58" t="str">
        <f>IFERROR(__xludf.DUMMYFUNCTION("IFERROR(INDEX(FILTER('Candidate Database'!P$4:P$998,'Candidate Database'!U$4:U$998=$C$2),24),"""")"),"")</f>
        <v/>
      </c>
      <c r="H29" s="59"/>
      <c r="I29" s="13"/>
      <c r="J29" s="13" t="s">
        <v>222</v>
      </c>
    </row>
    <row r="30" ht="21.75" customHeight="1">
      <c r="A30" s="52" t="str">
        <f>IF(COUNTIF('Candidate Database'!U$4:U$998,$C$2)&gt;=25,25,"")</f>
        <v/>
      </c>
      <c r="B30" s="53" t="str">
        <f>IFERROR(__xludf.DUMMYFUNCTION("IFERROR(INDEX(FILTER('Candidate Database'!B$4:B$998,'Candidate Database'!U$4:U$998=$C$2),25),"""")"),"")</f>
        <v/>
      </c>
      <c r="C30" s="54" t="str">
        <f>IFERROR(__xludf.DUMMYFUNCTION("IFERROR(INDEX(FILTER('Candidate Database'!E$4:E$998,'Candidate Database'!U$4:U$998=$C$2),25),"""")"),"")</f>
        <v/>
      </c>
      <c r="D30" s="54" t="str">
        <f>IFERROR(__xludf.DUMMYFUNCTION("IFERROR(INDEX(FILTER('Candidate Database'!G$4:G$998,'Candidate Database'!U$4:U$998=$C$2),25),"""")"),"")</f>
        <v/>
      </c>
      <c r="E30" s="54" t="str">
        <f>IFERROR(__xludf.DUMMYFUNCTION("IFERROR(INDEX(FILTER('Candidate Database'!H$4:H$998,'Candidate Database'!U$4:U$998=$C$2),25),"""")"),"")</f>
        <v/>
      </c>
      <c r="F30" s="53" t="str">
        <f>IFERROR(__xludf.DUMMYFUNCTION("IFERROR(INDEX(FILTER('Candidate Database'!R$4:R$998,'Candidate Database'!U$4:U$998=$C$2),25),"""")"),"")</f>
        <v/>
      </c>
      <c r="G30" s="53" t="str">
        <f>IFERROR(__xludf.DUMMYFUNCTION("IFERROR(INDEX(FILTER('Candidate Database'!P$4:P$998,'Candidate Database'!U$4:U$998=$C$2),25),"""")"),"")</f>
        <v/>
      </c>
      <c r="H30" s="54"/>
      <c r="I30" s="13"/>
      <c r="J30" s="13" t="s">
        <v>228</v>
      </c>
    </row>
    <row r="31" ht="21.75" customHeight="1">
      <c r="A31" s="57" t="str">
        <f>IF(COUNTIF('Candidate Database'!U$4:U$998,$C$2)&gt;=26,26,"")</f>
        <v/>
      </c>
      <c r="B31" s="58" t="str">
        <f>IFERROR(__xludf.DUMMYFUNCTION("IFERROR(INDEX(FILTER('Candidate Database'!B$4:B$998,'Candidate Database'!U$4:U$998=$C$2),26),"""")"),"")</f>
        <v/>
      </c>
      <c r="C31" s="59" t="str">
        <f>IFERROR(__xludf.DUMMYFUNCTION("IFERROR(INDEX(FILTER('Candidate Database'!E$4:E$998,'Candidate Database'!U$4:U$998=$C$2),26),"""")"),"")</f>
        <v/>
      </c>
      <c r="D31" s="59" t="str">
        <f>IFERROR(__xludf.DUMMYFUNCTION("IFERROR(INDEX(FILTER('Candidate Database'!G$4:G$998,'Candidate Database'!U$4:U$998=$C$2),26),"""")"),"")</f>
        <v/>
      </c>
      <c r="E31" s="59" t="str">
        <f>IFERROR(__xludf.DUMMYFUNCTION("IFERROR(INDEX(FILTER('Candidate Database'!H$4:H$998,'Candidate Database'!U$4:U$998=$C$2),26),"""")"),"")</f>
        <v/>
      </c>
      <c r="F31" s="58" t="str">
        <f>IFERROR(__xludf.DUMMYFUNCTION("IFERROR(INDEX(FILTER('Candidate Database'!R$4:R$998,'Candidate Database'!U$4:U$998=$C$2),26),"""")"),"")</f>
        <v/>
      </c>
      <c r="G31" s="58" t="str">
        <f>IFERROR(__xludf.DUMMYFUNCTION("IFERROR(INDEX(FILTER('Candidate Database'!P$4:P$998,'Candidate Database'!U$4:U$998=$C$2),26),"""")"),"")</f>
        <v/>
      </c>
      <c r="H31" s="59"/>
      <c r="I31" s="13"/>
      <c r="J31" s="13" t="s">
        <v>233</v>
      </c>
    </row>
    <row r="32" ht="21.75" customHeight="1">
      <c r="A32" s="52" t="str">
        <f>IF(COUNTIF('Candidate Database'!U$4:U$998,$C$2)&gt;=27,27,"")</f>
        <v/>
      </c>
      <c r="B32" s="53" t="str">
        <f>IFERROR(__xludf.DUMMYFUNCTION("IFERROR(INDEX(FILTER('Candidate Database'!B$4:B$998,'Candidate Database'!U$4:U$998=$C$2),27),"""")"),"")</f>
        <v/>
      </c>
      <c r="C32" s="54" t="str">
        <f>IFERROR(__xludf.DUMMYFUNCTION("IFERROR(INDEX(FILTER('Candidate Database'!E$4:E$998,'Candidate Database'!U$4:U$998=$C$2),27),"""")"),"")</f>
        <v/>
      </c>
      <c r="D32" s="54" t="str">
        <f>IFERROR(__xludf.DUMMYFUNCTION("IFERROR(INDEX(FILTER('Candidate Database'!G$4:G$998,'Candidate Database'!U$4:U$998=$C$2),27),"""")"),"")</f>
        <v/>
      </c>
      <c r="E32" s="54" t="str">
        <f>IFERROR(__xludf.DUMMYFUNCTION("IFERROR(INDEX(FILTER('Candidate Database'!H$4:H$998,'Candidate Database'!U$4:U$998=$C$2),27),"""")"),"")</f>
        <v/>
      </c>
      <c r="F32" s="53" t="str">
        <f>IFERROR(__xludf.DUMMYFUNCTION("IFERROR(INDEX(FILTER('Candidate Database'!R$4:R$998,'Candidate Database'!U$4:U$998=$C$2),27),"""")"),"")</f>
        <v/>
      </c>
      <c r="G32" s="53" t="str">
        <f>IFERROR(__xludf.DUMMYFUNCTION("IFERROR(INDEX(FILTER('Candidate Database'!P$4:P$998,'Candidate Database'!U$4:U$998=$C$2),27),"""")"),"")</f>
        <v/>
      </c>
      <c r="H32" s="54"/>
      <c r="I32" s="13"/>
      <c r="J32" s="13" t="s">
        <v>238</v>
      </c>
    </row>
    <row r="33" ht="21.75" customHeight="1">
      <c r="A33" s="57" t="str">
        <f>IF(COUNTIF('Candidate Database'!U$4:U$998,$C$2)&gt;=28,28,"")</f>
        <v/>
      </c>
      <c r="B33" s="58" t="str">
        <f>IFERROR(__xludf.DUMMYFUNCTION("IFERROR(INDEX(FILTER('Candidate Database'!B$4:B$998,'Candidate Database'!U$4:U$998=$C$2),28),"""")"),"")</f>
        <v/>
      </c>
      <c r="C33" s="59" t="str">
        <f>IFERROR(__xludf.DUMMYFUNCTION("IFERROR(INDEX(FILTER('Candidate Database'!E$4:E$998,'Candidate Database'!U$4:U$998=$C$2),28),"""")"),"")</f>
        <v/>
      </c>
      <c r="D33" s="59" t="str">
        <f>IFERROR(__xludf.DUMMYFUNCTION("IFERROR(INDEX(FILTER('Candidate Database'!G$4:G$998,'Candidate Database'!U$4:U$998=$C$2),28),"""")"),"")</f>
        <v/>
      </c>
      <c r="E33" s="59" t="str">
        <f>IFERROR(__xludf.DUMMYFUNCTION("IFERROR(INDEX(FILTER('Candidate Database'!H$4:H$998,'Candidate Database'!U$4:U$998=$C$2),28),"""")"),"")</f>
        <v/>
      </c>
      <c r="F33" s="58" t="str">
        <f>IFERROR(__xludf.DUMMYFUNCTION("IFERROR(INDEX(FILTER('Candidate Database'!R$4:R$998,'Candidate Database'!U$4:U$998=$C$2),28),"""")"),"")</f>
        <v/>
      </c>
      <c r="G33" s="58" t="str">
        <f>IFERROR(__xludf.DUMMYFUNCTION("IFERROR(INDEX(FILTER('Candidate Database'!P$4:P$998,'Candidate Database'!U$4:U$998=$C$2),28),"""")"),"")</f>
        <v/>
      </c>
      <c r="H33" s="59"/>
      <c r="I33" s="13"/>
      <c r="J33" s="13" t="s">
        <v>247</v>
      </c>
    </row>
    <row r="34" ht="21.75" customHeight="1">
      <c r="A34" s="52" t="str">
        <f>IF(COUNTIF('Candidate Database'!U$4:U$998,$C$2)&gt;=29,29,"")</f>
        <v/>
      </c>
      <c r="B34" s="53" t="str">
        <f>IFERROR(__xludf.DUMMYFUNCTION("IFERROR(INDEX(FILTER('Candidate Database'!B$4:B$998,'Candidate Database'!U$4:U$998=$C$2),29),"""")"),"")</f>
        <v/>
      </c>
      <c r="C34" s="54" t="str">
        <f>IFERROR(__xludf.DUMMYFUNCTION("IFERROR(INDEX(FILTER('Candidate Database'!E$4:E$998,'Candidate Database'!U$4:U$998=$C$2),29),"""")"),"")</f>
        <v/>
      </c>
      <c r="D34" s="54" t="str">
        <f>IFERROR(__xludf.DUMMYFUNCTION("IFERROR(INDEX(FILTER('Candidate Database'!G$4:G$998,'Candidate Database'!U$4:U$998=$C$2),29),"""")"),"")</f>
        <v/>
      </c>
      <c r="E34" s="54" t="str">
        <f>IFERROR(__xludf.DUMMYFUNCTION("IFERROR(INDEX(FILTER('Candidate Database'!H$4:H$998,'Candidate Database'!U$4:U$998=$C$2),29),"""")"),"")</f>
        <v/>
      </c>
      <c r="F34" s="53" t="str">
        <f>IFERROR(__xludf.DUMMYFUNCTION("IFERROR(INDEX(FILTER('Candidate Database'!R$4:R$998,'Candidate Database'!U$4:U$998=$C$2),29),"""")"),"")</f>
        <v/>
      </c>
      <c r="G34" s="53" t="str">
        <f>IFERROR(__xludf.DUMMYFUNCTION("IFERROR(INDEX(FILTER('Candidate Database'!P$4:P$998,'Candidate Database'!U$4:U$998=$C$2),29),"""")"),"")</f>
        <v/>
      </c>
      <c r="H34" s="54"/>
      <c r="I34" s="13"/>
      <c r="J34" s="13" t="s">
        <v>97</v>
      </c>
    </row>
    <row r="35" ht="21.75" customHeight="1">
      <c r="A35" s="57" t="str">
        <f>IF(COUNTIF('Candidate Database'!U$4:U$998,$C$2)&gt;=30,30,"")</f>
        <v/>
      </c>
      <c r="B35" s="58" t="str">
        <f>IFERROR(__xludf.DUMMYFUNCTION("IFERROR(INDEX(FILTER('Candidate Database'!B$4:B$998,'Candidate Database'!U$4:U$998=$C$2),30),"""")"),"")</f>
        <v/>
      </c>
      <c r="C35" s="59" t="str">
        <f>IFERROR(__xludf.DUMMYFUNCTION("IFERROR(INDEX(FILTER('Candidate Database'!E$4:E$998,'Candidate Database'!U$4:U$998=$C$2),30),"""")"),"")</f>
        <v/>
      </c>
      <c r="D35" s="59" t="str">
        <f>IFERROR(__xludf.DUMMYFUNCTION("IFERROR(INDEX(FILTER('Candidate Database'!G$4:G$998,'Candidate Database'!U$4:U$998=$C$2),30),"""")"),"")</f>
        <v/>
      </c>
      <c r="E35" s="59" t="str">
        <f>IFERROR(__xludf.DUMMYFUNCTION("IFERROR(INDEX(FILTER('Candidate Database'!H$4:H$998,'Candidate Database'!U$4:U$998=$C$2),30),"""")"),"")</f>
        <v/>
      </c>
      <c r="F35" s="58" t="str">
        <f>IFERROR(__xludf.DUMMYFUNCTION("IFERROR(INDEX(FILTER('Candidate Database'!R$4:R$998,'Candidate Database'!U$4:U$998=$C$2),30),"""")"),"")</f>
        <v/>
      </c>
      <c r="G35" s="58" t="str">
        <f>IFERROR(__xludf.DUMMYFUNCTION("IFERROR(INDEX(FILTER('Candidate Database'!P$4:P$998,'Candidate Database'!U$4:U$998=$C$2),30),"""")"),"")</f>
        <v/>
      </c>
      <c r="H35" s="59"/>
      <c r="I35" s="13"/>
      <c r="J35" s="13" t="s">
        <v>257</v>
      </c>
    </row>
    <row r="36" ht="21.75" customHeight="1">
      <c r="A36" s="52" t="str">
        <f>IF(COUNTIF('Candidate Database'!U$4:U$998,$C$2)&gt;=31,31,"")</f>
        <v/>
      </c>
      <c r="B36" s="53" t="str">
        <f>IFERROR(__xludf.DUMMYFUNCTION("IFERROR(INDEX(FILTER('Candidate Database'!B$4:B$998,'Candidate Database'!U$4:U$998=$C$2),31),"""")"),"")</f>
        <v/>
      </c>
      <c r="C36" s="54" t="str">
        <f>IFERROR(__xludf.DUMMYFUNCTION("IFERROR(INDEX(FILTER('Candidate Database'!E$4:E$998,'Candidate Database'!U$4:U$998=$C$2),31),"""")"),"")</f>
        <v/>
      </c>
      <c r="D36" s="54" t="str">
        <f>IFERROR(__xludf.DUMMYFUNCTION("IFERROR(INDEX(FILTER('Candidate Database'!G$4:G$998,'Candidate Database'!U$4:U$998=$C$2),31),"""")"),"")</f>
        <v/>
      </c>
      <c r="E36" s="54" t="str">
        <f>IFERROR(__xludf.DUMMYFUNCTION("IFERROR(INDEX(FILTER('Candidate Database'!H$4:H$998,'Candidate Database'!U$4:U$998=$C$2),31),"""")"),"")</f>
        <v/>
      </c>
      <c r="F36" s="53" t="str">
        <f>IFERROR(__xludf.DUMMYFUNCTION("IFERROR(INDEX(FILTER('Candidate Database'!R$4:R$998,'Candidate Database'!U$4:U$998=$C$2),31),"""")"),"")</f>
        <v/>
      </c>
      <c r="G36" s="53" t="str">
        <f>IFERROR(__xludf.DUMMYFUNCTION("IFERROR(INDEX(FILTER('Candidate Database'!P$4:P$998,'Candidate Database'!U$4:U$998=$C$2),31),"""")"),"")</f>
        <v/>
      </c>
      <c r="H36" s="54"/>
      <c r="I36" s="13"/>
      <c r="J36" s="13" t="s">
        <v>264</v>
      </c>
    </row>
    <row r="37" ht="21.75" customHeight="1">
      <c r="A37" s="57" t="str">
        <f>IF(COUNTIF('Candidate Database'!U$4:U$998,$C$2)&gt;=32,32,"")</f>
        <v/>
      </c>
      <c r="B37" s="58" t="str">
        <f>IFERROR(__xludf.DUMMYFUNCTION("IFERROR(INDEX(FILTER('Candidate Database'!B$4:B$998,'Candidate Database'!U$4:U$998=$C$2),32),"""")"),"")</f>
        <v/>
      </c>
      <c r="C37" s="59" t="str">
        <f>IFERROR(__xludf.DUMMYFUNCTION("IFERROR(INDEX(FILTER('Candidate Database'!E$4:E$998,'Candidate Database'!U$4:U$998=$C$2),32),"""")"),"")</f>
        <v/>
      </c>
      <c r="D37" s="59" t="str">
        <f>IFERROR(__xludf.DUMMYFUNCTION("IFERROR(INDEX(FILTER('Candidate Database'!G$4:G$998,'Candidate Database'!U$4:U$998=$C$2),32),"""")"),"")</f>
        <v/>
      </c>
      <c r="E37" s="59" t="str">
        <f>IFERROR(__xludf.DUMMYFUNCTION("IFERROR(INDEX(FILTER('Candidate Database'!H$4:H$998,'Candidate Database'!U$4:U$998=$C$2),32),"""")"),"")</f>
        <v/>
      </c>
      <c r="F37" s="58" t="str">
        <f>IFERROR(__xludf.DUMMYFUNCTION("IFERROR(INDEX(FILTER('Candidate Database'!R$4:R$998,'Candidate Database'!U$4:U$998=$C$2),32),"""")"),"")</f>
        <v/>
      </c>
      <c r="G37" s="58" t="str">
        <f>IFERROR(__xludf.DUMMYFUNCTION("IFERROR(INDEX(FILTER('Candidate Database'!P$4:P$998,'Candidate Database'!U$4:U$998=$C$2),32),"""")"),"")</f>
        <v/>
      </c>
      <c r="H37" s="59"/>
      <c r="I37" s="13"/>
      <c r="J37" s="13" t="s">
        <v>104</v>
      </c>
    </row>
    <row r="38" ht="21.75" customHeight="1">
      <c r="A38" s="52" t="str">
        <f>IF(COUNTIF('Candidate Database'!U$4:U$998,$C$2)&gt;=33,33,"")</f>
        <v/>
      </c>
      <c r="B38" s="53" t="str">
        <f>IFERROR(__xludf.DUMMYFUNCTION("IFERROR(INDEX(FILTER('Candidate Database'!B$4:B$998,'Candidate Database'!U$4:U$998=$C$2),33),"""")"),"")</f>
        <v/>
      </c>
      <c r="C38" s="54" t="str">
        <f>IFERROR(__xludf.DUMMYFUNCTION("IFERROR(INDEX(FILTER('Candidate Database'!E$4:E$998,'Candidate Database'!U$4:U$998=$C$2),33),"""")"),"")</f>
        <v/>
      </c>
      <c r="D38" s="54" t="str">
        <f>IFERROR(__xludf.DUMMYFUNCTION("IFERROR(INDEX(FILTER('Candidate Database'!G$4:G$998,'Candidate Database'!U$4:U$998=$C$2),33),"""")"),"")</f>
        <v/>
      </c>
      <c r="E38" s="54" t="str">
        <f>IFERROR(__xludf.DUMMYFUNCTION("IFERROR(INDEX(FILTER('Candidate Database'!H$4:H$998,'Candidate Database'!U$4:U$998=$C$2),33),"""")"),"")</f>
        <v/>
      </c>
      <c r="F38" s="53" t="str">
        <f>IFERROR(__xludf.DUMMYFUNCTION("IFERROR(INDEX(FILTER('Candidate Database'!R$4:R$998,'Candidate Database'!U$4:U$998=$C$2),33),"""")"),"")</f>
        <v/>
      </c>
      <c r="G38" s="53" t="str">
        <f>IFERROR(__xludf.DUMMYFUNCTION("IFERROR(INDEX(FILTER('Candidate Database'!P$4:P$998,'Candidate Database'!U$4:U$998=$C$2),33),"""")"),"")</f>
        <v/>
      </c>
      <c r="H38" s="54"/>
      <c r="I38" s="13"/>
      <c r="J38" s="13" t="s">
        <v>274</v>
      </c>
    </row>
    <row r="39" ht="21.75" customHeight="1">
      <c r="A39" s="57" t="str">
        <f>IF(COUNTIF('Candidate Database'!U$4:U$998,$C$2)&gt;=34,34,"")</f>
        <v/>
      </c>
      <c r="B39" s="58" t="str">
        <f>IFERROR(__xludf.DUMMYFUNCTION("IFERROR(INDEX(FILTER('Candidate Database'!B$4:B$998,'Candidate Database'!U$4:U$998=$C$2),34),"""")"),"")</f>
        <v/>
      </c>
      <c r="C39" s="59" t="str">
        <f>IFERROR(__xludf.DUMMYFUNCTION("IFERROR(INDEX(FILTER('Candidate Database'!E$4:E$998,'Candidate Database'!U$4:U$998=$C$2),34),"""")"),"")</f>
        <v/>
      </c>
      <c r="D39" s="59" t="str">
        <f>IFERROR(__xludf.DUMMYFUNCTION("IFERROR(INDEX(FILTER('Candidate Database'!G$4:G$998,'Candidate Database'!U$4:U$998=$C$2),34),"""")"),"")</f>
        <v/>
      </c>
      <c r="E39" s="59" t="str">
        <f>IFERROR(__xludf.DUMMYFUNCTION("IFERROR(INDEX(FILTER('Candidate Database'!H$4:H$998,'Candidate Database'!U$4:U$998=$C$2),34),"""")"),"")</f>
        <v/>
      </c>
      <c r="F39" s="58" t="str">
        <f>IFERROR(__xludf.DUMMYFUNCTION("IFERROR(INDEX(FILTER('Candidate Database'!R$4:R$998,'Candidate Database'!U$4:U$998=$C$2),34),"""")"),"")</f>
        <v/>
      </c>
      <c r="G39" s="58" t="str">
        <f>IFERROR(__xludf.DUMMYFUNCTION("IFERROR(INDEX(FILTER('Candidate Database'!P$4:P$998,'Candidate Database'!U$4:U$998=$C$2),34),"""")"),"")</f>
        <v/>
      </c>
      <c r="H39" s="59"/>
      <c r="I39" s="13"/>
      <c r="J39" s="13" t="s">
        <v>281</v>
      </c>
    </row>
    <row r="40" ht="21.75" customHeight="1">
      <c r="A40" s="52" t="str">
        <f>IF(COUNTIF('Candidate Database'!U$4:U$998,$C$2)&gt;=35,35,"")</f>
        <v/>
      </c>
      <c r="B40" s="53" t="str">
        <f>IFERROR(__xludf.DUMMYFUNCTION("IFERROR(INDEX(FILTER('Candidate Database'!B$4:B$998,'Candidate Database'!U$4:U$998=$C$2),35),"""")"),"")</f>
        <v/>
      </c>
      <c r="C40" s="54" t="str">
        <f>IFERROR(__xludf.DUMMYFUNCTION("IFERROR(INDEX(FILTER('Candidate Database'!E$4:E$998,'Candidate Database'!U$4:U$998=$C$2),35),"""")"),"")</f>
        <v/>
      </c>
      <c r="D40" s="54" t="str">
        <f>IFERROR(__xludf.DUMMYFUNCTION("IFERROR(INDEX(FILTER('Candidate Database'!G$4:G$998,'Candidate Database'!U$4:U$998=$C$2),35),"""")"),"")</f>
        <v/>
      </c>
      <c r="E40" s="54" t="str">
        <f>IFERROR(__xludf.DUMMYFUNCTION("IFERROR(INDEX(FILTER('Candidate Database'!H$4:H$998,'Candidate Database'!U$4:U$998=$C$2),35),"""")"),"")</f>
        <v/>
      </c>
      <c r="F40" s="53" t="str">
        <f>IFERROR(__xludf.DUMMYFUNCTION("IFERROR(INDEX(FILTER('Candidate Database'!R$4:R$998,'Candidate Database'!U$4:U$998=$C$2),35),"""")"),"")</f>
        <v/>
      </c>
      <c r="G40" s="53" t="str">
        <f>IFERROR(__xludf.DUMMYFUNCTION("IFERROR(INDEX(FILTER('Candidate Database'!P$4:P$998,'Candidate Database'!U$4:U$998=$C$2),35),"""")"),"")</f>
        <v/>
      </c>
      <c r="H40" s="54"/>
      <c r="I40" s="13"/>
      <c r="J40" s="13" t="s">
        <v>284</v>
      </c>
    </row>
    <row r="41" ht="21.75" customHeight="1">
      <c r="A41" s="57" t="str">
        <f>IF(COUNTIF('Candidate Database'!U$4:U$998,$C$2)&gt;=36,36,"")</f>
        <v/>
      </c>
      <c r="B41" s="58" t="str">
        <f>IFERROR(__xludf.DUMMYFUNCTION("IFERROR(INDEX(FILTER('Candidate Database'!B$4:B$998,'Candidate Database'!U$4:U$998=$C$2),36),"""")"),"")</f>
        <v/>
      </c>
      <c r="C41" s="59" t="str">
        <f>IFERROR(__xludf.DUMMYFUNCTION("IFERROR(INDEX(FILTER('Candidate Database'!E$4:E$998,'Candidate Database'!U$4:U$998=$C$2),36),"""")"),"")</f>
        <v/>
      </c>
      <c r="D41" s="59" t="str">
        <f>IFERROR(__xludf.DUMMYFUNCTION("IFERROR(INDEX(FILTER('Candidate Database'!G$4:G$998,'Candidate Database'!U$4:U$998=$C$2),36),"""")"),"")</f>
        <v/>
      </c>
      <c r="E41" s="59" t="str">
        <f>IFERROR(__xludf.DUMMYFUNCTION("IFERROR(INDEX(FILTER('Candidate Database'!H$4:H$998,'Candidate Database'!U$4:U$998=$C$2),36),"""")"),"")</f>
        <v/>
      </c>
      <c r="F41" s="58" t="str">
        <f>IFERROR(__xludf.DUMMYFUNCTION("IFERROR(INDEX(FILTER('Candidate Database'!R$4:R$998,'Candidate Database'!U$4:U$998=$C$2),36),"""")"),"")</f>
        <v/>
      </c>
      <c r="G41" s="58" t="str">
        <f>IFERROR(__xludf.DUMMYFUNCTION("IFERROR(INDEX(FILTER('Candidate Database'!P$4:P$998,'Candidate Database'!U$4:U$998=$C$2),36),"""")"),"")</f>
        <v/>
      </c>
      <c r="H41" s="59"/>
      <c r="I41" s="13"/>
      <c r="J41" s="13" t="s">
        <v>171</v>
      </c>
    </row>
    <row r="42" ht="21.75" customHeight="1">
      <c r="A42" s="52" t="str">
        <f>IF(COUNTIF('Candidate Database'!U$4:U$998,$C$2)&gt;=37,37,"")</f>
        <v/>
      </c>
      <c r="B42" s="53" t="str">
        <f>IFERROR(__xludf.DUMMYFUNCTION("IFERROR(INDEX(FILTER('Candidate Database'!B$4:B$998,'Candidate Database'!U$4:U$998=$C$2),37),"""")"),"")</f>
        <v/>
      </c>
      <c r="C42" s="54" t="str">
        <f>IFERROR(__xludf.DUMMYFUNCTION("IFERROR(INDEX(FILTER('Candidate Database'!E$4:E$998,'Candidate Database'!U$4:U$998=$C$2),37),"""")"),"")</f>
        <v/>
      </c>
      <c r="D42" s="54" t="str">
        <f>IFERROR(__xludf.DUMMYFUNCTION("IFERROR(INDEX(FILTER('Candidate Database'!G$4:G$998,'Candidate Database'!U$4:U$998=$C$2),37),"""")"),"")</f>
        <v/>
      </c>
      <c r="E42" s="54" t="str">
        <f>IFERROR(__xludf.DUMMYFUNCTION("IFERROR(INDEX(FILTER('Candidate Database'!H$4:H$998,'Candidate Database'!U$4:U$998=$C$2),37),"""")"),"")</f>
        <v/>
      </c>
      <c r="F42" s="53" t="str">
        <f>IFERROR(__xludf.DUMMYFUNCTION("IFERROR(INDEX(FILTER('Candidate Database'!R$4:R$998,'Candidate Database'!U$4:U$998=$C$2),37),"""")"),"")</f>
        <v/>
      </c>
      <c r="G42" s="53" t="str">
        <f>IFERROR(__xludf.DUMMYFUNCTION("IFERROR(INDEX(FILTER('Candidate Database'!P$4:P$998,'Candidate Database'!U$4:U$998=$C$2),37),"""")"),"")</f>
        <v/>
      </c>
      <c r="H42" s="54"/>
      <c r="I42" s="13"/>
      <c r="J42" s="13" t="s">
        <v>295</v>
      </c>
    </row>
    <row r="43" ht="21.75" customHeight="1">
      <c r="A43" s="57" t="str">
        <f>IF(COUNTIF('Candidate Database'!U$4:U$998,$C$2)&gt;=38,38,"")</f>
        <v/>
      </c>
      <c r="B43" s="58" t="str">
        <f>IFERROR(__xludf.DUMMYFUNCTION("IFERROR(INDEX(FILTER('Candidate Database'!B$4:B$998,'Candidate Database'!U$4:U$998=$C$2),38),"""")"),"")</f>
        <v/>
      </c>
      <c r="C43" s="59" t="str">
        <f>IFERROR(__xludf.DUMMYFUNCTION("IFERROR(INDEX(FILTER('Candidate Database'!E$4:E$998,'Candidate Database'!U$4:U$998=$C$2),38),"""")"),"")</f>
        <v/>
      </c>
      <c r="D43" s="59" t="str">
        <f>IFERROR(__xludf.DUMMYFUNCTION("IFERROR(INDEX(FILTER('Candidate Database'!G$4:G$998,'Candidate Database'!U$4:U$998=$C$2),38),"""")"),"")</f>
        <v/>
      </c>
      <c r="E43" s="59" t="str">
        <f>IFERROR(__xludf.DUMMYFUNCTION("IFERROR(INDEX(FILTER('Candidate Database'!H$4:H$998,'Candidate Database'!U$4:U$998=$C$2),38),"""")"),"")</f>
        <v/>
      </c>
      <c r="F43" s="58" t="str">
        <f>IFERROR(__xludf.DUMMYFUNCTION("IFERROR(INDEX(FILTER('Candidate Database'!R$4:R$998,'Candidate Database'!U$4:U$998=$C$2),38),"""")"),"")</f>
        <v/>
      </c>
      <c r="G43" s="58" t="str">
        <f>IFERROR(__xludf.DUMMYFUNCTION("IFERROR(INDEX(FILTER('Candidate Database'!P$4:P$998,'Candidate Database'!U$4:U$998=$C$2),38),"""")"),"")</f>
        <v/>
      </c>
      <c r="H43" s="59"/>
      <c r="I43" s="13"/>
      <c r="J43" s="13" t="s">
        <v>300</v>
      </c>
    </row>
    <row r="44" ht="21.75" customHeight="1">
      <c r="A44" s="52" t="str">
        <f>IF(COUNTIF('Candidate Database'!U$4:U$998,$C$2)&gt;=39,39,"")</f>
        <v/>
      </c>
      <c r="B44" s="53" t="str">
        <f>IFERROR(__xludf.DUMMYFUNCTION("IFERROR(INDEX(FILTER('Candidate Database'!B$4:B$998,'Candidate Database'!U$4:U$998=$C$2),39),"""")"),"")</f>
        <v/>
      </c>
      <c r="C44" s="54" t="str">
        <f>IFERROR(__xludf.DUMMYFUNCTION("IFERROR(INDEX(FILTER('Candidate Database'!E$4:E$998,'Candidate Database'!U$4:U$998=$C$2),39),"""")"),"")</f>
        <v/>
      </c>
      <c r="D44" s="54" t="str">
        <f>IFERROR(__xludf.DUMMYFUNCTION("IFERROR(INDEX(FILTER('Candidate Database'!G$4:G$998,'Candidate Database'!U$4:U$998=$C$2),39),"""")"),"")</f>
        <v/>
      </c>
      <c r="E44" s="54" t="str">
        <f>IFERROR(__xludf.DUMMYFUNCTION("IFERROR(INDEX(FILTER('Candidate Database'!H$4:H$998,'Candidate Database'!U$4:U$998=$C$2),39),"""")"),"")</f>
        <v/>
      </c>
      <c r="F44" s="53" t="str">
        <f>IFERROR(__xludf.DUMMYFUNCTION("IFERROR(INDEX(FILTER('Candidate Database'!R$4:R$998,'Candidate Database'!U$4:U$998=$C$2),39),"""")"),"")</f>
        <v/>
      </c>
      <c r="G44" s="53" t="str">
        <f>IFERROR(__xludf.DUMMYFUNCTION("IFERROR(INDEX(FILTER('Candidate Database'!P$4:P$998,'Candidate Database'!U$4:U$998=$C$2),39),"""")"),"")</f>
        <v/>
      </c>
      <c r="H44" s="54"/>
      <c r="I44" s="13"/>
      <c r="J44" s="13" t="s">
        <v>306</v>
      </c>
    </row>
    <row r="45" ht="21.75" customHeight="1">
      <c r="A45" s="57" t="str">
        <f>IF(COUNTIF('Candidate Database'!U$4:U$998,$C$2)&gt;=40,40,"")</f>
        <v/>
      </c>
      <c r="B45" s="58" t="str">
        <f>IFERROR(__xludf.DUMMYFUNCTION("IFERROR(INDEX(FILTER('Candidate Database'!B$4:B$998,'Candidate Database'!U$4:U$998=$C$2),40),"""")"),"")</f>
        <v/>
      </c>
      <c r="C45" s="59" t="str">
        <f>IFERROR(__xludf.DUMMYFUNCTION("IFERROR(INDEX(FILTER('Candidate Database'!E$4:E$998,'Candidate Database'!U$4:U$998=$C$2),40),"""")"),"")</f>
        <v/>
      </c>
      <c r="D45" s="59" t="str">
        <f>IFERROR(__xludf.DUMMYFUNCTION("IFERROR(INDEX(FILTER('Candidate Database'!G$4:G$998,'Candidate Database'!U$4:U$998=$C$2),40),"""")"),"")</f>
        <v/>
      </c>
      <c r="E45" s="59" t="str">
        <f>IFERROR(__xludf.DUMMYFUNCTION("IFERROR(INDEX(FILTER('Candidate Database'!H$4:H$998,'Candidate Database'!U$4:U$998=$C$2),40),"""")"),"")</f>
        <v/>
      </c>
      <c r="F45" s="58" t="str">
        <f>IFERROR(__xludf.DUMMYFUNCTION("IFERROR(INDEX(FILTER('Candidate Database'!R$4:R$998,'Candidate Database'!U$4:U$998=$C$2),40),"""")"),"")</f>
        <v/>
      </c>
      <c r="G45" s="58" t="str">
        <f>IFERROR(__xludf.DUMMYFUNCTION("IFERROR(INDEX(FILTER('Candidate Database'!P$4:P$998,'Candidate Database'!U$4:U$998=$C$2),40),"""")"),"")</f>
        <v/>
      </c>
      <c r="H45" s="59"/>
      <c r="I45" s="13"/>
      <c r="J45" s="13" t="s">
        <v>85</v>
      </c>
    </row>
    <row r="46" ht="21.75" customHeight="1">
      <c r="A46" s="52" t="str">
        <f>IF(COUNTIF('Candidate Database'!U$4:U$998,$C$2)&gt;=41,41,"")</f>
        <v/>
      </c>
      <c r="B46" s="53" t="str">
        <f>IFERROR(__xludf.DUMMYFUNCTION("IFERROR(INDEX(FILTER('Candidate Database'!B$4:B$998,'Candidate Database'!U$4:U$998=$C$2),41),"""")"),"")</f>
        <v/>
      </c>
      <c r="C46" s="54" t="str">
        <f>IFERROR(__xludf.DUMMYFUNCTION("IFERROR(INDEX(FILTER('Candidate Database'!E$4:E$998,'Candidate Database'!U$4:U$998=$C$2),41),"""")"),"")</f>
        <v/>
      </c>
      <c r="D46" s="54" t="str">
        <f>IFERROR(__xludf.DUMMYFUNCTION("IFERROR(INDEX(FILTER('Candidate Database'!G$4:G$998,'Candidate Database'!U$4:U$998=$C$2),41),"""")"),"")</f>
        <v/>
      </c>
      <c r="E46" s="54" t="str">
        <f>IFERROR(__xludf.DUMMYFUNCTION("IFERROR(INDEX(FILTER('Candidate Database'!H$4:H$998,'Candidate Database'!U$4:U$998=$C$2),41),"""")"),"")</f>
        <v/>
      </c>
      <c r="F46" s="53" t="str">
        <f>IFERROR(__xludf.DUMMYFUNCTION("IFERROR(INDEX(FILTER('Candidate Database'!R$4:R$998,'Candidate Database'!U$4:U$998=$C$2),41),"""")"),"")</f>
        <v/>
      </c>
      <c r="G46" s="53" t="str">
        <f>IFERROR(__xludf.DUMMYFUNCTION("IFERROR(INDEX(FILTER('Candidate Database'!P$4:P$998,'Candidate Database'!U$4:U$998=$C$2),41),"""")"),"")</f>
        <v/>
      </c>
      <c r="H46" s="54"/>
      <c r="I46" s="13"/>
      <c r="J46" s="13" t="s">
        <v>317</v>
      </c>
    </row>
    <row r="47" ht="21.75" customHeight="1">
      <c r="A47" s="57" t="str">
        <f>IF(COUNTIF('Candidate Database'!U$4:U$998,$C$2)&gt;=42,42,"")</f>
        <v/>
      </c>
      <c r="B47" s="58" t="str">
        <f>IFERROR(__xludf.DUMMYFUNCTION("IFERROR(INDEX(FILTER('Candidate Database'!B$4:B$998,'Candidate Database'!U$4:U$998=$C$2),42),"""")"),"")</f>
        <v/>
      </c>
      <c r="C47" s="59" t="str">
        <f>IFERROR(__xludf.DUMMYFUNCTION("IFERROR(INDEX(FILTER('Candidate Database'!E$4:E$998,'Candidate Database'!U$4:U$998=$C$2),42),"""")"),"")</f>
        <v/>
      </c>
      <c r="D47" s="59" t="str">
        <f>IFERROR(__xludf.DUMMYFUNCTION("IFERROR(INDEX(FILTER('Candidate Database'!G$4:G$998,'Candidate Database'!U$4:U$998=$C$2),42),"""")"),"")</f>
        <v/>
      </c>
      <c r="E47" s="59" t="str">
        <f>IFERROR(__xludf.DUMMYFUNCTION("IFERROR(INDEX(FILTER('Candidate Database'!H$4:H$998,'Candidate Database'!U$4:U$998=$C$2),42),"""")"),"")</f>
        <v/>
      </c>
      <c r="F47" s="58" t="str">
        <f>IFERROR(__xludf.DUMMYFUNCTION("IFERROR(INDEX(FILTER('Candidate Database'!R$4:R$998,'Candidate Database'!U$4:U$998=$C$2),42),"""")"),"")</f>
        <v/>
      </c>
      <c r="G47" s="58" t="str">
        <f>IFERROR(__xludf.DUMMYFUNCTION("IFERROR(INDEX(FILTER('Candidate Database'!P$4:P$998,'Candidate Database'!U$4:U$998=$C$2),42),"""")"),"")</f>
        <v/>
      </c>
      <c r="H47" s="59"/>
      <c r="I47" s="13"/>
      <c r="J47" s="13" t="s">
        <v>320</v>
      </c>
    </row>
    <row r="48" ht="21.75" customHeight="1">
      <c r="A48" s="52" t="str">
        <f>IF(COUNTIF('Candidate Database'!U$4:U$998,$C$2)&gt;=43,43,"")</f>
        <v/>
      </c>
      <c r="B48" s="53" t="str">
        <f>IFERROR(__xludf.DUMMYFUNCTION("IFERROR(INDEX(FILTER('Candidate Database'!B$4:B$998,'Candidate Database'!U$4:U$998=$C$2),43),"""")"),"")</f>
        <v/>
      </c>
      <c r="C48" s="54" t="str">
        <f>IFERROR(__xludf.DUMMYFUNCTION("IFERROR(INDEX(FILTER('Candidate Database'!E$4:E$998,'Candidate Database'!U$4:U$998=$C$2),43),"""")"),"")</f>
        <v/>
      </c>
      <c r="D48" s="54" t="str">
        <f>IFERROR(__xludf.DUMMYFUNCTION("IFERROR(INDEX(FILTER('Candidate Database'!G$4:G$998,'Candidate Database'!U$4:U$998=$C$2),43),"""")"),"")</f>
        <v/>
      </c>
      <c r="E48" s="54" t="str">
        <f>IFERROR(__xludf.DUMMYFUNCTION("IFERROR(INDEX(FILTER('Candidate Database'!H$4:H$998,'Candidate Database'!U$4:U$998=$C$2),43),"""")"),"")</f>
        <v/>
      </c>
      <c r="F48" s="53" t="str">
        <f>IFERROR(__xludf.DUMMYFUNCTION("IFERROR(INDEX(FILTER('Candidate Database'!R$4:R$998,'Candidate Database'!U$4:U$998=$C$2),43),"""")"),"")</f>
        <v/>
      </c>
      <c r="G48" s="53" t="str">
        <f>IFERROR(__xludf.DUMMYFUNCTION("IFERROR(INDEX(FILTER('Candidate Database'!P$4:P$998,'Candidate Database'!U$4:U$998=$C$2),43),"""")"),"")</f>
        <v/>
      </c>
      <c r="H48" s="54"/>
      <c r="I48" s="13"/>
      <c r="J48" s="13" t="s">
        <v>327</v>
      </c>
    </row>
    <row r="49" ht="21.75" customHeight="1">
      <c r="A49" s="57" t="str">
        <f>IF(COUNTIF('Candidate Database'!U$4:U$998,$C$2)&gt;=44,44,"")</f>
        <v/>
      </c>
      <c r="B49" s="58" t="str">
        <f>IFERROR(__xludf.DUMMYFUNCTION("IFERROR(INDEX(FILTER('Candidate Database'!B$4:B$998,'Candidate Database'!U$4:U$998=$C$2),44),"""")"),"")</f>
        <v/>
      </c>
      <c r="C49" s="59" t="str">
        <f>IFERROR(__xludf.DUMMYFUNCTION("IFERROR(INDEX(FILTER('Candidate Database'!E$4:E$998,'Candidate Database'!U$4:U$998=$C$2),44),"""")"),"")</f>
        <v/>
      </c>
      <c r="D49" s="59" t="str">
        <f>IFERROR(__xludf.DUMMYFUNCTION("IFERROR(INDEX(FILTER('Candidate Database'!G$4:G$998,'Candidate Database'!U$4:U$998=$C$2),44),"""")"),"")</f>
        <v/>
      </c>
      <c r="E49" s="59" t="str">
        <f>IFERROR(__xludf.DUMMYFUNCTION("IFERROR(INDEX(FILTER('Candidate Database'!H$4:H$998,'Candidate Database'!U$4:U$998=$C$2),44),"""")"),"")</f>
        <v/>
      </c>
      <c r="F49" s="58" t="str">
        <f>IFERROR(__xludf.DUMMYFUNCTION("IFERROR(INDEX(FILTER('Candidate Database'!R$4:R$998,'Candidate Database'!U$4:U$998=$C$2),44),"""")"),"")</f>
        <v/>
      </c>
      <c r="G49" s="58" t="str">
        <f>IFERROR(__xludf.DUMMYFUNCTION("IFERROR(INDEX(FILTER('Candidate Database'!P$4:P$998,'Candidate Database'!U$4:U$998=$C$2),44),"""")"),"")</f>
        <v/>
      </c>
      <c r="H49" s="59"/>
      <c r="I49" s="13"/>
      <c r="J49" s="13" t="s">
        <v>330</v>
      </c>
    </row>
    <row r="50" ht="21.75" customHeight="1">
      <c r="A50" s="52" t="str">
        <f>IF(COUNTIF('Candidate Database'!U$4:U$998,$C$2)&gt;=45,45,"")</f>
        <v/>
      </c>
      <c r="B50" s="53" t="str">
        <f>IFERROR(__xludf.DUMMYFUNCTION("IFERROR(INDEX(FILTER('Candidate Database'!B$4:B$998,'Candidate Database'!U$4:U$998=$C$2),45),"""")"),"")</f>
        <v/>
      </c>
      <c r="C50" s="54" t="str">
        <f>IFERROR(__xludf.DUMMYFUNCTION("IFERROR(INDEX(FILTER('Candidate Database'!E$4:E$998,'Candidate Database'!U$4:U$998=$C$2),45),"""")"),"")</f>
        <v/>
      </c>
      <c r="D50" s="54" t="str">
        <f>IFERROR(__xludf.DUMMYFUNCTION("IFERROR(INDEX(FILTER('Candidate Database'!G$4:G$998,'Candidate Database'!U$4:U$998=$C$2),45),"""")"),"")</f>
        <v/>
      </c>
      <c r="E50" s="54" t="str">
        <f>IFERROR(__xludf.DUMMYFUNCTION("IFERROR(INDEX(FILTER('Candidate Database'!H$4:H$998,'Candidate Database'!U$4:U$998=$C$2),45),"""")"),"")</f>
        <v/>
      </c>
      <c r="F50" s="53" t="str">
        <f>IFERROR(__xludf.DUMMYFUNCTION("IFERROR(INDEX(FILTER('Candidate Database'!R$4:R$998,'Candidate Database'!U$4:U$998=$C$2),45),"""")"),"")</f>
        <v/>
      </c>
      <c r="G50" s="53" t="str">
        <f>IFERROR(__xludf.DUMMYFUNCTION("IFERROR(INDEX(FILTER('Candidate Database'!P$4:P$998,'Candidate Database'!U$4:U$998=$C$2),45),"""")"),"")</f>
        <v/>
      </c>
      <c r="H50" s="54"/>
      <c r="I50" s="13"/>
      <c r="J50" s="13" t="s">
        <v>333</v>
      </c>
    </row>
    <row r="51" ht="21.75" customHeight="1">
      <c r="A51" s="57" t="str">
        <f>IF(COUNTIF('Candidate Database'!U$4:U$998,$C$2)&gt;=46,46,"")</f>
        <v/>
      </c>
      <c r="B51" s="58" t="str">
        <f>IFERROR(__xludf.DUMMYFUNCTION("IFERROR(INDEX(FILTER('Candidate Database'!B$4:B$998,'Candidate Database'!U$4:U$998=$C$2),46),"""")"),"")</f>
        <v/>
      </c>
      <c r="C51" s="59" t="str">
        <f>IFERROR(__xludf.DUMMYFUNCTION("IFERROR(INDEX(FILTER('Candidate Database'!E$4:E$998,'Candidate Database'!U$4:U$998=$C$2),46),"""")"),"")</f>
        <v/>
      </c>
      <c r="D51" s="59" t="str">
        <f>IFERROR(__xludf.DUMMYFUNCTION("IFERROR(INDEX(FILTER('Candidate Database'!G$4:G$998,'Candidate Database'!U$4:U$998=$C$2),46),"""")"),"")</f>
        <v/>
      </c>
      <c r="E51" s="59" t="str">
        <f>IFERROR(__xludf.DUMMYFUNCTION("IFERROR(INDEX(FILTER('Candidate Database'!H$4:H$998,'Candidate Database'!U$4:U$998=$C$2),46),"""")"),"")</f>
        <v/>
      </c>
      <c r="F51" s="58" t="str">
        <f>IFERROR(__xludf.DUMMYFUNCTION("IFERROR(INDEX(FILTER('Candidate Database'!R$4:R$998,'Candidate Database'!U$4:U$998=$C$2),46),"""")"),"")</f>
        <v/>
      </c>
      <c r="G51" s="58" t="str">
        <f>IFERROR(__xludf.DUMMYFUNCTION("IFERROR(INDEX(FILTER('Candidate Database'!P$4:P$998,'Candidate Database'!U$4:U$998=$C$2),46),"""")"),"")</f>
        <v/>
      </c>
      <c r="H51" s="59"/>
      <c r="I51" s="13"/>
      <c r="J51" s="13" t="s">
        <v>339</v>
      </c>
    </row>
    <row r="52" ht="21.75" customHeight="1">
      <c r="A52" s="52" t="str">
        <f>IF(COUNTIF('Candidate Database'!U$4:U$998,$C$2)&gt;=47,47,"")</f>
        <v/>
      </c>
      <c r="B52" s="53" t="str">
        <f>IFERROR(__xludf.DUMMYFUNCTION("IFERROR(INDEX(FILTER('Candidate Database'!B$4:B$998,'Candidate Database'!U$4:U$998=$C$2),47),"""")"),"")</f>
        <v/>
      </c>
      <c r="C52" s="54" t="str">
        <f>IFERROR(__xludf.DUMMYFUNCTION("IFERROR(INDEX(FILTER('Candidate Database'!E$4:E$998,'Candidate Database'!U$4:U$998=$C$2),47),"""")"),"")</f>
        <v/>
      </c>
      <c r="D52" s="54" t="str">
        <f>IFERROR(__xludf.DUMMYFUNCTION("IFERROR(INDEX(FILTER('Candidate Database'!G$4:G$998,'Candidate Database'!U$4:U$998=$C$2),47),"""")"),"")</f>
        <v/>
      </c>
      <c r="E52" s="54" t="str">
        <f>IFERROR(__xludf.DUMMYFUNCTION("IFERROR(INDEX(FILTER('Candidate Database'!H$4:H$998,'Candidate Database'!U$4:U$998=$C$2),47),"""")"),"")</f>
        <v/>
      </c>
      <c r="F52" s="53" t="str">
        <f>IFERROR(__xludf.DUMMYFUNCTION("IFERROR(INDEX(FILTER('Candidate Database'!R$4:R$998,'Candidate Database'!U$4:U$998=$C$2),47),"""")"),"")</f>
        <v/>
      </c>
      <c r="G52" s="53" t="str">
        <f>IFERROR(__xludf.DUMMYFUNCTION("IFERROR(INDEX(FILTER('Candidate Database'!P$4:P$998,'Candidate Database'!U$4:U$998=$C$2),47),"""")"),"")</f>
        <v/>
      </c>
      <c r="H52" s="54"/>
      <c r="I52" s="13"/>
      <c r="J52" s="13" t="s">
        <v>346</v>
      </c>
    </row>
    <row r="53" ht="21.75" customHeight="1">
      <c r="A53" s="57" t="str">
        <f>IF(COUNTIF('Candidate Database'!U$4:U$998,$C$2)&gt;=48,48,"")</f>
        <v/>
      </c>
      <c r="B53" s="58" t="str">
        <f>IFERROR(__xludf.DUMMYFUNCTION("IFERROR(INDEX(FILTER('Candidate Database'!B$4:B$998,'Candidate Database'!U$4:U$998=$C$2),48),"""")"),"")</f>
        <v/>
      </c>
      <c r="C53" s="59" t="str">
        <f>IFERROR(__xludf.DUMMYFUNCTION("IFERROR(INDEX(FILTER('Candidate Database'!E$4:E$998,'Candidate Database'!U$4:U$998=$C$2),48),"""")"),"")</f>
        <v/>
      </c>
      <c r="D53" s="59" t="str">
        <f>IFERROR(__xludf.DUMMYFUNCTION("IFERROR(INDEX(FILTER('Candidate Database'!G$4:G$998,'Candidate Database'!U$4:U$998=$C$2),48),"""")"),"")</f>
        <v/>
      </c>
      <c r="E53" s="59" t="str">
        <f>IFERROR(__xludf.DUMMYFUNCTION("IFERROR(INDEX(FILTER('Candidate Database'!H$4:H$998,'Candidate Database'!U$4:U$998=$C$2),48),"""")"),"")</f>
        <v/>
      </c>
      <c r="F53" s="58" t="str">
        <f>IFERROR(__xludf.DUMMYFUNCTION("IFERROR(INDEX(FILTER('Candidate Database'!R$4:R$998,'Candidate Database'!U$4:U$998=$C$2),48),"""")"),"")</f>
        <v/>
      </c>
      <c r="G53" s="58" t="str">
        <f>IFERROR(__xludf.DUMMYFUNCTION("IFERROR(INDEX(FILTER('Candidate Database'!P$4:P$998,'Candidate Database'!U$4:U$998=$C$2),48),"""")"),"")</f>
        <v/>
      </c>
      <c r="H53" s="59"/>
      <c r="I53" s="13"/>
      <c r="J53" s="13" t="s">
        <v>350</v>
      </c>
    </row>
    <row r="54" ht="21.75" customHeight="1">
      <c r="A54" s="52" t="str">
        <f>IF(COUNTIF('Candidate Database'!U$4:U$998,$C$2)&gt;=49,49,"")</f>
        <v/>
      </c>
      <c r="B54" s="53" t="str">
        <f>IFERROR(__xludf.DUMMYFUNCTION("IFERROR(INDEX(FILTER('Candidate Database'!B$4:B$998,'Candidate Database'!U$4:U$998=$C$2),49),"""")"),"")</f>
        <v/>
      </c>
      <c r="C54" s="54" t="str">
        <f>IFERROR(__xludf.DUMMYFUNCTION("IFERROR(INDEX(FILTER('Candidate Database'!E$4:E$998,'Candidate Database'!U$4:U$998=$C$2),49),"""")"),"")</f>
        <v/>
      </c>
      <c r="D54" s="54" t="str">
        <f>IFERROR(__xludf.DUMMYFUNCTION("IFERROR(INDEX(FILTER('Candidate Database'!G$4:G$998,'Candidate Database'!U$4:U$998=$C$2),49),"""")"),"")</f>
        <v/>
      </c>
      <c r="E54" s="54" t="str">
        <f>IFERROR(__xludf.DUMMYFUNCTION("IFERROR(INDEX(FILTER('Candidate Database'!H$4:H$998,'Candidate Database'!U$4:U$998=$C$2),49),"""")"),"")</f>
        <v/>
      </c>
      <c r="F54" s="53" t="str">
        <f>IFERROR(__xludf.DUMMYFUNCTION("IFERROR(INDEX(FILTER('Candidate Database'!R$4:R$998,'Candidate Database'!U$4:U$998=$C$2),49),"""")"),"")</f>
        <v/>
      </c>
      <c r="G54" s="53" t="str">
        <f>IFERROR(__xludf.DUMMYFUNCTION("IFERROR(INDEX(FILTER('Candidate Database'!P$4:P$998,'Candidate Database'!U$4:U$998=$C$2),49),"""")"),"")</f>
        <v/>
      </c>
      <c r="H54" s="54"/>
      <c r="I54" s="13"/>
      <c r="J54" s="13" t="s">
        <v>353</v>
      </c>
    </row>
    <row r="55" ht="21.75" customHeight="1">
      <c r="A55" s="57" t="str">
        <f>IF(COUNTIF('Candidate Database'!U$4:U$998,$C$2)&gt;=50,50,"")</f>
        <v/>
      </c>
      <c r="B55" s="58" t="str">
        <f>IFERROR(__xludf.DUMMYFUNCTION("IFERROR(INDEX(FILTER('Candidate Database'!B$4:B$998,'Candidate Database'!U$4:U$998=$C$2),50),"""")"),"")</f>
        <v/>
      </c>
      <c r="C55" s="59" t="str">
        <f>IFERROR(__xludf.DUMMYFUNCTION("IFERROR(INDEX(FILTER('Candidate Database'!E$4:E$998,'Candidate Database'!U$4:U$998=$C$2),50),"""")"),"")</f>
        <v/>
      </c>
      <c r="D55" s="59" t="str">
        <f>IFERROR(__xludf.DUMMYFUNCTION("IFERROR(INDEX(FILTER('Candidate Database'!G$4:G$998,'Candidate Database'!U$4:U$998=$C$2),50),"""")"),"")</f>
        <v/>
      </c>
      <c r="E55" s="59" t="str">
        <f>IFERROR(__xludf.DUMMYFUNCTION("IFERROR(INDEX(FILTER('Candidate Database'!H$4:H$998,'Candidate Database'!U$4:U$998=$C$2),50),"""")"),"")</f>
        <v/>
      </c>
      <c r="F55" s="58" t="str">
        <f>IFERROR(__xludf.DUMMYFUNCTION("IFERROR(INDEX(FILTER('Candidate Database'!R$4:R$998,'Candidate Database'!U$4:U$998=$C$2),50),"""")"),"")</f>
        <v/>
      </c>
      <c r="G55" s="58" t="str">
        <f>IFERROR(__xludf.DUMMYFUNCTION("IFERROR(INDEX(FILTER('Candidate Database'!P$4:P$998,'Candidate Database'!U$4:U$998=$C$2),50),"""")"),"")</f>
        <v/>
      </c>
      <c r="H55" s="59"/>
      <c r="I55" s="13"/>
      <c r="J55" s="13" t="s">
        <v>357</v>
      </c>
    </row>
    <row r="56" ht="21.75" customHeight="1">
      <c r="A56" s="52" t="str">
        <f>IF(COUNTIF('Candidate Database'!U$4:U$998,$C$2)&gt;=51,51,"")</f>
        <v/>
      </c>
      <c r="B56" s="53" t="str">
        <f>IFERROR(__xludf.DUMMYFUNCTION("IFERROR(INDEX(FILTER('Candidate Database'!B$4:B$998,'Candidate Database'!U$4:U$998=$C$2),51),"""")"),"")</f>
        <v/>
      </c>
      <c r="C56" s="54" t="str">
        <f>IFERROR(__xludf.DUMMYFUNCTION("IFERROR(INDEX(FILTER('Candidate Database'!E$4:E$998,'Candidate Database'!U$4:U$998=$C$2),51),"""")"),"")</f>
        <v/>
      </c>
      <c r="D56" s="54" t="str">
        <f>IFERROR(__xludf.DUMMYFUNCTION("IFERROR(INDEX(FILTER('Candidate Database'!G$4:G$998,'Candidate Database'!U$4:U$998=$C$2),51),"""")"),"")</f>
        <v/>
      </c>
      <c r="E56" s="54" t="str">
        <f>IFERROR(__xludf.DUMMYFUNCTION("IFERROR(INDEX(FILTER('Candidate Database'!H$4:H$998,'Candidate Database'!U$4:U$998=$C$2),51),"""")"),"")</f>
        <v/>
      </c>
      <c r="F56" s="53" t="str">
        <f>IFERROR(__xludf.DUMMYFUNCTION("IFERROR(INDEX(FILTER('Candidate Database'!R$4:R$998,'Candidate Database'!U$4:U$998=$C$2),51),"""")"),"")</f>
        <v/>
      </c>
      <c r="G56" s="53" t="str">
        <f>IFERROR(__xludf.DUMMYFUNCTION("IFERROR(INDEX(FILTER('Candidate Database'!P$4:P$998,'Candidate Database'!U$4:U$998=$C$2),51),"""")"),"")</f>
        <v/>
      </c>
      <c r="H56" s="54"/>
      <c r="I56" s="13"/>
      <c r="J56" s="13" t="s">
        <v>363</v>
      </c>
    </row>
    <row r="57" ht="21.75" customHeight="1">
      <c r="A57" s="57" t="str">
        <f>IF(COUNTIF('Candidate Database'!U$4:U$998,$C$2)&gt;=52,52,"")</f>
        <v/>
      </c>
      <c r="B57" s="58" t="str">
        <f>IFERROR(__xludf.DUMMYFUNCTION("IFERROR(INDEX(FILTER('Candidate Database'!B$4:B$998,'Candidate Database'!U$4:U$998=$C$2),52),"""")"),"")</f>
        <v/>
      </c>
      <c r="C57" s="59" t="str">
        <f>IFERROR(__xludf.DUMMYFUNCTION("IFERROR(INDEX(FILTER('Candidate Database'!E$4:E$998,'Candidate Database'!U$4:U$998=$C$2),52),"""")"),"")</f>
        <v/>
      </c>
      <c r="D57" s="59" t="str">
        <f>IFERROR(__xludf.DUMMYFUNCTION("IFERROR(INDEX(FILTER('Candidate Database'!G$4:G$998,'Candidate Database'!U$4:U$998=$C$2),52),"""")"),"")</f>
        <v/>
      </c>
      <c r="E57" s="59" t="str">
        <f>IFERROR(__xludf.DUMMYFUNCTION("IFERROR(INDEX(FILTER('Candidate Database'!H$4:H$998,'Candidate Database'!U$4:U$998=$C$2),52),"""")"),"")</f>
        <v/>
      </c>
      <c r="F57" s="58" t="str">
        <f>IFERROR(__xludf.DUMMYFUNCTION("IFERROR(INDEX(FILTER('Candidate Database'!R$4:R$998,'Candidate Database'!U$4:U$998=$C$2),52),"""")"),"")</f>
        <v/>
      </c>
      <c r="G57" s="58" t="str">
        <f>IFERROR(__xludf.DUMMYFUNCTION("IFERROR(INDEX(FILTER('Candidate Database'!P$4:P$998,'Candidate Database'!U$4:U$998=$C$2),52),"""")"),"")</f>
        <v/>
      </c>
      <c r="H57" s="59"/>
      <c r="I57" s="13"/>
      <c r="J57" s="13" t="s">
        <v>368</v>
      </c>
    </row>
    <row r="58" ht="21.75" customHeight="1">
      <c r="A58" s="52" t="str">
        <f>IF(COUNTIF('Candidate Database'!U$4:U$998,$C$2)&gt;=53,53,"")</f>
        <v/>
      </c>
      <c r="B58" s="53" t="str">
        <f>IFERROR(__xludf.DUMMYFUNCTION("IFERROR(INDEX(FILTER('Candidate Database'!B$4:B$998,'Candidate Database'!U$4:U$998=$C$2),53),"""")"),"")</f>
        <v/>
      </c>
      <c r="C58" s="54" t="str">
        <f>IFERROR(__xludf.DUMMYFUNCTION("IFERROR(INDEX(FILTER('Candidate Database'!E$4:E$998,'Candidate Database'!U$4:U$998=$C$2),53),"""")"),"")</f>
        <v/>
      </c>
      <c r="D58" s="54" t="str">
        <f>IFERROR(__xludf.DUMMYFUNCTION("IFERROR(INDEX(FILTER('Candidate Database'!G$4:G$998,'Candidate Database'!U$4:U$998=$C$2),53),"""")"),"")</f>
        <v/>
      </c>
      <c r="E58" s="54" t="str">
        <f>IFERROR(__xludf.DUMMYFUNCTION("IFERROR(INDEX(FILTER('Candidate Database'!H$4:H$998,'Candidate Database'!U$4:U$998=$C$2),53),"""")"),"")</f>
        <v/>
      </c>
      <c r="F58" s="53" t="str">
        <f>IFERROR(__xludf.DUMMYFUNCTION("IFERROR(INDEX(FILTER('Candidate Database'!R$4:R$998,'Candidate Database'!U$4:U$998=$C$2),53),"""")"),"")</f>
        <v/>
      </c>
      <c r="G58" s="53" t="str">
        <f>IFERROR(__xludf.DUMMYFUNCTION("IFERROR(INDEX(FILTER('Candidate Database'!P$4:P$998,'Candidate Database'!U$4:U$998=$C$2),53),"""")"),"")</f>
        <v/>
      </c>
      <c r="H58" s="54"/>
      <c r="I58" s="13"/>
      <c r="J58" s="13" t="s">
        <v>373</v>
      </c>
    </row>
    <row r="59" ht="21.75" customHeight="1">
      <c r="A59" s="57" t="str">
        <f>IF(COUNTIF('Candidate Database'!U$4:U$998,$C$2)&gt;=54,54,"")</f>
        <v/>
      </c>
      <c r="B59" s="58" t="str">
        <f>IFERROR(__xludf.DUMMYFUNCTION("IFERROR(INDEX(FILTER('Candidate Database'!B$4:B$998,'Candidate Database'!U$4:U$998=$C$2),54),"""")"),"")</f>
        <v/>
      </c>
      <c r="C59" s="59" t="str">
        <f>IFERROR(__xludf.DUMMYFUNCTION("IFERROR(INDEX(FILTER('Candidate Database'!E$4:E$998,'Candidate Database'!U$4:U$998=$C$2),54),"""")"),"")</f>
        <v/>
      </c>
      <c r="D59" s="59" t="str">
        <f>IFERROR(__xludf.DUMMYFUNCTION("IFERROR(INDEX(FILTER('Candidate Database'!G$4:G$998,'Candidate Database'!U$4:U$998=$C$2),54),"""")"),"")</f>
        <v/>
      </c>
      <c r="E59" s="59" t="str">
        <f>IFERROR(__xludf.DUMMYFUNCTION("IFERROR(INDEX(FILTER('Candidate Database'!H$4:H$998,'Candidate Database'!U$4:U$998=$C$2),54),"""")"),"")</f>
        <v/>
      </c>
      <c r="F59" s="58" t="str">
        <f>IFERROR(__xludf.DUMMYFUNCTION("IFERROR(INDEX(FILTER('Candidate Database'!R$4:R$998,'Candidate Database'!U$4:U$998=$C$2),54),"""")"),"")</f>
        <v/>
      </c>
      <c r="G59" s="58" t="str">
        <f>IFERROR(__xludf.DUMMYFUNCTION("IFERROR(INDEX(FILTER('Candidate Database'!P$4:P$998,'Candidate Database'!U$4:U$998=$C$2),54),"""")"),"")</f>
        <v/>
      </c>
      <c r="H59" s="59"/>
      <c r="I59" s="13"/>
      <c r="J59" s="13" t="s">
        <v>376</v>
      </c>
    </row>
    <row r="60" ht="21.75" customHeight="1">
      <c r="A60" s="52" t="str">
        <f>IF(COUNTIF('Candidate Database'!U$4:U$998,$C$2)&gt;=55,55,"")</f>
        <v/>
      </c>
      <c r="B60" s="53" t="str">
        <f>IFERROR(__xludf.DUMMYFUNCTION("IFERROR(INDEX(FILTER('Candidate Database'!B$4:B$998,'Candidate Database'!U$4:U$998=$C$2),55),"""")"),"")</f>
        <v/>
      </c>
      <c r="C60" s="54" t="str">
        <f>IFERROR(__xludf.DUMMYFUNCTION("IFERROR(INDEX(FILTER('Candidate Database'!E$4:E$998,'Candidate Database'!U$4:U$998=$C$2),55),"""")"),"")</f>
        <v/>
      </c>
      <c r="D60" s="54" t="str">
        <f>IFERROR(__xludf.DUMMYFUNCTION("IFERROR(INDEX(FILTER('Candidate Database'!G$4:G$998,'Candidate Database'!U$4:U$998=$C$2),55),"""")"),"")</f>
        <v/>
      </c>
      <c r="E60" s="54" t="str">
        <f>IFERROR(__xludf.DUMMYFUNCTION("IFERROR(INDEX(FILTER('Candidate Database'!H$4:H$998,'Candidate Database'!U$4:U$998=$C$2),55),"""")"),"")</f>
        <v/>
      </c>
      <c r="F60" s="53" t="str">
        <f>IFERROR(__xludf.DUMMYFUNCTION("IFERROR(INDEX(FILTER('Candidate Database'!R$4:R$998,'Candidate Database'!U$4:U$998=$C$2),55),"""")"),"")</f>
        <v/>
      </c>
      <c r="G60" s="53" t="str">
        <f>IFERROR(__xludf.DUMMYFUNCTION("IFERROR(INDEX(FILTER('Candidate Database'!P$4:P$998,'Candidate Database'!U$4:U$998=$C$2),55),"""")"),"")</f>
        <v/>
      </c>
      <c r="H60" s="54"/>
      <c r="I60" s="13"/>
      <c r="J60" s="13" t="s">
        <v>379</v>
      </c>
    </row>
    <row r="61" ht="21.75" customHeight="1">
      <c r="A61" s="57" t="str">
        <f>IF(COUNTIF('Candidate Database'!U$4:U$998,$C$2)&gt;=56,56,"")</f>
        <v/>
      </c>
      <c r="B61" s="58" t="str">
        <f>IFERROR(__xludf.DUMMYFUNCTION("IFERROR(INDEX(FILTER('Candidate Database'!B$4:B$998,'Candidate Database'!U$4:U$998=$C$2),56),"""")"),"")</f>
        <v/>
      </c>
      <c r="C61" s="59" t="str">
        <f>IFERROR(__xludf.DUMMYFUNCTION("IFERROR(INDEX(FILTER('Candidate Database'!E$4:E$998,'Candidate Database'!U$4:U$998=$C$2),56),"""")"),"")</f>
        <v/>
      </c>
      <c r="D61" s="59" t="str">
        <f>IFERROR(__xludf.DUMMYFUNCTION("IFERROR(INDEX(FILTER('Candidate Database'!G$4:G$998,'Candidate Database'!U$4:U$998=$C$2),56),"""")"),"")</f>
        <v/>
      </c>
      <c r="E61" s="59" t="str">
        <f>IFERROR(__xludf.DUMMYFUNCTION("IFERROR(INDEX(FILTER('Candidate Database'!H$4:H$998,'Candidate Database'!U$4:U$998=$C$2),56),"""")"),"")</f>
        <v/>
      </c>
      <c r="F61" s="58" t="str">
        <f>IFERROR(__xludf.DUMMYFUNCTION("IFERROR(INDEX(FILTER('Candidate Database'!R$4:R$998,'Candidate Database'!U$4:U$998=$C$2),56),"""")"),"")</f>
        <v/>
      </c>
      <c r="G61" s="58" t="str">
        <f>IFERROR(__xludf.DUMMYFUNCTION("IFERROR(INDEX(FILTER('Candidate Database'!P$4:P$998,'Candidate Database'!U$4:U$998=$C$2),56),"""")"),"")</f>
        <v/>
      </c>
      <c r="H61" s="59"/>
      <c r="I61" s="13"/>
      <c r="J61" s="13" t="s">
        <v>384</v>
      </c>
    </row>
    <row r="62" ht="21.75" customHeight="1">
      <c r="A62" s="52" t="str">
        <f>IF(COUNTIF('Candidate Database'!U$4:U$998,$C$2)&gt;=57,57,"")</f>
        <v/>
      </c>
      <c r="B62" s="53" t="str">
        <f>IFERROR(__xludf.DUMMYFUNCTION("IFERROR(INDEX(FILTER('Candidate Database'!B$4:B$998,'Candidate Database'!U$4:U$998=$C$2),57),"""")"),"")</f>
        <v/>
      </c>
      <c r="C62" s="54" t="str">
        <f>IFERROR(__xludf.DUMMYFUNCTION("IFERROR(INDEX(FILTER('Candidate Database'!E$4:E$998,'Candidate Database'!U$4:U$998=$C$2),57),"""")"),"")</f>
        <v/>
      </c>
      <c r="D62" s="54" t="str">
        <f>IFERROR(__xludf.DUMMYFUNCTION("IFERROR(INDEX(FILTER('Candidate Database'!G$4:G$998,'Candidate Database'!U$4:U$998=$C$2),57),"""")"),"")</f>
        <v/>
      </c>
      <c r="E62" s="54" t="str">
        <f>IFERROR(__xludf.DUMMYFUNCTION("IFERROR(INDEX(FILTER('Candidate Database'!H$4:H$998,'Candidate Database'!U$4:U$998=$C$2),57),"""")"),"")</f>
        <v/>
      </c>
      <c r="F62" s="53" t="str">
        <f>IFERROR(__xludf.DUMMYFUNCTION("IFERROR(INDEX(FILTER('Candidate Database'!R$4:R$998,'Candidate Database'!U$4:U$998=$C$2),57),"""")"),"")</f>
        <v/>
      </c>
      <c r="G62" s="53" t="str">
        <f>IFERROR(__xludf.DUMMYFUNCTION("IFERROR(INDEX(FILTER('Candidate Database'!P$4:P$998,'Candidate Database'!U$4:U$998=$C$2),57),"""")"),"")</f>
        <v/>
      </c>
      <c r="H62" s="54"/>
      <c r="I62" s="13"/>
      <c r="J62" s="13" t="s">
        <v>390</v>
      </c>
    </row>
    <row r="63" ht="21.75" customHeight="1">
      <c r="A63" s="57" t="str">
        <f>IF(COUNTIF('Candidate Database'!U$4:U$998,$C$2)&gt;=58,58,"")</f>
        <v/>
      </c>
      <c r="B63" s="58" t="str">
        <f>IFERROR(__xludf.DUMMYFUNCTION("IFERROR(INDEX(FILTER('Candidate Database'!B$4:B$998,'Candidate Database'!U$4:U$998=$C$2),58),"""")"),"")</f>
        <v/>
      </c>
      <c r="C63" s="59" t="str">
        <f>IFERROR(__xludf.DUMMYFUNCTION("IFERROR(INDEX(FILTER('Candidate Database'!E$4:E$998,'Candidate Database'!U$4:U$998=$C$2),58),"""")"),"")</f>
        <v/>
      </c>
      <c r="D63" s="59" t="str">
        <f>IFERROR(__xludf.DUMMYFUNCTION("IFERROR(INDEX(FILTER('Candidate Database'!G$4:G$998,'Candidate Database'!U$4:U$998=$C$2),58),"""")"),"")</f>
        <v/>
      </c>
      <c r="E63" s="59" t="str">
        <f>IFERROR(__xludf.DUMMYFUNCTION("IFERROR(INDEX(FILTER('Candidate Database'!H$4:H$998,'Candidate Database'!U$4:U$998=$C$2),58),"""")"),"")</f>
        <v/>
      </c>
      <c r="F63" s="58" t="str">
        <f>IFERROR(__xludf.DUMMYFUNCTION("IFERROR(INDEX(FILTER('Candidate Database'!R$4:R$998,'Candidate Database'!U$4:U$998=$C$2),58),"""")"),"")</f>
        <v/>
      </c>
      <c r="G63" s="58" t="str">
        <f>IFERROR(__xludf.DUMMYFUNCTION("IFERROR(INDEX(FILTER('Candidate Database'!P$4:P$998,'Candidate Database'!U$4:U$998=$C$2),58),"""")"),"")</f>
        <v/>
      </c>
      <c r="H63" s="59"/>
      <c r="I63" s="13"/>
      <c r="J63" s="13" t="s">
        <v>138</v>
      </c>
    </row>
    <row r="64" ht="21.75" customHeight="1">
      <c r="A64" s="52" t="str">
        <f>IF(COUNTIF('Candidate Database'!U$4:U$998,$C$2)&gt;=59,59,"")</f>
        <v/>
      </c>
      <c r="B64" s="53" t="str">
        <f>IFERROR(__xludf.DUMMYFUNCTION("IFERROR(INDEX(FILTER('Candidate Database'!B$4:B$998,'Candidate Database'!U$4:U$998=$C$2),59),"""")"),"")</f>
        <v/>
      </c>
      <c r="C64" s="54" t="str">
        <f>IFERROR(__xludf.DUMMYFUNCTION("IFERROR(INDEX(FILTER('Candidate Database'!E$4:E$998,'Candidate Database'!U$4:U$998=$C$2),59),"""")"),"")</f>
        <v/>
      </c>
      <c r="D64" s="54" t="str">
        <f>IFERROR(__xludf.DUMMYFUNCTION("IFERROR(INDEX(FILTER('Candidate Database'!G$4:G$998,'Candidate Database'!U$4:U$998=$C$2),59),"""")"),"")</f>
        <v/>
      </c>
      <c r="E64" s="54" t="str">
        <f>IFERROR(__xludf.DUMMYFUNCTION("IFERROR(INDEX(FILTER('Candidate Database'!H$4:H$998,'Candidate Database'!U$4:U$998=$C$2),59),"""")"),"")</f>
        <v/>
      </c>
      <c r="F64" s="53" t="str">
        <f>IFERROR(__xludf.DUMMYFUNCTION("IFERROR(INDEX(FILTER('Candidate Database'!R$4:R$998,'Candidate Database'!U$4:U$998=$C$2),59),"""")"),"")</f>
        <v/>
      </c>
      <c r="G64" s="53" t="str">
        <f>IFERROR(__xludf.DUMMYFUNCTION("IFERROR(INDEX(FILTER('Candidate Database'!P$4:P$998,'Candidate Database'!U$4:U$998=$C$2),59),"""")"),"")</f>
        <v/>
      </c>
      <c r="H64" s="54"/>
      <c r="I64" s="13"/>
      <c r="J64" s="13" t="s">
        <v>37</v>
      </c>
    </row>
    <row r="65" ht="21.75" customHeight="1">
      <c r="A65" s="57" t="str">
        <f>IF(COUNTIF('Candidate Database'!U$4:U$998,$C$2)&gt;=60,60,"")</f>
        <v/>
      </c>
      <c r="B65" s="58" t="str">
        <f>IFERROR(__xludf.DUMMYFUNCTION("IFERROR(INDEX(FILTER('Candidate Database'!B$4:B$998,'Candidate Database'!U$4:U$998=$C$2),60),"""")"),"")</f>
        <v/>
      </c>
      <c r="C65" s="59" t="str">
        <f>IFERROR(__xludf.DUMMYFUNCTION("IFERROR(INDEX(FILTER('Candidate Database'!E$4:E$998,'Candidate Database'!U$4:U$998=$C$2),60),"""")"),"")</f>
        <v/>
      </c>
      <c r="D65" s="59" t="str">
        <f>IFERROR(__xludf.DUMMYFUNCTION("IFERROR(INDEX(FILTER('Candidate Database'!G$4:G$998,'Candidate Database'!U$4:U$998=$C$2),60),"""")"),"")</f>
        <v/>
      </c>
      <c r="E65" s="59" t="str">
        <f>IFERROR(__xludf.DUMMYFUNCTION("IFERROR(INDEX(FILTER('Candidate Database'!H$4:H$998,'Candidate Database'!U$4:U$998=$C$2),60),"""")"),"")</f>
        <v/>
      </c>
      <c r="F65" s="58" t="str">
        <f>IFERROR(__xludf.DUMMYFUNCTION("IFERROR(INDEX(FILTER('Candidate Database'!R$4:R$998,'Candidate Database'!U$4:U$998=$C$2),60),"""")"),"")</f>
        <v/>
      </c>
      <c r="G65" s="58" t="str">
        <f>IFERROR(__xludf.DUMMYFUNCTION("IFERROR(INDEX(FILTER('Candidate Database'!P$4:P$998,'Candidate Database'!U$4:U$998=$C$2),60),"""")"),"")</f>
        <v/>
      </c>
      <c r="H65" s="59"/>
      <c r="I65" s="13"/>
      <c r="J65" s="13" t="s">
        <v>405</v>
      </c>
    </row>
    <row r="66" ht="21.75" customHeight="1">
      <c r="A66" s="52" t="str">
        <f>IF(COUNTIF('Candidate Database'!U$4:U$998,$C$2)&gt;=61,61,"")</f>
        <v/>
      </c>
      <c r="B66" s="53" t="str">
        <f>IFERROR(__xludf.DUMMYFUNCTION("IFERROR(INDEX(FILTER('Candidate Database'!B$4:B$998,'Candidate Database'!U$4:U$998=$C$2),61),"""")"),"")</f>
        <v/>
      </c>
      <c r="C66" s="54" t="str">
        <f>IFERROR(__xludf.DUMMYFUNCTION("IFERROR(INDEX(FILTER('Candidate Database'!E$4:E$998,'Candidate Database'!U$4:U$998=$C$2),61),"""")"),"")</f>
        <v/>
      </c>
      <c r="D66" s="54" t="str">
        <f>IFERROR(__xludf.DUMMYFUNCTION("IFERROR(INDEX(FILTER('Candidate Database'!G$4:G$998,'Candidate Database'!U$4:U$998=$C$2),61),"""")"),"")</f>
        <v/>
      </c>
      <c r="E66" s="54" t="str">
        <f>IFERROR(__xludf.DUMMYFUNCTION("IFERROR(INDEX(FILTER('Candidate Database'!H$4:H$998,'Candidate Database'!U$4:U$998=$C$2),61),"""")"),"")</f>
        <v/>
      </c>
      <c r="F66" s="53" t="str">
        <f>IFERROR(__xludf.DUMMYFUNCTION("IFERROR(INDEX(FILTER('Candidate Database'!R$4:R$998,'Candidate Database'!U$4:U$998=$C$2),61),"""")"),"")</f>
        <v/>
      </c>
      <c r="G66" s="53" t="str">
        <f>IFERROR(__xludf.DUMMYFUNCTION("IFERROR(INDEX(FILTER('Candidate Database'!P$4:P$998,'Candidate Database'!U$4:U$998=$C$2),61),"""")"),"")</f>
        <v/>
      </c>
      <c r="H66" s="54"/>
      <c r="I66" s="13"/>
      <c r="J66" s="13" t="s">
        <v>411</v>
      </c>
    </row>
    <row r="67" ht="21.75" customHeight="1">
      <c r="A67" s="57" t="str">
        <f>IF(COUNTIF('Candidate Database'!U$4:U$998,$C$2)&gt;=62,62,"")</f>
        <v/>
      </c>
      <c r="B67" s="58" t="str">
        <f>IFERROR(__xludf.DUMMYFUNCTION("IFERROR(INDEX(FILTER('Candidate Database'!B$4:B$998,'Candidate Database'!U$4:U$998=$C$2),62),"""")"),"")</f>
        <v/>
      </c>
      <c r="C67" s="59" t="str">
        <f>IFERROR(__xludf.DUMMYFUNCTION("IFERROR(INDEX(FILTER('Candidate Database'!E$4:E$998,'Candidate Database'!U$4:U$998=$C$2),62),"""")"),"")</f>
        <v/>
      </c>
      <c r="D67" s="59" t="str">
        <f>IFERROR(__xludf.DUMMYFUNCTION("IFERROR(INDEX(FILTER('Candidate Database'!G$4:G$998,'Candidate Database'!U$4:U$998=$C$2),62),"""")"),"")</f>
        <v/>
      </c>
      <c r="E67" s="59" t="str">
        <f>IFERROR(__xludf.DUMMYFUNCTION("IFERROR(INDEX(FILTER('Candidate Database'!H$4:H$998,'Candidate Database'!U$4:U$998=$C$2),62),"""")"),"")</f>
        <v/>
      </c>
      <c r="F67" s="58" t="str">
        <f>IFERROR(__xludf.DUMMYFUNCTION("IFERROR(INDEX(FILTER('Candidate Database'!R$4:R$998,'Candidate Database'!U$4:U$998=$C$2),62),"""")"),"")</f>
        <v/>
      </c>
      <c r="G67" s="58" t="str">
        <f>IFERROR(__xludf.DUMMYFUNCTION("IFERROR(INDEX(FILTER('Candidate Database'!P$4:P$998,'Candidate Database'!U$4:U$998=$C$2),62),"""")"),"")</f>
        <v/>
      </c>
      <c r="H67" s="59"/>
      <c r="I67" s="13"/>
      <c r="J67" s="13" t="s">
        <v>418</v>
      </c>
    </row>
    <row r="68" ht="21.75" customHeight="1">
      <c r="A68" s="52" t="str">
        <f>IF(COUNTIF('Candidate Database'!U$4:U$998,$C$2)&gt;=63,63,"")</f>
        <v/>
      </c>
      <c r="B68" s="53" t="str">
        <f>IFERROR(__xludf.DUMMYFUNCTION("IFERROR(INDEX(FILTER('Candidate Database'!B$4:B$998,'Candidate Database'!U$4:U$998=$C$2),63),"""")"),"")</f>
        <v/>
      </c>
      <c r="C68" s="54" t="str">
        <f>IFERROR(__xludf.DUMMYFUNCTION("IFERROR(INDEX(FILTER('Candidate Database'!E$4:E$998,'Candidate Database'!U$4:U$998=$C$2),63),"""")"),"")</f>
        <v/>
      </c>
      <c r="D68" s="54" t="str">
        <f>IFERROR(__xludf.DUMMYFUNCTION("IFERROR(INDEX(FILTER('Candidate Database'!G$4:G$998,'Candidate Database'!U$4:U$998=$C$2),63),"""")"),"")</f>
        <v/>
      </c>
      <c r="E68" s="54" t="str">
        <f>IFERROR(__xludf.DUMMYFUNCTION("IFERROR(INDEX(FILTER('Candidate Database'!H$4:H$998,'Candidate Database'!U$4:U$998=$C$2),63),"""")"),"")</f>
        <v/>
      </c>
      <c r="F68" s="53" t="str">
        <f>IFERROR(__xludf.DUMMYFUNCTION("IFERROR(INDEX(FILTER('Candidate Database'!R$4:R$998,'Candidate Database'!U$4:U$998=$C$2),63),"""")"),"")</f>
        <v/>
      </c>
      <c r="G68" s="53" t="str">
        <f>IFERROR(__xludf.DUMMYFUNCTION("IFERROR(INDEX(FILTER('Candidate Database'!P$4:P$998,'Candidate Database'!U$4:U$998=$C$2),63),"""")"),"")</f>
        <v/>
      </c>
      <c r="H68" s="54"/>
      <c r="I68" s="13"/>
      <c r="J68" s="13" t="s">
        <v>422</v>
      </c>
    </row>
    <row r="69" ht="21.75" customHeight="1">
      <c r="A69" s="57" t="str">
        <f>IF(COUNTIF('Candidate Database'!U$4:U$998,$C$2)&gt;=64,64,"")</f>
        <v/>
      </c>
      <c r="B69" s="58" t="str">
        <f>IFERROR(__xludf.DUMMYFUNCTION("IFERROR(INDEX(FILTER('Candidate Database'!B$4:B$998,'Candidate Database'!U$4:U$998=$C$2),64),"""")"),"")</f>
        <v/>
      </c>
      <c r="C69" s="59" t="str">
        <f>IFERROR(__xludf.DUMMYFUNCTION("IFERROR(INDEX(FILTER('Candidate Database'!E$4:E$998,'Candidate Database'!U$4:U$998=$C$2),64),"""")"),"")</f>
        <v/>
      </c>
      <c r="D69" s="59" t="str">
        <f>IFERROR(__xludf.DUMMYFUNCTION("IFERROR(INDEX(FILTER('Candidate Database'!G$4:G$998,'Candidate Database'!U$4:U$998=$C$2),64),"""")"),"")</f>
        <v/>
      </c>
      <c r="E69" s="59" t="str">
        <f>IFERROR(__xludf.DUMMYFUNCTION("IFERROR(INDEX(FILTER('Candidate Database'!H$4:H$998,'Candidate Database'!U$4:U$998=$C$2),64),"""")"),"")</f>
        <v/>
      </c>
      <c r="F69" s="58" t="str">
        <f>IFERROR(__xludf.DUMMYFUNCTION("IFERROR(INDEX(FILTER('Candidate Database'!R$4:R$998,'Candidate Database'!U$4:U$998=$C$2),64),"""")"),"")</f>
        <v/>
      </c>
      <c r="G69" s="58" t="str">
        <f>IFERROR(__xludf.DUMMYFUNCTION("IFERROR(INDEX(FILTER('Candidate Database'!P$4:P$998,'Candidate Database'!U$4:U$998=$C$2),64),"""")"),"")</f>
        <v/>
      </c>
      <c r="H69" s="59"/>
      <c r="I69" s="13"/>
      <c r="J69" s="13" t="s">
        <v>428</v>
      </c>
    </row>
    <row r="70" ht="21.75" customHeight="1">
      <c r="A70" s="52" t="str">
        <f>IF(COUNTIF('Candidate Database'!U$4:U$998,$C$2)&gt;=65,65,"")</f>
        <v/>
      </c>
      <c r="B70" s="53" t="str">
        <f>IFERROR(__xludf.DUMMYFUNCTION("IFERROR(INDEX(FILTER('Candidate Database'!B$4:B$998,'Candidate Database'!U$4:U$998=$C$2),65),"""")"),"")</f>
        <v/>
      </c>
      <c r="C70" s="54" t="str">
        <f>IFERROR(__xludf.DUMMYFUNCTION("IFERROR(INDEX(FILTER('Candidate Database'!E$4:E$998,'Candidate Database'!U$4:U$998=$C$2),65),"""")"),"")</f>
        <v/>
      </c>
      <c r="D70" s="54" t="str">
        <f>IFERROR(__xludf.DUMMYFUNCTION("IFERROR(INDEX(FILTER('Candidate Database'!G$4:G$998,'Candidate Database'!U$4:U$998=$C$2),65),"""")"),"")</f>
        <v/>
      </c>
      <c r="E70" s="54" t="str">
        <f>IFERROR(__xludf.DUMMYFUNCTION("IFERROR(INDEX(FILTER('Candidate Database'!H$4:H$998,'Candidate Database'!U$4:U$998=$C$2),65),"""")"),"")</f>
        <v/>
      </c>
      <c r="F70" s="53" t="str">
        <f>IFERROR(__xludf.DUMMYFUNCTION("IFERROR(INDEX(FILTER('Candidate Database'!R$4:R$998,'Candidate Database'!U$4:U$998=$C$2),65),"""")"),"")</f>
        <v/>
      </c>
      <c r="G70" s="53" t="str">
        <f>IFERROR(__xludf.DUMMYFUNCTION("IFERROR(INDEX(FILTER('Candidate Database'!P$4:P$998,'Candidate Database'!U$4:U$998=$C$2),65),"""")"),"")</f>
        <v/>
      </c>
      <c r="H70" s="54"/>
      <c r="I70" s="13"/>
      <c r="J70" s="13" t="s">
        <v>434</v>
      </c>
    </row>
    <row r="71" ht="21.75" customHeight="1">
      <c r="A71" s="57" t="str">
        <f>IF(COUNTIF('Candidate Database'!U$4:U$998,$C$2)&gt;=66,66,"")</f>
        <v/>
      </c>
      <c r="B71" s="58" t="str">
        <f>IFERROR(__xludf.DUMMYFUNCTION("IFERROR(INDEX(FILTER('Candidate Database'!B$4:B$998,'Candidate Database'!U$4:U$998=$C$2),66),"""")"),"")</f>
        <v/>
      </c>
      <c r="C71" s="59" t="str">
        <f>IFERROR(__xludf.DUMMYFUNCTION("IFERROR(INDEX(FILTER('Candidate Database'!E$4:E$998,'Candidate Database'!U$4:U$998=$C$2),66),"""")"),"")</f>
        <v/>
      </c>
      <c r="D71" s="59" t="str">
        <f>IFERROR(__xludf.DUMMYFUNCTION("IFERROR(INDEX(FILTER('Candidate Database'!G$4:G$998,'Candidate Database'!U$4:U$998=$C$2),66),"""")"),"")</f>
        <v/>
      </c>
      <c r="E71" s="59" t="str">
        <f>IFERROR(__xludf.DUMMYFUNCTION("IFERROR(INDEX(FILTER('Candidate Database'!H$4:H$998,'Candidate Database'!U$4:U$998=$C$2),66),"""")"),"")</f>
        <v/>
      </c>
      <c r="F71" s="58" t="str">
        <f>IFERROR(__xludf.DUMMYFUNCTION("IFERROR(INDEX(FILTER('Candidate Database'!R$4:R$998,'Candidate Database'!U$4:U$998=$C$2),66),"""")"),"")</f>
        <v/>
      </c>
      <c r="G71" s="58" t="str">
        <f>IFERROR(__xludf.DUMMYFUNCTION("IFERROR(INDEX(FILTER('Candidate Database'!P$4:P$998,'Candidate Database'!U$4:U$998=$C$2),66),"""")"),"")</f>
        <v/>
      </c>
      <c r="H71" s="59"/>
      <c r="I71" s="13"/>
      <c r="J71" s="13" t="s">
        <v>440</v>
      </c>
    </row>
    <row r="72" ht="21.75" customHeight="1">
      <c r="A72" s="52" t="str">
        <f>IF(COUNTIF('Candidate Database'!U$4:U$998,$C$2)&gt;=67,67,"")</f>
        <v/>
      </c>
      <c r="B72" s="53" t="str">
        <f>IFERROR(__xludf.DUMMYFUNCTION("IFERROR(INDEX(FILTER('Candidate Database'!B$4:B$998,'Candidate Database'!U$4:U$998=$C$2),67),"""")"),"")</f>
        <v/>
      </c>
      <c r="C72" s="54" t="str">
        <f>IFERROR(__xludf.DUMMYFUNCTION("IFERROR(INDEX(FILTER('Candidate Database'!E$4:E$998,'Candidate Database'!U$4:U$998=$C$2),67),"""")"),"")</f>
        <v/>
      </c>
      <c r="D72" s="54" t="str">
        <f>IFERROR(__xludf.DUMMYFUNCTION("IFERROR(INDEX(FILTER('Candidate Database'!G$4:G$998,'Candidate Database'!U$4:U$998=$C$2),67),"""")"),"")</f>
        <v/>
      </c>
      <c r="E72" s="54" t="str">
        <f>IFERROR(__xludf.DUMMYFUNCTION("IFERROR(INDEX(FILTER('Candidate Database'!H$4:H$998,'Candidate Database'!U$4:U$998=$C$2),67),"""")"),"")</f>
        <v/>
      </c>
      <c r="F72" s="53" t="str">
        <f>IFERROR(__xludf.DUMMYFUNCTION("IFERROR(INDEX(FILTER('Candidate Database'!R$4:R$998,'Candidate Database'!U$4:U$998=$C$2),67),"""")"),"")</f>
        <v/>
      </c>
      <c r="G72" s="53" t="str">
        <f>IFERROR(__xludf.DUMMYFUNCTION("IFERROR(INDEX(FILTER('Candidate Database'!P$4:P$998,'Candidate Database'!U$4:U$998=$C$2),67),"""")"),"")</f>
        <v/>
      </c>
      <c r="H72" s="54"/>
      <c r="I72" s="13"/>
      <c r="J72" s="13" t="s">
        <v>448</v>
      </c>
    </row>
    <row r="73" ht="21.75" customHeight="1">
      <c r="A73" s="57" t="str">
        <f>IF(COUNTIF('Candidate Database'!U$4:U$998,$C$2)&gt;=68,68,"")</f>
        <v/>
      </c>
      <c r="B73" s="58" t="str">
        <f>IFERROR(__xludf.DUMMYFUNCTION("IFERROR(INDEX(FILTER('Candidate Database'!B$4:B$998,'Candidate Database'!U$4:U$998=$C$2),68),"""")"),"")</f>
        <v/>
      </c>
      <c r="C73" s="59" t="str">
        <f>IFERROR(__xludf.DUMMYFUNCTION("IFERROR(INDEX(FILTER('Candidate Database'!E$4:E$998,'Candidate Database'!U$4:U$998=$C$2),68),"""")"),"")</f>
        <v/>
      </c>
      <c r="D73" s="59" t="str">
        <f>IFERROR(__xludf.DUMMYFUNCTION("IFERROR(INDEX(FILTER('Candidate Database'!G$4:G$998,'Candidate Database'!U$4:U$998=$C$2),68),"""")"),"")</f>
        <v/>
      </c>
      <c r="E73" s="59" t="str">
        <f>IFERROR(__xludf.DUMMYFUNCTION("IFERROR(INDEX(FILTER('Candidate Database'!H$4:H$998,'Candidate Database'!U$4:U$998=$C$2),68),"""")"),"")</f>
        <v/>
      </c>
      <c r="F73" s="58" t="str">
        <f>IFERROR(__xludf.DUMMYFUNCTION("IFERROR(INDEX(FILTER('Candidate Database'!R$4:R$998,'Candidate Database'!U$4:U$998=$C$2),68),"""")"),"")</f>
        <v/>
      </c>
      <c r="G73" s="58" t="str">
        <f>IFERROR(__xludf.DUMMYFUNCTION("IFERROR(INDEX(FILTER('Candidate Database'!P$4:P$998,'Candidate Database'!U$4:U$998=$C$2),68),"""")"),"")</f>
        <v/>
      </c>
      <c r="H73" s="59"/>
      <c r="I73" s="13"/>
      <c r="J73" s="13" t="s">
        <v>456</v>
      </c>
    </row>
    <row r="74" ht="21.75" customHeight="1">
      <c r="A74" s="52" t="str">
        <f>IF(COUNTIF('Candidate Database'!U$4:U$998,$C$2)&gt;=69,69,"")</f>
        <v/>
      </c>
      <c r="B74" s="53" t="str">
        <f>IFERROR(__xludf.DUMMYFUNCTION("IFERROR(INDEX(FILTER('Candidate Database'!B$4:B$998,'Candidate Database'!U$4:U$998=$C$2),69),"""")"),"")</f>
        <v/>
      </c>
      <c r="C74" s="54" t="str">
        <f>IFERROR(__xludf.DUMMYFUNCTION("IFERROR(INDEX(FILTER('Candidate Database'!E$4:E$998,'Candidate Database'!U$4:U$998=$C$2),69),"""")"),"")</f>
        <v/>
      </c>
      <c r="D74" s="54" t="str">
        <f>IFERROR(__xludf.DUMMYFUNCTION("IFERROR(INDEX(FILTER('Candidate Database'!G$4:G$998,'Candidate Database'!U$4:U$998=$C$2),69),"""")"),"")</f>
        <v/>
      </c>
      <c r="E74" s="54" t="str">
        <f>IFERROR(__xludf.DUMMYFUNCTION("IFERROR(INDEX(FILTER('Candidate Database'!H$4:H$998,'Candidate Database'!U$4:U$998=$C$2),69),"""")"),"")</f>
        <v/>
      </c>
      <c r="F74" s="53" t="str">
        <f>IFERROR(__xludf.DUMMYFUNCTION("IFERROR(INDEX(FILTER('Candidate Database'!R$4:R$998,'Candidate Database'!U$4:U$998=$C$2),69),"""")"),"")</f>
        <v/>
      </c>
      <c r="G74" s="53" t="str">
        <f>IFERROR(__xludf.DUMMYFUNCTION("IFERROR(INDEX(FILTER('Candidate Database'!P$4:P$998,'Candidate Database'!U$4:U$998=$C$2),69),"""")"),"")</f>
        <v/>
      </c>
      <c r="H74" s="54"/>
      <c r="I74" s="13"/>
      <c r="J74" s="13" t="s">
        <v>464</v>
      </c>
    </row>
    <row r="75" ht="21.75" customHeight="1">
      <c r="A75" s="57" t="str">
        <f>IF(COUNTIF('Candidate Database'!U$4:U$998,$C$2)&gt;=70,70,"")</f>
        <v/>
      </c>
      <c r="B75" s="58" t="str">
        <f>IFERROR(__xludf.DUMMYFUNCTION("IFERROR(INDEX(FILTER('Candidate Database'!B$4:B$998,'Candidate Database'!U$4:U$998=$C$2),70),"""")"),"")</f>
        <v/>
      </c>
      <c r="C75" s="59" t="str">
        <f>IFERROR(__xludf.DUMMYFUNCTION("IFERROR(INDEX(FILTER('Candidate Database'!E$4:E$998,'Candidate Database'!U$4:U$998=$C$2),70),"""")"),"")</f>
        <v/>
      </c>
      <c r="D75" s="59" t="str">
        <f>IFERROR(__xludf.DUMMYFUNCTION("IFERROR(INDEX(FILTER('Candidate Database'!G$4:G$998,'Candidate Database'!U$4:U$998=$C$2),70),"""")"),"")</f>
        <v/>
      </c>
      <c r="E75" s="59" t="str">
        <f>IFERROR(__xludf.DUMMYFUNCTION("IFERROR(INDEX(FILTER('Candidate Database'!H$4:H$998,'Candidate Database'!U$4:U$998=$C$2),70),"""")"),"")</f>
        <v/>
      </c>
      <c r="F75" s="58" t="str">
        <f>IFERROR(__xludf.DUMMYFUNCTION("IFERROR(INDEX(FILTER('Candidate Database'!R$4:R$998,'Candidate Database'!U$4:U$998=$C$2),70),"""")"),"")</f>
        <v/>
      </c>
      <c r="G75" s="58" t="str">
        <f>IFERROR(__xludf.DUMMYFUNCTION("IFERROR(INDEX(FILTER('Candidate Database'!P$4:P$998,'Candidate Database'!U$4:U$998=$C$2),70),"""")"),"")</f>
        <v/>
      </c>
      <c r="H75" s="59"/>
      <c r="I75" s="13"/>
      <c r="J75" s="13" t="s">
        <v>471</v>
      </c>
    </row>
    <row r="76" ht="21.75" customHeight="1">
      <c r="A76" s="52" t="str">
        <f>IF(COUNTIF('Candidate Database'!U$4:U$998,$C$2)&gt;=71,71,"")</f>
        <v/>
      </c>
      <c r="B76" s="53" t="str">
        <f>IFERROR(__xludf.DUMMYFUNCTION("IFERROR(INDEX(FILTER('Candidate Database'!B$4:B$998,'Candidate Database'!U$4:U$998=$C$2),71),"""")"),"")</f>
        <v/>
      </c>
      <c r="C76" s="54" t="str">
        <f>IFERROR(__xludf.DUMMYFUNCTION("IFERROR(INDEX(FILTER('Candidate Database'!E$4:E$998,'Candidate Database'!U$4:U$998=$C$2),71),"""")"),"")</f>
        <v/>
      </c>
      <c r="D76" s="54" t="str">
        <f>IFERROR(__xludf.DUMMYFUNCTION("IFERROR(INDEX(FILTER('Candidate Database'!G$4:G$998,'Candidate Database'!U$4:U$998=$C$2),71),"""")"),"")</f>
        <v/>
      </c>
      <c r="E76" s="54" t="str">
        <f>IFERROR(__xludf.DUMMYFUNCTION("IFERROR(INDEX(FILTER('Candidate Database'!H$4:H$998,'Candidate Database'!U$4:U$998=$C$2),71),"""")"),"")</f>
        <v/>
      </c>
      <c r="F76" s="53" t="str">
        <f>IFERROR(__xludf.DUMMYFUNCTION("IFERROR(INDEX(FILTER('Candidate Database'!R$4:R$998,'Candidate Database'!U$4:U$998=$C$2),71),"""")"),"")</f>
        <v/>
      </c>
      <c r="G76" s="53" t="str">
        <f>IFERROR(__xludf.DUMMYFUNCTION("IFERROR(INDEX(FILTER('Candidate Database'!P$4:P$998,'Candidate Database'!U$4:U$998=$C$2),71),"""")"),"")</f>
        <v/>
      </c>
      <c r="H76" s="54"/>
      <c r="I76" s="13"/>
      <c r="J76" s="13"/>
    </row>
    <row r="77" ht="21.75" customHeight="1">
      <c r="A77" s="57" t="str">
        <f>IF(COUNTIF('Candidate Database'!U$4:U$998,$C$2)&gt;=72,72,"")</f>
        <v/>
      </c>
      <c r="B77" s="58" t="str">
        <f>IFERROR(__xludf.DUMMYFUNCTION("IFERROR(INDEX(FILTER('Candidate Database'!B$4:B$998,'Candidate Database'!U$4:U$998=$C$2),72),"""")"),"")</f>
        <v/>
      </c>
      <c r="C77" s="59" t="str">
        <f>IFERROR(__xludf.DUMMYFUNCTION("IFERROR(INDEX(FILTER('Candidate Database'!E$4:E$998,'Candidate Database'!U$4:U$998=$C$2),72),"""")"),"")</f>
        <v/>
      </c>
      <c r="D77" s="59" t="str">
        <f>IFERROR(__xludf.DUMMYFUNCTION("IFERROR(INDEX(FILTER('Candidate Database'!G$4:G$998,'Candidate Database'!U$4:U$998=$C$2),72),"""")"),"")</f>
        <v/>
      </c>
      <c r="E77" s="59" t="str">
        <f>IFERROR(__xludf.DUMMYFUNCTION("IFERROR(INDEX(FILTER('Candidate Database'!H$4:H$998,'Candidate Database'!U$4:U$998=$C$2),72),"""")"),"")</f>
        <v/>
      </c>
      <c r="F77" s="58" t="str">
        <f>IFERROR(__xludf.DUMMYFUNCTION("IFERROR(INDEX(FILTER('Candidate Database'!R$4:R$998,'Candidate Database'!U$4:U$998=$C$2),72),"""")"),"")</f>
        <v/>
      </c>
      <c r="G77" s="58" t="str">
        <f>IFERROR(__xludf.DUMMYFUNCTION("IFERROR(INDEX(FILTER('Candidate Database'!P$4:P$998,'Candidate Database'!U$4:U$998=$C$2),72),"""")"),"")</f>
        <v/>
      </c>
      <c r="H77" s="59"/>
      <c r="I77" s="13"/>
      <c r="J77" s="13"/>
    </row>
    <row r="78" ht="21.75" customHeight="1">
      <c r="A78" s="52" t="str">
        <f>IF(COUNTIF('Candidate Database'!U$4:U$998,$C$2)&gt;=73,73,"")</f>
        <v/>
      </c>
      <c r="B78" s="53" t="str">
        <f>IFERROR(__xludf.DUMMYFUNCTION("IFERROR(INDEX(FILTER('Candidate Database'!B$4:B$998,'Candidate Database'!U$4:U$998=$C$2),73),"""")"),"")</f>
        <v/>
      </c>
      <c r="C78" s="54" t="str">
        <f>IFERROR(__xludf.DUMMYFUNCTION("IFERROR(INDEX(FILTER('Candidate Database'!E$4:E$998,'Candidate Database'!U$4:U$998=$C$2),73),"""")"),"")</f>
        <v/>
      </c>
      <c r="D78" s="54" t="str">
        <f>IFERROR(__xludf.DUMMYFUNCTION("IFERROR(INDEX(FILTER('Candidate Database'!G$4:G$998,'Candidate Database'!U$4:U$998=$C$2),73),"""")"),"")</f>
        <v/>
      </c>
      <c r="E78" s="54" t="str">
        <f>IFERROR(__xludf.DUMMYFUNCTION("IFERROR(INDEX(FILTER('Candidate Database'!H$4:H$998,'Candidate Database'!U$4:U$998=$C$2),73),"""")"),"")</f>
        <v/>
      </c>
      <c r="F78" s="53" t="str">
        <f>IFERROR(__xludf.DUMMYFUNCTION("IFERROR(INDEX(FILTER('Candidate Database'!R$4:R$998,'Candidate Database'!U$4:U$998=$C$2),73),"""")"),"")</f>
        <v/>
      </c>
      <c r="G78" s="53" t="str">
        <f>IFERROR(__xludf.DUMMYFUNCTION("IFERROR(INDEX(FILTER('Candidate Database'!P$4:P$998,'Candidate Database'!U$4:U$998=$C$2),73),"""")"),"")</f>
        <v/>
      </c>
      <c r="H78" s="54"/>
      <c r="I78" s="13"/>
      <c r="J78" s="13"/>
    </row>
    <row r="79" ht="21.75" customHeight="1">
      <c r="A79" s="57" t="str">
        <f>IF(COUNTIF('Candidate Database'!U$4:U$998,$C$2)&gt;=74,74,"")</f>
        <v/>
      </c>
      <c r="B79" s="58" t="str">
        <f>IFERROR(__xludf.DUMMYFUNCTION("IFERROR(INDEX(FILTER('Candidate Database'!B$4:B$998,'Candidate Database'!U$4:U$998=$C$2),74),"""")"),"")</f>
        <v/>
      </c>
      <c r="C79" s="59" t="str">
        <f>IFERROR(__xludf.DUMMYFUNCTION("IFERROR(INDEX(FILTER('Candidate Database'!E$4:E$998,'Candidate Database'!U$4:U$998=$C$2),74),"""")"),"")</f>
        <v/>
      </c>
      <c r="D79" s="59" t="str">
        <f>IFERROR(__xludf.DUMMYFUNCTION("IFERROR(INDEX(FILTER('Candidate Database'!G$4:G$998,'Candidate Database'!U$4:U$998=$C$2),74),"""")"),"")</f>
        <v/>
      </c>
      <c r="E79" s="59" t="str">
        <f>IFERROR(__xludf.DUMMYFUNCTION("IFERROR(INDEX(FILTER('Candidate Database'!H$4:H$998,'Candidate Database'!U$4:U$998=$C$2),74),"""")"),"")</f>
        <v/>
      </c>
      <c r="F79" s="58" t="str">
        <f>IFERROR(__xludf.DUMMYFUNCTION("IFERROR(INDEX(FILTER('Candidate Database'!R$4:R$998,'Candidate Database'!U$4:U$998=$C$2),74),"""")"),"")</f>
        <v/>
      </c>
      <c r="G79" s="58" t="str">
        <f>IFERROR(__xludf.DUMMYFUNCTION("IFERROR(INDEX(FILTER('Candidate Database'!P$4:P$998,'Candidate Database'!U$4:U$998=$C$2),74),"""")"),"")</f>
        <v/>
      </c>
      <c r="H79" s="59"/>
      <c r="I79" s="13"/>
      <c r="J79" s="13"/>
    </row>
    <row r="80" ht="21.75" customHeight="1">
      <c r="A80" s="52" t="str">
        <f>IF(COUNTIF('Candidate Database'!U$4:U$998,$C$2)&gt;=75,75,"")</f>
        <v/>
      </c>
      <c r="B80" s="53" t="str">
        <f>IFERROR(__xludf.DUMMYFUNCTION("IFERROR(INDEX(FILTER('Candidate Database'!B$4:B$998,'Candidate Database'!U$4:U$998=$C$2),75),"""")"),"")</f>
        <v/>
      </c>
      <c r="C80" s="54" t="str">
        <f>IFERROR(__xludf.DUMMYFUNCTION("IFERROR(INDEX(FILTER('Candidate Database'!E$4:E$998,'Candidate Database'!U$4:U$998=$C$2),75),"""")"),"")</f>
        <v/>
      </c>
      <c r="D80" s="54" t="str">
        <f>IFERROR(__xludf.DUMMYFUNCTION("IFERROR(INDEX(FILTER('Candidate Database'!G$4:G$998,'Candidate Database'!U$4:U$998=$C$2),75),"""")"),"")</f>
        <v/>
      </c>
      <c r="E80" s="54" t="str">
        <f>IFERROR(__xludf.DUMMYFUNCTION("IFERROR(INDEX(FILTER('Candidate Database'!H$4:H$998,'Candidate Database'!U$4:U$998=$C$2),75),"""")"),"")</f>
        <v/>
      </c>
      <c r="F80" s="53" t="str">
        <f>IFERROR(__xludf.DUMMYFUNCTION("IFERROR(INDEX(FILTER('Candidate Database'!R$4:R$998,'Candidate Database'!U$4:U$998=$C$2),75),"""")"),"")</f>
        <v/>
      </c>
      <c r="G80" s="53" t="str">
        <f>IFERROR(__xludf.DUMMYFUNCTION("IFERROR(INDEX(FILTER('Candidate Database'!P$4:P$998,'Candidate Database'!U$4:U$998=$C$2),75),"""")"),"")</f>
        <v/>
      </c>
      <c r="H80" s="54"/>
      <c r="I80" s="13"/>
      <c r="J80" s="13"/>
    </row>
    <row r="81" ht="21.75" customHeight="1">
      <c r="A81" s="57" t="str">
        <f>IF(COUNTIF('Candidate Database'!U$4:U$998,$C$2)&gt;=76,76,"")</f>
        <v/>
      </c>
      <c r="B81" s="58" t="str">
        <f>IFERROR(__xludf.DUMMYFUNCTION("IFERROR(INDEX(FILTER('Candidate Database'!B$4:B$998,'Candidate Database'!U$4:U$998=$C$2),76),"""")"),"")</f>
        <v/>
      </c>
      <c r="C81" s="59" t="str">
        <f>IFERROR(__xludf.DUMMYFUNCTION("IFERROR(INDEX(FILTER('Candidate Database'!E$4:E$998,'Candidate Database'!U$4:U$998=$C$2),76),"""")"),"")</f>
        <v/>
      </c>
      <c r="D81" s="59" t="str">
        <f>IFERROR(__xludf.DUMMYFUNCTION("IFERROR(INDEX(FILTER('Candidate Database'!G$4:G$998,'Candidate Database'!U$4:U$998=$C$2),76),"""")"),"")</f>
        <v/>
      </c>
      <c r="E81" s="59" t="str">
        <f>IFERROR(__xludf.DUMMYFUNCTION("IFERROR(INDEX(FILTER('Candidate Database'!H$4:H$998,'Candidate Database'!U$4:U$998=$C$2),76),"""")"),"")</f>
        <v/>
      </c>
      <c r="F81" s="58" t="str">
        <f>IFERROR(__xludf.DUMMYFUNCTION("IFERROR(INDEX(FILTER('Candidate Database'!R$4:R$998,'Candidate Database'!U$4:U$998=$C$2),76),"""")"),"")</f>
        <v/>
      </c>
      <c r="G81" s="58" t="str">
        <f>IFERROR(__xludf.DUMMYFUNCTION("IFERROR(INDEX(FILTER('Candidate Database'!P$4:P$998,'Candidate Database'!U$4:U$998=$C$2),76),"""")"),"")</f>
        <v/>
      </c>
      <c r="H81" s="59"/>
      <c r="I81" s="13"/>
      <c r="J81" s="13"/>
    </row>
    <row r="82" ht="21.75" customHeight="1">
      <c r="A82" s="52" t="str">
        <f>IF(COUNTIF('Candidate Database'!U$4:U$998,$C$2)&gt;=77,77,"")</f>
        <v/>
      </c>
      <c r="B82" s="53" t="str">
        <f>IFERROR(__xludf.DUMMYFUNCTION("IFERROR(INDEX(FILTER('Candidate Database'!B$4:B$998,'Candidate Database'!U$4:U$998=$C$2),77),"""")"),"")</f>
        <v/>
      </c>
      <c r="C82" s="54" t="str">
        <f>IFERROR(__xludf.DUMMYFUNCTION("IFERROR(INDEX(FILTER('Candidate Database'!E$4:E$998,'Candidate Database'!U$4:U$998=$C$2),77),"""")"),"")</f>
        <v/>
      </c>
      <c r="D82" s="54" t="str">
        <f>IFERROR(__xludf.DUMMYFUNCTION("IFERROR(INDEX(FILTER('Candidate Database'!G$4:G$998,'Candidate Database'!U$4:U$998=$C$2),77),"""")"),"")</f>
        <v/>
      </c>
      <c r="E82" s="54" t="str">
        <f>IFERROR(__xludf.DUMMYFUNCTION("IFERROR(INDEX(FILTER('Candidate Database'!H$4:H$998,'Candidate Database'!U$4:U$998=$C$2),77),"""")"),"")</f>
        <v/>
      </c>
      <c r="F82" s="53" t="str">
        <f>IFERROR(__xludf.DUMMYFUNCTION("IFERROR(INDEX(FILTER('Candidate Database'!R$4:R$998,'Candidate Database'!U$4:U$998=$C$2),77),"""")"),"")</f>
        <v/>
      </c>
      <c r="G82" s="53" t="str">
        <f>IFERROR(__xludf.DUMMYFUNCTION("IFERROR(INDEX(FILTER('Candidate Database'!P$4:P$998,'Candidate Database'!U$4:U$998=$C$2),77),"""")"),"")</f>
        <v/>
      </c>
      <c r="H82" s="54"/>
      <c r="I82" s="13"/>
      <c r="J82" s="13"/>
    </row>
    <row r="83" ht="21.75" customHeight="1">
      <c r="A83" s="57" t="str">
        <f>IF(COUNTIF('Candidate Database'!U$4:U$998,$C$2)&gt;=78,78,"")</f>
        <v/>
      </c>
      <c r="B83" s="58" t="str">
        <f>IFERROR(__xludf.DUMMYFUNCTION("IFERROR(INDEX(FILTER('Candidate Database'!B$4:B$998,'Candidate Database'!U$4:U$998=$C$2),78),"""")"),"")</f>
        <v/>
      </c>
      <c r="C83" s="59" t="str">
        <f>IFERROR(__xludf.DUMMYFUNCTION("IFERROR(INDEX(FILTER('Candidate Database'!E$4:E$998,'Candidate Database'!U$4:U$998=$C$2),78),"""")"),"")</f>
        <v/>
      </c>
      <c r="D83" s="59" t="str">
        <f>IFERROR(__xludf.DUMMYFUNCTION("IFERROR(INDEX(FILTER('Candidate Database'!G$4:G$998,'Candidate Database'!U$4:U$998=$C$2),78),"""")"),"")</f>
        <v/>
      </c>
      <c r="E83" s="59" t="str">
        <f>IFERROR(__xludf.DUMMYFUNCTION("IFERROR(INDEX(FILTER('Candidate Database'!H$4:H$998,'Candidate Database'!U$4:U$998=$C$2),78),"""")"),"")</f>
        <v/>
      </c>
      <c r="F83" s="58" t="str">
        <f>IFERROR(__xludf.DUMMYFUNCTION("IFERROR(INDEX(FILTER('Candidate Database'!R$4:R$998,'Candidate Database'!U$4:U$998=$C$2),78),"""")"),"")</f>
        <v/>
      </c>
      <c r="G83" s="58" t="str">
        <f>IFERROR(__xludf.DUMMYFUNCTION("IFERROR(INDEX(FILTER('Candidate Database'!P$4:P$998,'Candidate Database'!U$4:U$998=$C$2),78),"""")"),"")</f>
        <v/>
      </c>
      <c r="H83" s="59"/>
      <c r="I83" s="13"/>
      <c r="J83" s="13"/>
    </row>
    <row r="84" ht="21.75" customHeight="1">
      <c r="A84" s="52" t="str">
        <f>IF(COUNTIF('Candidate Database'!U$4:U$998,$C$2)&gt;=79,79,"")</f>
        <v/>
      </c>
      <c r="B84" s="53" t="str">
        <f>IFERROR(__xludf.DUMMYFUNCTION("IFERROR(INDEX(FILTER('Candidate Database'!B$4:B$998,'Candidate Database'!U$4:U$998=$C$2),79),"""")"),"")</f>
        <v/>
      </c>
      <c r="C84" s="54" t="str">
        <f>IFERROR(__xludf.DUMMYFUNCTION("IFERROR(INDEX(FILTER('Candidate Database'!E$4:E$998,'Candidate Database'!U$4:U$998=$C$2),79),"""")"),"")</f>
        <v/>
      </c>
      <c r="D84" s="54" t="str">
        <f>IFERROR(__xludf.DUMMYFUNCTION("IFERROR(INDEX(FILTER('Candidate Database'!G$4:G$998,'Candidate Database'!U$4:U$998=$C$2),79),"""")"),"")</f>
        <v/>
      </c>
      <c r="E84" s="54" t="str">
        <f>IFERROR(__xludf.DUMMYFUNCTION("IFERROR(INDEX(FILTER('Candidate Database'!H$4:H$998,'Candidate Database'!U$4:U$998=$C$2),79),"""")"),"")</f>
        <v/>
      </c>
      <c r="F84" s="53" t="str">
        <f>IFERROR(__xludf.DUMMYFUNCTION("IFERROR(INDEX(FILTER('Candidate Database'!R$4:R$998,'Candidate Database'!U$4:U$998=$C$2),79),"""")"),"")</f>
        <v/>
      </c>
      <c r="G84" s="53" t="str">
        <f>IFERROR(__xludf.DUMMYFUNCTION("IFERROR(INDEX(FILTER('Candidate Database'!P$4:P$998,'Candidate Database'!U$4:U$998=$C$2),79),"""")"),"")</f>
        <v/>
      </c>
      <c r="H84" s="54"/>
      <c r="I84" s="13"/>
      <c r="J84" s="13"/>
    </row>
    <row r="85" ht="21.75" customHeight="1">
      <c r="A85" s="57" t="str">
        <f>IF(COUNTIF('Candidate Database'!U$4:U$998,$C$2)&gt;=80,80,"")</f>
        <v/>
      </c>
      <c r="B85" s="58" t="str">
        <f>IFERROR(__xludf.DUMMYFUNCTION("IFERROR(INDEX(FILTER('Candidate Database'!B$4:B$998,'Candidate Database'!U$4:U$998=$C$2),80),"""")"),"")</f>
        <v/>
      </c>
      <c r="C85" s="59" t="str">
        <f>IFERROR(__xludf.DUMMYFUNCTION("IFERROR(INDEX(FILTER('Candidate Database'!E$4:E$998,'Candidate Database'!U$4:U$998=$C$2),80),"""")"),"")</f>
        <v/>
      </c>
      <c r="D85" s="59" t="str">
        <f>IFERROR(__xludf.DUMMYFUNCTION("IFERROR(INDEX(FILTER('Candidate Database'!G$4:G$998,'Candidate Database'!U$4:U$998=$C$2),80),"""")"),"")</f>
        <v/>
      </c>
      <c r="E85" s="59" t="str">
        <f>IFERROR(__xludf.DUMMYFUNCTION("IFERROR(INDEX(FILTER('Candidate Database'!H$4:H$998,'Candidate Database'!U$4:U$998=$C$2),80),"""")"),"")</f>
        <v/>
      </c>
      <c r="F85" s="58" t="str">
        <f>IFERROR(__xludf.DUMMYFUNCTION("IFERROR(INDEX(FILTER('Candidate Database'!R$4:R$998,'Candidate Database'!U$4:U$998=$C$2),80),"""")"),"")</f>
        <v/>
      </c>
      <c r="G85" s="58" t="str">
        <f>IFERROR(__xludf.DUMMYFUNCTION("IFERROR(INDEX(FILTER('Candidate Database'!P$4:P$998,'Candidate Database'!U$4:U$998=$C$2),80),"""")"),"")</f>
        <v/>
      </c>
      <c r="H85" s="59"/>
      <c r="I85" s="13"/>
      <c r="J85" s="13"/>
    </row>
    <row r="86" ht="21.75" customHeight="1">
      <c r="A86" s="52" t="str">
        <f>IF(COUNTIF('Candidate Database'!U$4:U$998,$C$2)&gt;=81,81,"")</f>
        <v/>
      </c>
      <c r="B86" s="53" t="str">
        <f>IFERROR(__xludf.DUMMYFUNCTION("IFERROR(INDEX(FILTER('Candidate Database'!B$4:B$998,'Candidate Database'!U$4:U$998=$C$2),81),"""")"),"")</f>
        <v/>
      </c>
      <c r="C86" s="54" t="str">
        <f>IFERROR(__xludf.DUMMYFUNCTION("IFERROR(INDEX(FILTER('Candidate Database'!E$4:E$998,'Candidate Database'!U$4:U$998=$C$2),81),"""")"),"")</f>
        <v/>
      </c>
      <c r="D86" s="54" t="str">
        <f>IFERROR(__xludf.DUMMYFUNCTION("IFERROR(INDEX(FILTER('Candidate Database'!G$4:G$998,'Candidate Database'!U$4:U$998=$C$2),81),"""")"),"")</f>
        <v/>
      </c>
      <c r="E86" s="54" t="str">
        <f>IFERROR(__xludf.DUMMYFUNCTION("IFERROR(INDEX(FILTER('Candidate Database'!H$4:H$998,'Candidate Database'!U$4:U$998=$C$2),81),"""")"),"")</f>
        <v/>
      </c>
      <c r="F86" s="53" t="str">
        <f>IFERROR(__xludf.DUMMYFUNCTION("IFERROR(INDEX(FILTER('Candidate Database'!R$4:R$998,'Candidate Database'!U$4:U$998=$C$2),81),"""")"),"")</f>
        <v/>
      </c>
      <c r="G86" s="53" t="str">
        <f>IFERROR(__xludf.DUMMYFUNCTION("IFERROR(INDEX(FILTER('Candidate Database'!P$4:P$998,'Candidate Database'!U$4:U$998=$C$2),81),"""")"),"")</f>
        <v/>
      </c>
      <c r="H86" s="54"/>
      <c r="I86" s="13"/>
      <c r="J86" s="13"/>
    </row>
    <row r="87" ht="21.75" customHeight="1">
      <c r="A87" s="57" t="str">
        <f>IF(COUNTIF('Candidate Database'!U$4:U$998,$C$2)&gt;=82,82,"")</f>
        <v/>
      </c>
      <c r="B87" s="58" t="str">
        <f>IFERROR(__xludf.DUMMYFUNCTION("IFERROR(INDEX(FILTER('Candidate Database'!B$4:B$998,'Candidate Database'!U$4:U$998=$C$2),82),"""")"),"")</f>
        <v/>
      </c>
      <c r="C87" s="59" t="str">
        <f>IFERROR(__xludf.DUMMYFUNCTION("IFERROR(INDEX(FILTER('Candidate Database'!E$4:E$998,'Candidate Database'!U$4:U$998=$C$2),82),"""")"),"")</f>
        <v/>
      </c>
      <c r="D87" s="59" t="str">
        <f>IFERROR(__xludf.DUMMYFUNCTION("IFERROR(INDEX(FILTER('Candidate Database'!G$4:G$998,'Candidate Database'!U$4:U$998=$C$2),82),"""")"),"")</f>
        <v/>
      </c>
      <c r="E87" s="59" t="str">
        <f>IFERROR(__xludf.DUMMYFUNCTION("IFERROR(INDEX(FILTER('Candidate Database'!H$4:H$998,'Candidate Database'!U$4:U$998=$C$2),82),"""")"),"")</f>
        <v/>
      </c>
      <c r="F87" s="58" t="str">
        <f>IFERROR(__xludf.DUMMYFUNCTION("IFERROR(INDEX(FILTER('Candidate Database'!R$4:R$998,'Candidate Database'!U$4:U$998=$C$2),82),"""")"),"")</f>
        <v/>
      </c>
      <c r="G87" s="58" t="str">
        <f>IFERROR(__xludf.DUMMYFUNCTION("IFERROR(INDEX(FILTER('Candidate Database'!P$4:P$998,'Candidate Database'!U$4:U$998=$C$2),82),"""")"),"")</f>
        <v/>
      </c>
      <c r="H87" s="59"/>
      <c r="I87" s="13"/>
      <c r="J87" s="13"/>
    </row>
    <row r="88" ht="21.75" customHeight="1">
      <c r="A88" s="52" t="str">
        <f>IF(COUNTIF('Candidate Database'!U$4:U$998,$C$2)&gt;=83,83,"")</f>
        <v/>
      </c>
      <c r="B88" s="53" t="str">
        <f>IFERROR(__xludf.DUMMYFUNCTION("IFERROR(INDEX(FILTER('Candidate Database'!B$4:B$998,'Candidate Database'!U$4:U$998=$C$2),83),"""")"),"")</f>
        <v/>
      </c>
      <c r="C88" s="54" t="str">
        <f>IFERROR(__xludf.DUMMYFUNCTION("IFERROR(INDEX(FILTER('Candidate Database'!E$4:E$998,'Candidate Database'!U$4:U$998=$C$2),83),"""")"),"")</f>
        <v/>
      </c>
      <c r="D88" s="54" t="str">
        <f>IFERROR(__xludf.DUMMYFUNCTION("IFERROR(INDEX(FILTER('Candidate Database'!G$4:G$998,'Candidate Database'!U$4:U$998=$C$2),83),"""")"),"")</f>
        <v/>
      </c>
      <c r="E88" s="54" t="str">
        <f>IFERROR(__xludf.DUMMYFUNCTION("IFERROR(INDEX(FILTER('Candidate Database'!H$4:H$998,'Candidate Database'!U$4:U$998=$C$2),83),"""")"),"")</f>
        <v/>
      </c>
      <c r="F88" s="53" t="str">
        <f>IFERROR(__xludf.DUMMYFUNCTION("IFERROR(INDEX(FILTER('Candidate Database'!R$4:R$998,'Candidate Database'!U$4:U$998=$C$2),83),"""")"),"")</f>
        <v/>
      </c>
      <c r="G88" s="53" t="str">
        <f>IFERROR(__xludf.DUMMYFUNCTION("IFERROR(INDEX(FILTER('Candidate Database'!P$4:P$998,'Candidate Database'!U$4:U$998=$C$2),83),"""")"),"")</f>
        <v/>
      </c>
      <c r="H88" s="54"/>
      <c r="I88" s="13"/>
      <c r="J88" s="13"/>
    </row>
    <row r="89" ht="21.75" customHeight="1">
      <c r="A89" s="57" t="str">
        <f>IF(COUNTIF('Candidate Database'!U$4:U$998,$C$2)&gt;=84,84,"")</f>
        <v/>
      </c>
      <c r="B89" s="58" t="str">
        <f>IFERROR(__xludf.DUMMYFUNCTION("IFERROR(INDEX(FILTER('Candidate Database'!B$4:B$998,'Candidate Database'!U$4:U$998=$C$2),84),"""")"),"")</f>
        <v/>
      </c>
      <c r="C89" s="59" t="str">
        <f>IFERROR(__xludf.DUMMYFUNCTION("IFERROR(INDEX(FILTER('Candidate Database'!E$4:E$998,'Candidate Database'!U$4:U$998=$C$2),84),"""")"),"")</f>
        <v/>
      </c>
      <c r="D89" s="59" t="str">
        <f>IFERROR(__xludf.DUMMYFUNCTION("IFERROR(INDEX(FILTER('Candidate Database'!G$4:G$998,'Candidate Database'!U$4:U$998=$C$2),84),"""")"),"")</f>
        <v/>
      </c>
      <c r="E89" s="59" t="str">
        <f>IFERROR(__xludf.DUMMYFUNCTION("IFERROR(INDEX(FILTER('Candidate Database'!H$4:H$998,'Candidate Database'!U$4:U$998=$C$2),84),"""")"),"")</f>
        <v/>
      </c>
      <c r="F89" s="58" t="str">
        <f>IFERROR(__xludf.DUMMYFUNCTION("IFERROR(INDEX(FILTER('Candidate Database'!R$4:R$998,'Candidate Database'!U$4:U$998=$C$2),84),"""")"),"")</f>
        <v/>
      </c>
      <c r="G89" s="58" t="str">
        <f>IFERROR(__xludf.DUMMYFUNCTION("IFERROR(INDEX(FILTER('Candidate Database'!P$4:P$998,'Candidate Database'!U$4:U$998=$C$2),84),"""")"),"")</f>
        <v/>
      </c>
      <c r="H89" s="59"/>
      <c r="I89" s="13"/>
      <c r="J89" s="13"/>
    </row>
    <row r="90" ht="21.75" customHeight="1">
      <c r="A90" s="52" t="str">
        <f>IF(COUNTIF('Candidate Database'!U$4:U$998,$C$2)&gt;=85,85,"")</f>
        <v/>
      </c>
      <c r="B90" s="53" t="str">
        <f>IFERROR(__xludf.DUMMYFUNCTION("IFERROR(INDEX(FILTER('Candidate Database'!B$4:B$998,'Candidate Database'!U$4:U$998=$C$2),85),"""")"),"")</f>
        <v/>
      </c>
      <c r="C90" s="54" t="str">
        <f>IFERROR(__xludf.DUMMYFUNCTION("IFERROR(INDEX(FILTER('Candidate Database'!E$4:E$998,'Candidate Database'!U$4:U$998=$C$2),85),"""")"),"")</f>
        <v/>
      </c>
      <c r="D90" s="54" t="str">
        <f>IFERROR(__xludf.DUMMYFUNCTION("IFERROR(INDEX(FILTER('Candidate Database'!G$4:G$998,'Candidate Database'!U$4:U$998=$C$2),85),"""")"),"")</f>
        <v/>
      </c>
      <c r="E90" s="54" t="str">
        <f>IFERROR(__xludf.DUMMYFUNCTION("IFERROR(INDEX(FILTER('Candidate Database'!H$4:H$998,'Candidate Database'!U$4:U$998=$C$2),85),"""")"),"")</f>
        <v/>
      </c>
      <c r="F90" s="53" t="str">
        <f>IFERROR(__xludf.DUMMYFUNCTION("IFERROR(INDEX(FILTER('Candidate Database'!R$4:R$998,'Candidate Database'!U$4:U$998=$C$2),85),"""")"),"")</f>
        <v/>
      </c>
      <c r="G90" s="53" t="str">
        <f>IFERROR(__xludf.DUMMYFUNCTION("IFERROR(INDEX(FILTER('Candidate Database'!P$4:P$998,'Candidate Database'!U$4:U$998=$C$2),85),"""")"),"")</f>
        <v/>
      </c>
      <c r="H90" s="54"/>
      <c r="I90" s="13"/>
      <c r="J90" s="13"/>
    </row>
    <row r="91" ht="21.75" customHeight="1">
      <c r="A91" s="57" t="str">
        <f>IF(COUNTIF('Candidate Database'!U$4:U$998,$C$2)&gt;=86,86,"")</f>
        <v/>
      </c>
      <c r="B91" s="58" t="str">
        <f>IFERROR(__xludf.DUMMYFUNCTION("IFERROR(INDEX(FILTER('Candidate Database'!B$4:B$998,'Candidate Database'!U$4:U$998=$C$2),86),"""")"),"")</f>
        <v/>
      </c>
      <c r="C91" s="59" t="str">
        <f>IFERROR(__xludf.DUMMYFUNCTION("IFERROR(INDEX(FILTER('Candidate Database'!E$4:E$998,'Candidate Database'!U$4:U$998=$C$2),86),"""")"),"")</f>
        <v/>
      </c>
      <c r="D91" s="59" t="str">
        <f>IFERROR(__xludf.DUMMYFUNCTION("IFERROR(INDEX(FILTER('Candidate Database'!G$4:G$998,'Candidate Database'!U$4:U$998=$C$2),86),"""")"),"")</f>
        <v/>
      </c>
      <c r="E91" s="59" t="str">
        <f>IFERROR(__xludf.DUMMYFUNCTION("IFERROR(INDEX(FILTER('Candidate Database'!H$4:H$998,'Candidate Database'!U$4:U$998=$C$2),86),"""")"),"")</f>
        <v/>
      </c>
      <c r="F91" s="58" t="str">
        <f>IFERROR(__xludf.DUMMYFUNCTION("IFERROR(INDEX(FILTER('Candidate Database'!R$4:R$998,'Candidate Database'!U$4:U$998=$C$2),86),"""")"),"")</f>
        <v/>
      </c>
      <c r="G91" s="58" t="str">
        <f>IFERROR(__xludf.DUMMYFUNCTION("IFERROR(INDEX(FILTER('Candidate Database'!P$4:P$998,'Candidate Database'!U$4:U$998=$C$2),86),"""")"),"")</f>
        <v/>
      </c>
      <c r="H91" s="59"/>
      <c r="I91" s="13"/>
      <c r="J91" s="13"/>
    </row>
    <row r="92" ht="21.75" customHeight="1">
      <c r="A92" s="52" t="str">
        <f>IF(COUNTIF('Candidate Database'!U$4:U$998,$C$2)&gt;=87,87,"")</f>
        <v/>
      </c>
      <c r="B92" s="53" t="str">
        <f>IFERROR(__xludf.DUMMYFUNCTION("IFERROR(INDEX(FILTER('Candidate Database'!B$4:B$998,'Candidate Database'!U$4:U$998=$C$2),87),"""")"),"")</f>
        <v/>
      </c>
      <c r="C92" s="54" t="str">
        <f>IFERROR(__xludf.DUMMYFUNCTION("IFERROR(INDEX(FILTER('Candidate Database'!E$4:E$998,'Candidate Database'!U$4:U$998=$C$2),87),"""")"),"")</f>
        <v/>
      </c>
      <c r="D92" s="54" t="str">
        <f>IFERROR(__xludf.DUMMYFUNCTION("IFERROR(INDEX(FILTER('Candidate Database'!G$4:G$998,'Candidate Database'!U$4:U$998=$C$2),87),"""")"),"")</f>
        <v/>
      </c>
      <c r="E92" s="54" t="str">
        <f>IFERROR(__xludf.DUMMYFUNCTION("IFERROR(INDEX(FILTER('Candidate Database'!H$4:H$998,'Candidate Database'!U$4:U$998=$C$2),87),"""")"),"")</f>
        <v/>
      </c>
      <c r="F92" s="53" t="str">
        <f>IFERROR(__xludf.DUMMYFUNCTION("IFERROR(INDEX(FILTER('Candidate Database'!R$4:R$998,'Candidate Database'!U$4:U$998=$C$2),87),"""")"),"")</f>
        <v/>
      </c>
      <c r="G92" s="53" t="str">
        <f>IFERROR(__xludf.DUMMYFUNCTION("IFERROR(INDEX(FILTER('Candidate Database'!P$4:P$998,'Candidate Database'!U$4:U$998=$C$2),87),"""")"),"")</f>
        <v/>
      </c>
      <c r="H92" s="54"/>
      <c r="I92" s="13"/>
      <c r="J92" s="13"/>
    </row>
    <row r="93" ht="21.75" customHeight="1">
      <c r="A93" s="57" t="str">
        <f>IF(COUNTIF('Candidate Database'!U$4:U$998,$C$2)&gt;=88,88,"")</f>
        <v/>
      </c>
      <c r="B93" s="58" t="str">
        <f>IFERROR(__xludf.DUMMYFUNCTION("IFERROR(INDEX(FILTER('Candidate Database'!B$4:B$998,'Candidate Database'!U$4:U$998=$C$2),88),"""")"),"")</f>
        <v/>
      </c>
      <c r="C93" s="59" t="str">
        <f>IFERROR(__xludf.DUMMYFUNCTION("IFERROR(INDEX(FILTER('Candidate Database'!E$4:E$998,'Candidate Database'!U$4:U$998=$C$2),88),"""")"),"")</f>
        <v/>
      </c>
      <c r="D93" s="59" t="str">
        <f>IFERROR(__xludf.DUMMYFUNCTION("IFERROR(INDEX(FILTER('Candidate Database'!G$4:G$998,'Candidate Database'!U$4:U$998=$C$2),88),"""")"),"")</f>
        <v/>
      </c>
      <c r="E93" s="59" t="str">
        <f>IFERROR(__xludf.DUMMYFUNCTION("IFERROR(INDEX(FILTER('Candidate Database'!H$4:H$998,'Candidate Database'!U$4:U$998=$C$2),88),"""")"),"")</f>
        <v/>
      </c>
      <c r="F93" s="58" t="str">
        <f>IFERROR(__xludf.DUMMYFUNCTION("IFERROR(INDEX(FILTER('Candidate Database'!R$4:R$998,'Candidate Database'!U$4:U$998=$C$2),88),"""")"),"")</f>
        <v/>
      </c>
      <c r="G93" s="58" t="str">
        <f>IFERROR(__xludf.DUMMYFUNCTION("IFERROR(INDEX(FILTER('Candidate Database'!P$4:P$998,'Candidate Database'!U$4:U$998=$C$2),88),"""")"),"")</f>
        <v/>
      </c>
      <c r="H93" s="59"/>
      <c r="I93" s="13"/>
      <c r="J93" s="13"/>
    </row>
    <row r="94" ht="21.75" customHeight="1">
      <c r="A94" s="52" t="str">
        <f>IF(COUNTIF('Candidate Database'!U$4:U$998,$C$2)&gt;=89,89,"")</f>
        <v/>
      </c>
      <c r="B94" s="53" t="str">
        <f>IFERROR(__xludf.DUMMYFUNCTION("IFERROR(INDEX(FILTER('Candidate Database'!B$4:B$998,'Candidate Database'!U$4:U$998=$C$2),89),"""")"),"")</f>
        <v/>
      </c>
      <c r="C94" s="54" t="str">
        <f>IFERROR(__xludf.DUMMYFUNCTION("IFERROR(INDEX(FILTER('Candidate Database'!E$4:E$998,'Candidate Database'!U$4:U$998=$C$2),89),"""")"),"")</f>
        <v/>
      </c>
      <c r="D94" s="54" t="str">
        <f>IFERROR(__xludf.DUMMYFUNCTION("IFERROR(INDEX(FILTER('Candidate Database'!G$4:G$998,'Candidate Database'!U$4:U$998=$C$2),89),"""")"),"")</f>
        <v/>
      </c>
      <c r="E94" s="54" t="str">
        <f>IFERROR(__xludf.DUMMYFUNCTION("IFERROR(INDEX(FILTER('Candidate Database'!H$4:H$998,'Candidate Database'!U$4:U$998=$C$2),89),"""")"),"")</f>
        <v/>
      </c>
      <c r="F94" s="53" t="str">
        <f>IFERROR(__xludf.DUMMYFUNCTION("IFERROR(INDEX(FILTER('Candidate Database'!R$4:R$998,'Candidate Database'!U$4:U$998=$C$2),89),"""")"),"")</f>
        <v/>
      </c>
      <c r="G94" s="53" t="str">
        <f>IFERROR(__xludf.DUMMYFUNCTION("IFERROR(INDEX(FILTER('Candidate Database'!P$4:P$998,'Candidate Database'!U$4:U$998=$C$2),89),"""")"),"")</f>
        <v/>
      </c>
      <c r="H94" s="54"/>
      <c r="I94" s="13"/>
      <c r="J94" s="13"/>
    </row>
    <row r="95" ht="21.75" customHeight="1">
      <c r="A95" s="57" t="str">
        <f>IF(COUNTIF('Candidate Database'!U$4:U$998,$C$2)&gt;=90,90,"")</f>
        <v/>
      </c>
      <c r="B95" s="58" t="str">
        <f>IFERROR(__xludf.DUMMYFUNCTION("IFERROR(INDEX(FILTER('Candidate Database'!B$4:B$998,'Candidate Database'!U$4:U$998=$C$2),90),"""")"),"")</f>
        <v/>
      </c>
      <c r="C95" s="59" t="str">
        <f>IFERROR(__xludf.DUMMYFUNCTION("IFERROR(INDEX(FILTER('Candidate Database'!E$4:E$998,'Candidate Database'!U$4:U$998=$C$2),90),"""")"),"")</f>
        <v/>
      </c>
      <c r="D95" s="59" t="str">
        <f>IFERROR(__xludf.DUMMYFUNCTION("IFERROR(INDEX(FILTER('Candidate Database'!G$4:G$998,'Candidate Database'!U$4:U$998=$C$2),90),"""")"),"")</f>
        <v/>
      </c>
      <c r="E95" s="59" t="str">
        <f>IFERROR(__xludf.DUMMYFUNCTION("IFERROR(INDEX(FILTER('Candidate Database'!H$4:H$998,'Candidate Database'!U$4:U$998=$C$2),90),"""")"),"")</f>
        <v/>
      </c>
      <c r="F95" s="58" t="str">
        <f>IFERROR(__xludf.DUMMYFUNCTION("IFERROR(INDEX(FILTER('Candidate Database'!R$4:R$998,'Candidate Database'!U$4:U$998=$C$2),90),"""")"),"")</f>
        <v/>
      </c>
      <c r="G95" s="58" t="str">
        <f>IFERROR(__xludf.DUMMYFUNCTION("IFERROR(INDEX(FILTER('Candidate Database'!P$4:P$998,'Candidate Database'!U$4:U$998=$C$2),90),"""")"),"")</f>
        <v/>
      </c>
      <c r="H95" s="59"/>
      <c r="I95" s="13"/>
      <c r="J95" s="13"/>
    </row>
    <row r="96" ht="21.75" customHeight="1">
      <c r="A96" s="52" t="str">
        <f>IF(COUNTIF('Candidate Database'!U$4:U$998,$C$2)&gt;=91,91,"")</f>
        <v/>
      </c>
      <c r="B96" s="53" t="str">
        <f>IFERROR(__xludf.DUMMYFUNCTION("IFERROR(INDEX(FILTER('Candidate Database'!B$4:B$998,'Candidate Database'!U$4:U$998=$C$2),91),"""")"),"")</f>
        <v/>
      </c>
      <c r="C96" s="54" t="str">
        <f>IFERROR(__xludf.DUMMYFUNCTION("IFERROR(INDEX(FILTER('Candidate Database'!E$4:E$998,'Candidate Database'!U$4:U$998=$C$2),91),"""")"),"")</f>
        <v/>
      </c>
      <c r="D96" s="54" t="str">
        <f>IFERROR(__xludf.DUMMYFUNCTION("IFERROR(INDEX(FILTER('Candidate Database'!G$4:G$998,'Candidate Database'!U$4:U$998=$C$2),91),"""")"),"")</f>
        <v/>
      </c>
      <c r="E96" s="54" t="str">
        <f>IFERROR(__xludf.DUMMYFUNCTION("IFERROR(INDEX(FILTER('Candidate Database'!H$4:H$998,'Candidate Database'!U$4:U$998=$C$2),91),"""")"),"")</f>
        <v/>
      </c>
      <c r="F96" s="53" t="str">
        <f>IFERROR(__xludf.DUMMYFUNCTION("IFERROR(INDEX(FILTER('Candidate Database'!R$4:R$998,'Candidate Database'!U$4:U$998=$C$2),91),"""")"),"")</f>
        <v/>
      </c>
      <c r="G96" s="53" t="str">
        <f>IFERROR(__xludf.DUMMYFUNCTION("IFERROR(INDEX(FILTER('Candidate Database'!P$4:P$998,'Candidate Database'!U$4:U$998=$C$2),91),"""")"),"")</f>
        <v/>
      </c>
      <c r="H96" s="54"/>
      <c r="I96" s="13"/>
      <c r="J96" s="13"/>
    </row>
    <row r="97" ht="21.75" customHeight="1">
      <c r="A97" s="57" t="str">
        <f>IF(COUNTIF('Candidate Database'!U$4:U$998,$C$2)&gt;=92,92,"")</f>
        <v/>
      </c>
      <c r="B97" s="58" t="str">
        <f>IFERROR(__xludf.DUMMYFUNCTION("IFERROR(INDEX(FILTER('Candidate Database'!B$4:B$998,'Candidate Database'!U$4:U$998=$C$2),92),"""")"),"")</f>
        <v/>
      </c>
      <c r="C97" s="59" t="str">
        <f>IFERROR(__xludf.DUMMYFUNCTION("IFERROR(INDEX(FILTER('Candidate Database'!E$4:E$998,'Candidate Database'!U$4:U$998=$C$2),92),"""")"),"")</f>
        <v/>
      </c>
      <c r="D97" s="59" t="str">
        <f>IFERROR(__xludf.DUMMYFUNCTION("IFERROR(INDEX(FILTER('Candidate Database'!G$4:G$998,'Candidate Database'!U$4:U$998=$C$2),92),"""")"),"")</f>
        <v/>
      </c>
      <c r="E97" s="59" t="str">
        <f>IFERROR(__xludf.DUMMYFUNCTION("IFERROR(INDEX(FILTER('Candidate Database'!H$4:H$998,'Candidate Database'!U$4:U$998=$C$2),92),"""")"),"")</f>
        <v/>
      </c>
      <c r="F97" s="58" t="str">
        <f>IFERROR(__xludf.DUMMYFUNCTION("IFERROR(INDEX(FILTER('Candidate Database'!R$4:R$998,'Candidate Database'!U$4:U$998=$C$2),92),"""")"),"")</f>
        <v/>
      </c>
      <c r="G97" s="58" t="str">
        <f>IFERROR(__xludf.DUMMYFUNCTION("IFERROR(INDEX(FILTER('Candidate Database'!P$4:P$998,'Candidate Database'!U$4:U$998=$C$2),92),"""")"),"")</f>
        <v/>
      </c>
      <c r="H97" s="59"/>
      <c r="I97" s="13"/>
      <c r="J97" s="13"/>
    </row>
    <row r="98" ht="21.75" customHeight="1">
      <c r="A98" s="52" t="str">
        <f>IF(COUNTIF('Candidate Database'!U$4:U$998,$C$2)&gt;=93,93,"")</f>
        <v/>
      </c>
      <c r="B98" s="53" t="str">
        <f>IFERROR(__xludf.DUMMYFUNCTION("IFERROR(INDEX(FILTER('Candidate Database'!B$4:B$998,'Candidate Database'!U$4:U$998=$C$2),93),"""")"),"")</f>
        <v/>
      </c>
      <c r="C98" s="54" t="str">
        <f>IFERROR(__xludf.DUMMYFUNCTION("IFERROR(INDEX(FILTER('Candidate Database'!E$4:E$998,'Candidate Database'!U$4:U$998=$C$2),93),"""")"),"")</f>
        <v/>
      </c>
      <c r="D98" s="54" t="str">
        <f>IFERROR(__xludf.DUMMYFUNCTION("IFERROR(INDEX(FILTER('Candidate Database'!G$4:G$998,'Candidate Database'!U$4:U$998=$C$2),93),"""")"),"")</f>
        <v/>
      </c>
      <c r="E98" s="54" t="str">
        <f>IFERROR(__xludf.DUMMYFUNCTION("IFERROR(INDEX(FILTER('Candidate Database'!H$4:H$998,'Candidate Database'!U$4:U$998=$C$2),93),"""")"),"")</f>
        <v/>
      </c>
      <c r="F98" s="53" t="str">
        <f>IFERROR(__xludf.DUMMYFUNCTION("IFERROR(INDEX(FILTER('Candidate Database'!R$4:R$998,'Candidate Database'!U$4:U$998=$C$2),93),"""")"),"")</f>
        <v/>
      </c>
      <c r="G98" s="53" t="str">
        <f>IFERROR(__xludf.DUMMYFUNCTION("IFERROR(INDEX(FILTER('Candidate Database'!P$4:P$998,'Candidate Database'!U$4:U$998=$C$2),93),"""")"),"")</f>
        <v/>
      </c>
      <c r="H98" s="54"/>
      <c r="I98" s="13"/>
      <c r="J98" s="13"/>
    </row>
    <row r="99" ht="21.75" customHeight="1">
      <c r="A99" s="57" t="str">
        <f>IF(COUNTIF('Candidate Database'!U$4:U$998,$C$2)&gt;=94,94,"")</f>
        <v/>
      </c>
      <c r="B99" s="58" t="str">
        <f>IFERROR(__xludf.DUMMYFUNCTION("IFERROR(INDEX(FILTER('Candidate Database'!B$4:B$998,'Candidate Database'!U$4:U$998=$C$2),94),"""")"),"")</f>
        <v/>
      </c>
      <c r="C99" s="59" t="str">
        <f>IFERROR(__xludf.DUMMYFUNCTION("IFERROR(INDEX(FILTER('Candidate Database'!E$4:E$998,'Candidate Database'!U$4:U$998=$C$2),94),"""")"),"")</f>
        <v/>
      </c>
      <c r="D99" s="59" t="str">
        <f>IFERROR(__xludf.DUMMYFUNCTION("IFERROR(INDEX(FILTER('Candidate Database'!G$4:G$998,'Candidate Database'!U$4:U$998=$C$2),94),"""")"),"")</f>
        <v/>
      </c>
      <c r="E99" s="59" t="str">
        <f>IFERROR(__xludf.DUMMYFUNCTION("IFERROR(INDEX(FILTER('Candidate Database'!H$4:H$998,'Candidate Database'!U$4:U$998=$C$2),94),"""")"),"")</f>
        <v/>
      </c>
      <c r="F99" s="58" t="str">
        <f>IFERROR(__xludf.DUMMYFUNCTION("IFERROR(INDEX(FILTER('Candidate Database'!R$4:R$998,'Candidate Database'!U$4:U$998=$C$2),94),"""")"),"")</f>
        <v/>
      </c>
      <c r="G99" s="58" t="str">
        <f>IFERROR(__xludf.DUMMYFUNCTION("IFERROR(INDEX(FILTER('Candidate Database'!P$4:P$998,'Candidate Database'!U$4:U$998=$C$2),94),"""")"),"")</f>
        <v/>
      </c>
      <c r="H99" s="59"/>
      <c r="I99" s="13"/>
      <c r="J99" s="13"/>
    </row>
    <row r="100" ht="21.75" customHeight="1">
      <c r="A100" s="52" t="str">
        <f>IF(COUNTIF('Candidate Database'!U$4:U$998,$C$2)&gt;=95,95,"")</f>
        <v/>
      </c>
      <c r="B100" s="53" t="str">
        <f>IFERROR(__xludf.DUMMYFUNCTION("IFERROR(INDEX(FILTER('Candidate Database'!B$4:B$998,'Candidate Database'!U$4:U$998=$C$2),95),"""")"),"")</f>
        <v/>
      </c>
      <c r="C100" s="54" t="str">
        <f>IFERROR(__xludf.DUMMYFUNCTION("IFERROR(INDEX(FILTER('Candidate Database'!E$4:E$998,'Candidate Database'!U$4:U$998=$C$2),95),"""")"),"")</f>
        <v/>
      </c>
      <c r="D100" s="54" t="str">
        <f>IFERROR(__xludf.DUMMYFUNCTION("IFERROR(INDEX(FILTER('Candidate Database'!G$4:G$998,'Candidate Database'!U$4:U$998=$C$2),95),"""")"),"")</f>
        <v/>
      </c>
      <c r="E100" s="54" t="str">
        <f>IFERROR(__xludf.DUMMYFUNCTION("IFERROR(INDEX(FILTER('Candidate Database'!H$4:H$998,'Candidate Database'!U$4:U$998=$C$2),95),"""")"),"")</f>
        <v/>
      </c>
      <c r="F100" s="53" t="str">
        <f>IFERROR(__xludf.DUMMYFUNCTION("IFERROR(INDEX(FILTER('Candidate Database'!R$4:R$998,'Candidate Database'!U$4:U$998=$C$2),95),"""")"),"")</f>
        <v/>
      </c>
      <c r="G100" s="53" t="str">
        <f>IFERROR(__xludf.DUMMYFUNCTION("IFERROR(INDEX(FILTER('Candidate Database'!P$4:P$998,'Candidate Database'!U$4:U$998=$C$2),95),"""")"),"")</f>
        <v/>
      </c>
      <c r="H100" s="54"/>
      <c r="I100" s="13"/>
      <c r="J100" s="13"/>
    </row>
    <row r="101" ht="21.75" customHeight="1">
      <c r="A101" s="57" t="str">
        <f>IF(COUNTIF('Candidate Database'!U$4:U$998,$C$2)&gt;=96,96,"")</f>
        <v/>
      </c>
      <c r="B101" s="58" t="str">
        <f>IFERROR(__xludf.DUMMYFUNCTION("IFERROR(INDEX(FILTER('Candidate Database'!B$4:B$998,'Candidate Database'!U$4:U$998=$C$2),96),"""")"),"")</f>
        <v/>
      </c>
      <c r="C101" s="59" t="str">
        <f>IFERROR(__xludf.DUMMYFUNCTION("IFERROR(INDEX(FILTER('Candidate Database'!E$4:E$998,'Candidate Database'!U$4:U$998=$C$2),96),"""")"),"")</f>
        <v/>
      </c>
      <c r="D101" s="59" t="str">
        <f>IFERROR(__xludf.DUMMYFUNCTION("IFERROR(INDEX(FILTER('Candidate Database'!G$4:G$998,'Candidate Database'!U$4:U$998=$C$2),96),"""")"),"")</f>
        <v/>
      </c>
      <c r="E101" s="59" t="str">
        <f>IFERROR(__xludf.DUMMYFUNCTION("IFERROR(INDEX(FILTER('Candidate Database'!H$4:H$998,'Candidate Database'!U$4:U$998=$C$2),96),"""")"),"")</f>
        <v/>
      </c>
      <c r="F101" s="58" t="str">
        <f>IFERROR(__xludf.DUMMYFUNCTION("IFERROR(INDEX(FILTER('Candidate Database'!R$4:R$998,'Candidate Database'!U$4:U$998=$C$2),96),"""")"),"")</f>
        <v/>
      </c>
      <c r="G101" s="58" t="str">
        <f>IFERROR(__xludf.DUMMYFUNCTION("IFERROR(INDEX(FILTER('Candidate Database'!P$4:P$998,'Candidate Database'!U$4:U$998=$C$2),96),"""")"),"")</f>
        <v/>
      </c>
      <c r="H101" s="59"/>
      <c r="I101" s="13"/>
      <c r="J101" s="13"/>
    </row>
    <row r="102" ht="21.75" customHeight="1">
      <c r="A102" s="52" t="str">
        <f>IF(COUNTIF('Candidate Database'!U$4:U$998,$C$2)&gt;=97,97,"")</f>
        <v/>
      </c>
      <c r="B102" s="53" t="str">
        <f>IFERROR(__xludf.DUMMYFUNCTION("IFERROR(INDEX(FILTER('Candidate Database'!B$4:B$998,'Candidate Database'!U$4:U$998=$C$2),97),"""")"),"")</f>
        <v/>
      </c>
      <c r="C102" s="54" t="str">
        <f>IFERROR(__xludf.DUMMYFUNCTION("IFERROR(INDEX(FILTER('Candidate Database'!E$4:E$998,'Candidate Database'!U$4:U$998=$C$2),97),"""")"),"")</f>
        <v/>
      </c>
      <c r="D102" s="54" t="str">
        <f>IFERROR(__xludf.DUMMYFUNCTION("IFERROR(INDEX(FILTER('Candidate Database'!G$4:G$998,'Candidate Database'!U$4:U$998=$C$2),97),"""")"),"")</f>
        <v/>
      </c>
      <c r="E102" s="54" t="str">
        <f>IFERROR(__xludf.DUMMYFUNCTION("IFERROR(INDEX(FILTER('Candidate Database'!H$4:H$998,'Candidate Database'!U$4:U$998=$C$2),97),"""")"),"")</f>
        <v/>
      </c>
      <c r="F102" s="53" t="str">
        <f>IFERROR(__xludf.DUMMYFUNCTION("IFERROR(INDEX(FILTER('Candidate Database'!R$4:R$998,'Candidate Database'!U$4:U$998=$C$2),97),"""")"),"")</f>
        <v/>
      </c>
      <c r="G102" s="53" t="str">
        <f>IFERROR(__xludf.DUMMYFUNCTION("IFERROR(INDEX(FILTER('Candidate Database'!P$4:P$998,'Candidate Database'!U$4:U$998=$C$2),97),"""")"),"")</f>
        <v/>
      </c>
      <c r="H102" s="54"/>
      <c r="I102" s="13"/>
      <c r="J102" s="13"/>
    </row>
    <row r="103" ht="21.75" customHeight="1">
      <c r="A103" s="57" t="str">
        <f>IF(COUNTIF('Candidate Database'!U$4:U$998,$C$2)&gt;=98,98,"")</f>
        <v/>
      </c>
      <c r="B103" s="58" t="str">
        <f>IFERROR(__xludf.DUMMYFUNCTION("IFERROR(INDEX(FILTER('Candidate Database'!B$4:B$998,'Candidate Database'!U$4:U$998=$C$2),98),"""")"),"")</f>
        <v/>
      </c>
      <c r="C103" s="59" t="str">
        <f>IFERROR(__xludf.DUMMYFUNCTION("IFERROR(INDEX(FILTER('Candidate Database'!E$4:E$998,'Candidate Database'!U$4:U$998=$C$2),98),"""")"),"")</f>
        <v/>
      </c>
      <c r="D103" s="59" t="str">
        <f>IFERROR(__xludf.DUMMYFUNCTION("IFERROR(INDEX(FILTER('Candidate Database'!G$4:G$998,'Candidate Database'!U$4:U$998=$C$2),98),"""")"),"")</f>
        <v/>
      </c>
      <c r="E103" s="59" t="str">
        <f>IFERROR(__xludf.DUMMYFUNCTION("IFERROR(INDEX(FILTER('Candidate Database'!H$4:H$998,'Candidate Database'!U$4:U$998=$C$2),98),"""")"),"")</f>
        <v/>
      </c>
      <c r="F103" s="58" t="str">
        <f>IFERROR(__xludf.DUMMYFUNCTION("IFERROR(INDEX(FILTER('Candidate Database'!R$4:R$998,'Candidate Database'!U$4:U$998=$C$2),98),"""")"),"")</f>
        <v/>
      </c>
      <c r="G103" s="58" t="str">
        <f>IFERROR(__xludf.DUMMYFUNCTION("IFERROR(INDEX(FILTER('Candidate Database'!P$4:P$998,'Candidate Database'!U$4:U$998=$C$2),98),"""")"),"")</f>
        <v/>
      </c>
      <c r="H103" s="59"/>
      <c r="I103" s="13"/>
      <c r="J103" s="13"/>
    </row>
    <row r="104" ht="21.75" customHeight="1">
      <c r="A104" s="52" t="str">
        <f>IF(COUNTIF('Candidate Database'!U$4:U$998,$C$2)&gt;=99,99,"")</f>
        <v/>
      </c>
      <c r="B104" s="53" t="str">
        <f>IFERROR(__xludf.DUMMYFUNCTION("IFERROR(INDEX(FILTER('Candidate Database'!B$4:B$998,'Candidate Database'!U$4:U$998=$C$2),99),"""")"),"")</f>
        <v/>
      </c>
      <c r="C104" s="54" t="str">
        <f>IFERROR(__xludf.DUMMYFUNCTION("IFERROR(INDEX(FILTER('Candidate Database'!E$4:E$998,'Candidate Database'!U$4:U$998=$C$2),99),"""")"),"")</f>
        <v/>
      </c>
      <c r="D104" s="54" t="str">
        <f>IFERROR(__xludf.DUMMYFUNCTION("IFERROR(INDEX(FILTER('Candidate Database'!G$4:G$998,'Candidate Database'!U$4:U$998=$C$2),99),"""")"),"")</f>
        <v/>
      </c>
      <c r="E104" s="54" t="str">
        <f>IFERROR(__xludf.DUMMYFUNCTION("IFERROR(INDEX(FILTER('Candidate Database'!H$4:H$998,'Candidate Database'!U$4:U$998=$C$2),99),"""")"),"")</f>
        <v/>
      </c>
      <c r="F104" s="53" t="str">
        <f>IFERROR(__xludf.DUMMYFUNCTION("IFERROR(INDEX(FILTER('Candidate Database'!R$4:R$998,'Candidate Database'!U$4:U$998=$C$2),99),"""")"),"")</f>
        <v/>
      </c>
      <c r="G104" s="53" t="str">
        <f>IFERROR(__xludf.DUMMYFUNCTION("IFERROR(INDEX(FILTER('Candidate Database'!P$4:P$998,'Candidate Database'!U$4:U$998=$C$2),99),"""")"),"")</f>
        <v/>
      </c>
      <c r="H104" s="54"/>
      <c r="I104" s="13"/>
      <c r="J104" s="13"/>
    </row>
    <row r="105" ht="21.75" customHeight="1">
      <c r="A105" s="57" t="str">
        <f>IF(COUNTIF('Candidate Database'!U$4:U$998,$C$2)&gt;=100,100,"")</f>
        <v/>
      </c>
      <c r="B105" s="58" t="str">
        <f>IFERROR(__xludf.DUMMYFUNCTION("IFERROR(INDEX(FILTER('Candidate Database'!B$4:B$998,'Candidate Database'!U$4:U$998=$C$2),100),"""")"),"")</f>
        <v/>
      </c>
      <c r="C105" s="59" t="str">
        <f>IFERROR(__xludf.DUMMYFUNCTION("IFERROR(INDEX(FILTER('Candidate Database'!E$4:E$998,'Candidate Database'!U$4:U$998=$C$2),100),"""")"),"")</f>
        <v/>
      </c>
      <c r="D105" s="59" t="str">
        <f>IFERROR(__xludf.DUMMYFUNCTION("IFERROR(INDEX(FILTER('Candidate Database'!G$4:G$998,'Candidate Database'!U$4:U$998=$C$2),100),"""")"),"")</f>
        <v/>
      </c>
      <c r="E105" s="59" t="str">
        <f>IFERROR(__xludf.DUMMYFUNCTION("IFERROR(INDEX(FILTER('Candidate Database'!H$4:H$998,'Candidate Database'!U$4:U$998=$C$2),100),"""")"),"")</f>
        <v/>
      </c>
      <c r="F105" s="58" t="str">
        <f>IFERROR(__xludf.DUMMYFUNCTION("IFERROR(INDEX(FILTER('Candidate Database'!R$4:R$998,'Candidate Database'!U$4:U$998=$C$2),100),"""")"),"")</f>
        <v/>
      </c>
      <c r="G105" s="58" t="str">
        <f>IFERROR(__xludf.DUMMYFUNCTION("IFERROR(INDEX(FILTER('Candidate Database'!P$4:P$998,'Candidate Database'!U$4:U$998=$C$2),100),"""")"),"")</f>
        <v/>
      </c>
      <c r="H105" s="59"/>
      <c r="I105" s="13"/>
      <c r="J105" s="13"/>
    </row>
    <row r="106" ht="15.75" customHeight="1">
      <c r="H106" s="44"/>
      <c r="I106" s="13"/>
      <c r="J106" s="13"/>
    </row>
    <row r="107" ht="15.75" customHeight="1">
      <c r="H107" s="44"/>
      <c r="I107" s="13"/>
      <c r="J107" s="13"/>
    </row>
    <row r="108" ht="15.75" customHeight="1">
      <c r="H108" s="44"/>
      <c r="I108" s="13"/>
      <c r="J108" s="13"/>
    </row>
    <row r="109" ht="15.75" customHeight="1">
      <c r="H109" s="44"/>
      <c r="I109" s="13"/>
      <c r="J109" s="13"/>
    </row>
    <row r="110" ht="15.75" customHeight="1">
      <c r="H110" s="44"/>
      <c r="I110" s="13"/>
      <c r="J110" s="13"/>
    </row>
    <row r="111" ht="15.75" customHeight="1">
      <c r="H111" s="44"/>
      <c r="I111" s="13"/>
      <c r="J111" s="13"/>
    </row>
    <row r="112" ht="15.75" customHeight="1">
      <c r="H112" s="44"/>
      <c r="I112" s="13"/>
      <c r="J112" s="13"/>
    </row>
    <row r="113" ht="15.75" customHeight="1">
      <c r="H113" s="44"/>
      <c r="I113" s="13"/>
      <c r="J113" s="13"/>
    </row>
    <row r="114" ht="15.75" customHeight="1">
      <c r="H114" s="44"/>
      <c r="I114" s="13"/>
      <c r="J114" s="13"/>
    </row>
    <row r="115" ht="15.75" customHeight="1">
      <c r="H115" s="44"/>
      <c r="I115" s="13"/>
      <c r="J115" s="13"/>
    </row>
    <row r="116" ht="15.75" customHeight="1">
      <c r="H116" s="44"/>
      <c r="I116" s="13"/>
      <c r="J116" s="13"/>
    </row>
    <row r="117" ht="15.75" customHeight="1">
      <c r="H117" s="44"/>
      <c r="I117" s="13"/>
      <c r="J117" s="13"/>
    </row>
    <row r="118" ht="15.75" customHeight="1">
      <c r="H118" s="44"/>
      <c r="I118" s="13"/>
      <c r="J118" s="13"/>
    </row>
    <row r="119" ht="15.75" customHeight="1">
      <c r="H119" s="44"/>
      <c r="I119" s="13"/>
      <c r="J119" s="13"/>
    </row>
    <row r="120" ht="15.75" customHeight="1">
      <c r="H120" s="44"/>
      <c r="I120" s="13"/>
      <c r="J120" s="13"/>
    </row>
    <row r="121" ht="15.75" customHeight="1">
      <c r="H121" s="44"/>
      <c r="I121" s="13"/>
      <c r="J121" s="13"/>
    </row>
    <row r="122" ht="15.75" customHeight="1">
      <c r="H122" s="44"/>
      <c r="I122" s="13"/>
      <c r="J122" s="13"/>
    </row>
    <row r="123" ht="15.75" customHeight="1">
      <c r="H123" s="44"/>
      <c r="I123" s="13"/>
      <c r="J123" s="13"/>
    </row>
    <row r="124" ht="15.75" customHeight="1">
      <c r="H124" s="44"/>
      <c r="I124" s="13"/>
      <c r="J124" s="13"/>
    </row>
    <row r="125" ht="15.75" customHeight="1">
      <c r="H125" s="44"/>
      <c r="I125" s="13"/>
      <c r="J125" s="13"/>
    </row>
    <row r="126" ht="15.75" customHeight="1">
      <c r="H126" s="44"/>
      <c r="I126" s="13"/>
      <c r="J126" s="13"/>
    </row>
    <row r="127" ht="15.75" customHeight="1">
      <c r="H127" s="44"/>
      <c r="I127" s="13"/>
      <c r="J127" s="13"/>
    </row>
    <row r="128" ht="15.75" customHeight="1">
      <c r="H128" s="44"/>
      <c r="I128" s="13"/>
      <c r="J128" s="13"/>
    </row>
    <row r="129" ht="15.75" customHeight="1">
      <c r="H129" s="44"/>
      <c r="I129" s="13"/>
      <c r="J129" s="13"/>
    </row>
    <row r="130" ht="15.75" customHeight="1">
      <c r="H130" s="44"/>
      <c r="I130" s="13"/>
      <c r="J130" s="13"/>
    </row>
    <row r="131" ht="15.75" customHeight="1">
      <c r="H131" s="44"/>
      <c r="I131" s="13"/>
      <c r="J131" s="13"/>
    </row>
    <row r="132" ht="15.75" customHeight="1">
      <c r="H132" s="44"/>
      <c r="I132" s="13"/>
      <c r="J132" s="13"/>
    </row>
    <row r="133" ht="15.75" customHeight="1">
      <c r="H133" s="44"/>
      <c r="I133" s="13"/>
      <c r="J133" s="13"/>
    </row>
    <row r="134" ht="15.75" customHeight="1">
      <c r="H134" s="44"/>
      <c r="I134" s="13"/>
      <c r="J134" s="13"/>
    </row>
    <row r="135" ht="15.75" customHeight="1">
      <c r="H135" s="44"/>
      <c r="I135" s="13"/>
      <c r="J135" s="13"/>
    </row>
    <row r="136" ht="15.75" customHeight="1">
      <c r="H136" s="44"/>
      <c r="I136" s="13"/>
      <c r="J136" s="13"/>
    </row>
    <row r="137" ht="15.75" customHeight="1">
      <c r="H137" s="44"/>
      <c r="I137" s="13"/>
      <c r="J137" s="13"/>
    </row>
    <row r="138" ht="15.75" customHeight="1">
      <c r="H138" s="44"/>
      <c r="I138" s="13"/>
      <c r="J138" s="13"/>
    </row>
    <row r="139" ht="15.75" customHeight="1">
      <c r="H139" s="44"/>
      <c r="I139" s="13"/>
      <c r="J139" s="13"/>
    </row>
    <row r="140" ht="15.75" customHeight="1">
      <c r="H140" s="44"/>
      <c r="I140" s="13"/>
      <c r="J140" s="13"/>
    </row>
    <row r="141" ht="15.75" customHeight="1">
      <c r="H141" s="44"/>
      <c r="I141" s="13"/>
      <c r="J141" s="13"/>
    </row>
    <row r="142" ht="15.75" customHeight="1">
      <c r="H142" s="44"/>
      <c r="I142" s="13"/>
      <c r="J142" s="13"/>
    </row>
    <row r="143" ht="15.75" customHeight="1">
      <c r="H143" s="44"/>
      <c r="I143" s="13"/>
      <c r="J143" s="13"/>
    </row>
    <row r="144" ht="15.75" customHeight="1">
      <c r="H144" s="44"/>
      <c r="I144" s="13"/>
      <c r="J144" s="13"/>
    </row>
    <row r="145" ht="15.75" customHeight="1">
      <c r="H145" s="44"/>
      <c r="I145" s="13"/>
      <c r="J145" s="13"/>
    </row>
    <row r="146" ht="15.75" customHeight="1">
      <c r="H146" s="44"/>
      <c r="I146" s="13"/>
      <c r="J146" s="13"/>
    </row>
    <row r="147" ht="15.75" customHeight="1">
      <c r="H147" s="44"/>
      <c r="I147" s="13"/>
      <c r="J147" s="13"/>
    </row>
    <row r="148" ht="15.75" customHeight="1">
      <c r="H148" s="44"/>
      <c r="I148" s="13"/>
      <c r="J148" s="13"/>
    </row>
    <row r="149" ht="15.75" customHeight="1">
      <c r="H149" s="44"/>
      <c r="I149" s="13"/>
      <c r="J149" s="13"/>
    </row>
    <row r="150" ht="15.75" customHeight="1">
      <c r="H150" s="44"/>
      <c r="I150" s="13"/>
      <c r="J150" s="13"/>
    </row>
    <row r="151" ht="15.75" customHeight="1">
      <c r="H151" s="44"/>
      <c r="I151" s="13"/>
      <c r="J151" s="13"/>
    </row>
    <row r="152" ht="15.75" customHeight="1">
      <c r="H152" s="44"/>
      <c r="I152" s="13"/>
      <c r="J152" s="13"/>
    </row>
    <row r="153" ht="15.75" customHeight="1">
      <c r="H153" s="44"/>
      <c r="I153" s="13"/>
      <c r="J153" s="13"/>
    </row>
    <row r="154" ht="15.75" customHeight="1">
      <c r="H154" s="44"/>
      <c r="I154" s="13"/>
      <c r="J154" s="13"/>
    </row>
    <row r="155" ht="15.75" customHeight="1">
      <c r="H155" s="44"/>
      <c r="I155" s="13"/>
      <c r="J155" s="13"/>
    </row>
    <row r="156" ht="15.75" customHeight="1">
      <c r="H156" s="44"/>
      <c r="I156" s="13"/>
      <c r="J156" s="13"/>
    </row>
    <row r="157" ht="15.75" customHeight="1">
      <c r="H157" s="44"/>
      <c r="I157" s="13"/>
      <c r="J157" s="13"/>
    </row>
    <row r="158" ht="15.75" customHeight="1">
      <c r="H158" s="44"/>
      <c r="I158" s="13"/>
      <c r="J158" s="13"/>
    </row>
    <row r="159" ht="15.75" customHeight="1">
      <c r="H159" s="44"/>
      <c r="I159" s="13"/>
      <c r="J159" s="13"/>
    </row>
    <row r="160" ht="15.75" customHeight="1">
      <c r="H160" s="44"/>
      <c r="I160" s="13"/>
      <c r="J160" s="13"/>
    </row>
    <row r="161" ht="15.75" customHeight="1">
      <c r="H161" s="44"/>
      <c r="I161" s="13"/>
      <c r="J161" s="13"/>
    </row>
    <row r="162" ht="15.75" customHeight="1">
      <c r="H162" s="44"/>
      <c r="I162" s="13"/>
      <c r="J162" s="13"/>
    </row>
    <row r="163" ht="15.75" customHeight="1">
      <c r="H163" s="44"/>
      <c r="I163" s="13"/>
      <c r="J163" s="13"/>
    </row>
    <row r="164" ht="15.75" customHeight="1">
      <c r="H164" s="44"/>
      <c r="I164" s="13"/>
      <c r="J164" s="13"/>
    </row>
    <row r="165" ht="15.75" customHeight="1">
      <c r="H165" s="44"/>
      <c r="I165" s="13"/>
      <c r="J165" s="13"/>
    </row>
    <row r="166" ht="15.75" customHeight="1">
      <c r="H166" s="44"/>
      <c r="I166" s="13"/>
      <c r="J166" s="13"/>
    </row>
    <row r="167" ht="15.75" customHeight="1">
      <c r="H167" s="44"/>
      <c r="I167" s="13"/>
      <c r="J167" s="13"/>
    </row>
    <row r="168" ht="15.75" customHeight="1">
      <c r="H168" s="44"/>
      <c r="I168" s="13"/>
      <c r="J168" s="13"/>
    </row>
    <row r="169" ht="15.75" customHeight="1">
      <c r="H169" s="44"/>
      <c r="I169" s="13"/>
      <c r="J169" s="13"/>
    </row>
    <row r="170" ht="15.75" customHeight="1">
      <c r="H170" s="44"/>
      <c r="I170" s="13"/>
      <c r="J170" s="13"/>
    </row>
    <row r="171" ht="15.75" customHeight="1">
      <c r="H171" s="44"/>
      <c r="I171" s="13"/>
      <c r="J171" s="13"/>
    </row>
    <row r="172" ht="15.75" customHeight="1">
      <c r="H172" s="44"/>
      <c r="I172" s="13"/>
      <c r="J172" s="13"/>
    </row>
    <row r="173" ht="15.75" customHeight="1">
      <c r="H173" s="44"/>
      <c r="I173" s="13"/>
      <c r="J173" s="13"/>
    </row>
    <row r="174" ht="15.75" customHeight="1">
      <c r="H174" s="44"/>
      <c r="I174" s="13"/>
      <c r="J174" s="13"/>
    </row>
    <row r="175" ht="15.75" customHeight="1">
      <c r="H175" s="44"/>
      <c r="I175" s="13"/>
      <c r="J175" s="13"/>
    </row>
    <row r="176" ht="15.75" customHeight="1">
      <c r="H176" s="44"/>
      <c r="I176" s="13"/>
      <c r="J176" s="13"/>
    </row>
    <row r="177" ht="15.75" customHeight="1">
      <c r="H177" s="44"/>
      <c r="I177" s="13"/>
      <c r="J177" s="13"/>
    </row>
    <row r="178" ht="15.75" customHeight="1">
      <c r="H178" s="44"/>
      <c r="I178" s="13"/>
      <c r="J178" s="13"/>
    </row>
    <row r="179" ht="15.75" customHeight="1">
      <c r="H179" s="44"/>
      <c r="I179" s="13"/>
      <c r="J179" s="13"/>
    </row>
    <row r="180" ht="15.75" customHeight="1">
      <c r="H180" s="44"/>
      <c r="I180" s="13"/>
      <c r="J180" s="13"/>
    </row>
    <row r="181" ht="15.75" customHeight="1">
      <c r="H181" s="44"/>
      <c r="I181" s="13"/>
      <c r="J181" s="13"/>
    </row>
    <row r="182" ht="15.75" customHeight="1">
      <c r="H182" s="44"/>
      <c r="I182" s="13"/>
      <c r="J182" s="13"/>
    </row>
    <row r="183" ht="15.75" customHeight="1">
      <c r="H183" s="44"/>
      <c r="I183" s="13"/>
      <c r="J183" s="13"/>
    </row>
    <row r="184" ht="15.75" customHeight="1">
      <c r="H184" s="44"/>
      <c r="I184" s="13"/>
      <c r="J184" s="13"/>
    </row>
    <row r="185" ht="15.75" customHeight="1">
      <c r="H185" s="44"/>
      <c r="I185" s="13"/>
      <c r="J185" s="13"/>
    </row>
    <row r="186" ht="15.75" customHeight="1">
      <c r="H186" s="44"/>
      <c r="I186" s="13"/>
      <c r="J186" s="13"/>
    </row>
    <row r="187" ht="15.75" customHeight="1">
      <c r="H187" s="44"/>
      <c r="I187" s="13"/>
      <c r="J187" s="13"/>
    </row>
    <row r="188" ht="15.75" customHeight="1">
      <c r="H188" s="44"/>
      <c r="I188" s="13"/>
      <c r="J188" s="13"/>
    </row>
    <row r="189" ht="15.75" customHeight="1">
      <c r="H189" s="44"/>
      <c r="I189" s="13"/>
      <c r="J189" s="13"/>
    </row>
    <row r="190" ht="15.75" customHeight="1">
      <c r="H190" s="44"/>
      <c r="I190" s="13"/>
      <c r="J190" s="13"/>
    </row>
    <row r="191" ht="15.75" customHeight="1">
      <c r="H191" s="44"/>
      <c r="I191" s="13"/>
      <c r="J191" s="13"/>
    </row>
    <row r="192" ht="15.75" customHeight="1">
      <c r="H192" s="44"/>
      <c r="I192" s="13"/>
      <c r="J192" s="13"/>
    </row>
    <row r="193" ht="15.75" customHeight="1">
      <c r="H193" s="44"/>
      <c r="I193" s="13"/>
      <c r="J193" s="13"/>
    </row>
    <row r="194" ht="15.75" customHeight="1">
      <c r="H194" s="44"/>
      <c r="I194" s="13"/>
      <c r="J194" s="13"/>
    </row>
    <row r="195" ht="15.75" customHeight="1">
      <c r="H195" s="44"/>
      <c r="I195" s="13"/>
      <c r="J195" s="13"/>
    </row>
    <row r="196" ht="15.75" customHeight="1">
      <c r="H196" s="44"/>
      <c r="I196" s="13"/>
      <c r="J196" s="13"/>
    </row>
    <row r="197" ht="15.75" customHeight="1">
      <c r="H197" s="44"/>
      <c r="I197" s="13"/>
      <c r="J197" s="13"/>
    </row>
    <row r="198" ht="15.75" customHeight="1">
      <c r="H198" s="44"/>
      <c r="I198" s="13"/>
      <c r="J198" s="13"/>
    </row>
    <row r="199" ht="15.75" customHeight="1">
      <c r="H199" s="44"/>
      <c r="I199" s="13"/>
      <c r="J199" s="13"/>
    </row>
    <row r="200" ht="15.75" customHeight="1">
      <c r="H200" s="44"/>
      <c r="I200" s="13"/>
      <c r="J200" s="13"/>
    </row>
    <row r="201" ht="15.75" customHeight="1">
      <c r="H201" s="44"/>
      <c r="I201" s="13"/>
      <c r="J201" s="13"/>
    </row>
    <row r="202" ht="15.75" customHeight="1">
      <c r="H202" s="44"/>
      <c r="I202" s="13"/>
      <c r="J202" s="13"/>
    </row>
    <row r="203" ht="15.75" customHeight="1">
      <c r="H203" s="44"/>
      <c r="I203" s="13"/>
      <c r="J203" s="13"/>
    </row>
    <row r="204" ht="15.75" customHeight="1">
      <c r="H204" s="44"/>
      <c r="I204" s="13"/>
      <c r="J204" s="13"/>
    </row>
    <row r="205" ht="15.75" customHeight="1">
      <c r="H205" s="44"/>
      <c r="I205" s="13"/>
      <c r="J205" s="13"/>
    </row>
    <row r="206" ht="15.75" customHeight="1">
      <c r="H206" s="44"/>
      <c r="I206" s="13"/>
      <c r="J206" s="13"/>
    </row>
    <row r="207" ht="15.75" customHeight="1">
      <c r="H207" s="44"/>
      <c r="I207" s="13"/>
      <c r="J207" s="13"/>
    </row>
    <row r="208" ht="15.75" customHeight="1">
      <c r="H208" s="44"/>
      <c r="I208" s="13"/>
      <c r="J208" s="13"/>
    </row>
    <row r="209" ht="15.75" customHeight="1">
      <c r="H209" s="44"/>
      <c r="I209" s="13"/>
      <c r="J209" s="13"/>
    </row>
    <row r="210" ht="15.75" customHeight="1">
      <c r="H210" s="44"/>
      <c r="I210" s="13"/>
      <c r="J210" s="13"/>
    </row>
    <row r="211" ht="15.75" customHeight="1">
      <c r="H211" s="44"/>
      <c r="I211" s="13"/>
      <c r="J211" s="13"/>
    </row>
    <row r="212" ht="15.75" customHeight="1">
      <c r="H212" s="44"/>
      <c r="I212" s="13"/>
      <c r="J212" s="13"/>
    </row>
    <row r="213" ht="15.75" customHeight="1">
      <c r="H213" s="44"/>
      <c r="I213" s="13"/>
      <c r="J213" s="13"/>
    </row>
    <row r="214" ht="15.75" customHeight="1">
      <c r="H214" s="44"/>
      <c r="I214" s="13"/>
      <c r="J214" s="13"/>
    </row>
    <row r="215" ht="15.75" customHeight="1">
      <c r="H215" s="44"/>
      <c r="I215" s="13"/>
      <c r="J215" s="13"/>
    </row>
    <row r="216" ht="15.75" customHeight="1">
      <c r="H216" s="44"/>
      <c r="I216" s="13"/>
      <c r="J216" s="13"/>
    </row>
    <row r="217" ht="15.75" customHeight="1">
      <c r="H217" s="44"/>
      <c r="I217" s="13"/>
      <c r="J217" s="13"/>
    </row>
    <row r="218" ht="15.75" customHeight="1">
      <c r="H218" s="44"/>
      <c r="I218" s="13"/>
      <c r="J218" s="13"/>
    </row>
    <row r="219" ht="15.75" customHeight="1">
      <c r="H219" s="44"/>
      <c r="I219" s="13"/>
      <c r="J219" s="13"/>
    </row>
    <row r="220" ht="15.75" customHeight="1">
      <c r="H220" s="44"/>
      <c r="I220" s="13"/>
      <c r="J220" s="13"/>
    </row>
    <row r="221" ht="15.75" customHeight="1">
      <c r="H221" s="44"/>
      <c r="I221" s="13"/>
      <c r="J221" s="13"/>
    </row>
    <row r="222" ht="15.75" customHeight="1">
      <c r="H222" s="44"/>
      <c r="I222" s="13"/>
      <c r="J222" s="13"/>
    </row>
    <row r="223" ht="15.75" customHeight="1">
      <c r="H223" s="44"/>
      <c r="I223" s="13"/>
      <c r="J223" s="13"/>
    </row>
    <row r="224" ht="15.75" customHeight="1">
      <c r="H224" s="44"/>
      <c r="I224" s="13"/>
      <c r="J224" s="13"/>
    </row>
    <row r="225" ht="15.75" customHeight="1">
      <c r="H225" s="44"/>
      <c r="I225" s="13"/>
      <c r="J225" s="13"/>
    </row>
    <row r="226" ht="15.75" customHeight="1">
      <c r="H226" s="44"/>
      <c r="I226" s="13"/>
      <c r="J226" s="13"/>
    </row>
    <row r="227" ht="15.75" customHeight="1">
      <c r="H227" s="44"/>
      <c r="I227" s="13"/>
      <c r="J227" s="13"/>
    </row>
    <row r="228" ht="15.75" customHeight="1">
      <c r="H228" s="44"/>
      <c r="I228" s="13"/>
      <c r="J228" s="13"/>
    </row>
    <row r="229" ht="15.75" customHeight="1">
      <c r="H229" s="44"/>
      <c r="I229" s="13"/>
      <c r="J229" s="13"/>
    </row>
    <row r="230" ht="15.75" customHeight="1">
      <c r="H230" s="44"/>
      <c r="I230" s="13"/>
      <c r="J230" s="13"/>
    </row>
    <row r="231" ht="15.75" customHeight="1">
      <c r="H231" s="44"/>
      <c r="I231" s="13"/>
      <c r="J231" s="13"/>
    </row>
    <row r="232" ht="15.75" customHeight="1">
      <c r="H232" s="44"/>
      <c r="I232" s="13"/>
      <c r="J232" s="13"/>
    </row>
    <row r="233" ht="15.75" customHeight="1">
      <c r="H233" s="44"/>
      <c r="I233" s="13"/>
      <c r="J233" s="13"/>
    </row>
    <row r="234" ht="15.75" customHeight="1">
      <c r="H234" s="44"/>
      <c r="I234" s="13"/>
      <c r="J234" s="13"/>
    </row>
    <row r="235" ht="15.75" customHeight="1">
      <c r="H235" s="44"/>
      <c r="I235" s="13"/>
      <c r="J235" s="13"/>
    </row>
    <row r="236" ht="15.75" customHeight="1">
      <c r="H236" s="44"/>
      <c r="I236" s="13"/>
      <c r="J236" s="13"/>
    </row>
    <row r="237" ht="15.75" customHeight="1">
      <c r="H237" s="44"/>
      <c r="I237" s="13"/>
      <c r="J237" s="13"/>
    </row>
    <row r="238" ht="15.75" customHeight="1">
      <c r="H238" s="44"/>
      <c r="I238" s="13"/>
      <c r="J238" s="13"/>
    </row>
    <row r="239" ht="15.75" customHeight="1">
      <c r="H239" s="44"/>
      <c r="I239" s="13"/>
      <c r="J239" s="13"/>
    </row>
    <row r="240" ht="15.75" customHeight="1">
      <c r="H240" s="44"/>
      <c r="I240" s="13"/>
      <c r="J240" s="13"/>
    </row>
    <row r="241" ht="15.75" customHeight="1">
      <c r="H241" s="44"/>
      <c r="I241" s="13"/>
      <c r="J241" s="13"/>
    </row>
    <row r="242" ht="15.75" customHeight="1">
      <c r="H242" s="44"/>
      <c r="I242" s="13"/>
      <c r="J242" s="13"/>
    </row>
    <row r="243" ht="15.75" customHeight="1">
      <c r="H243" s="44"/>
      <c r="I243" s="13"/>
      <c r="J243" s="13"/>
    </row>
    <row r="244" ht="15.75" customHeight="1">
      <c r="H244" s="44"/>
      <c r="I244" s="13"/>
      <c r="J244" s="13"/>
    </row>
    <row r="245" ht="15.75" customHeight="1">
      <c r="H245" s="44"/>
      <c r="I245" s="13"/>
      <c r="J245" s="13"/>
    </row>
    <row r="246" ht="15.75" customHeight="1">
      <c r="H246" s="44"/>
      <c r="I246" s="13"/>
      <c r="J246" s="13"/>
    </row>
    <row r="247" ht="15.75" customHeight="1">
      <c r="H247" s="44"/>
      <c r="I247" s="13"/>
      <c r="J247" s="13"/>
    </row>
    <row r="248" ht="15.75" customHeight="1">
      <c r="H248" s="44"/>
      <c r="I248" s="13"/>
      <c r="J248" s="13"/>
    </row>
    <row r="249" ht="15.75" customHeight="1">
      <c r="H249" s="44"/>
      <c r="I249" s="13"/>
      <c r="J249" s="13"/>
    </row>
    <row r="250" ht="15.75" customHeight="1">
      <c r="H250" s="44"/>
      <c r="I250" s="13"/>
      <c r="J250" s="13"/>
    </row>
    <row r="251" ht="15.75" customHeight="1">
      <c r="H251" s="44"/>
      <c r="I251" s="13"/>
      <c r="J251" s="13"/>
    </row>
    <row r="252" ht="15.75" customHeight="1">
      <c r="H252" s="44"/>
      <c r="I252" s="13"/>
      <c r="J252" s="13"/>
    </row>
    <row r="253" ht="15.75" customHeight="1">
      <c r="H253" s="44"/>
      <c r="I253" s="13"/>
      <c r="J253" s="13"/>
    </row>
    <row r="254" ht="15.75" customHeight="1">
      <c r="H254" s="44"/>
      <c r="I254" s="13"/>
      <c r="J254" s="13"/>
    </row>
    <row r="255" ht="15.75" customHeight="1">
      <c r="H255" s="44"/>
      <c r="I255" s="13"/>
      <c r="J255" s="13"/>
    </row>
    <row r="256" ht="15.75" customHeight="1">
      <c r="H256" s="44"/>
      <c r="I256" s="13"/>
      <c r="J256" s="13"/>
    </row>
    <row r="257" ht="15.75" customHeight="1">
      <c r="H257" s="44"/>
      <c r="I257" s="13"/>
      <c r="J257" s="13"/>
    </row>
    <row r="258" ht="15.75" customHeight="1">
      <c r="H258" s="44"/>
      <c r="I258" s="13"/>
      <c r="J258" s="13"/>
    </row>
    <row r="259" ht="15.75" customHeight="1">
      <c r="H259" s="44"/>
      <c r="I259" s="13"/>
      <c r="J259" s="13"/>
    </row>
    <row r="260" ht="15.75" customHeight="1">
      <c r="H260" s="44"/>
      <c r="I260" s="13"/>
      <c r="J260" s="13"/>
    </row>
    <row r="261" ht="15.75" customHeight="1">
      <c r="H261" s="44"/>
      <c r="I261" s="13"/>
      <c r="J261" s="13"/>
    </row>
    <row r="262" ht="15.75" customHeight="1">
      <c r="H262" s="44"/>
      <c r="I262" s="13"/>
      <c r="J262" s="13"/>
    </row>
    <row r="263" ht="15.75" customHeight="1">
      <c r="H263" s="44"/>
      <c r="I263" s="13"/>
      <c r="J263" s="13"/>
    </row>
    <row r="264" ht="15.75" customHeight="1">
      <c r="H264" s="44"/>
      <c r="I264" s="13"/>
      <c r="J264" s="13"/>
    </row>
    <row r="265" ht="15.75" customHeight="1">
      <c r="H265" s="44"/>
      <c r="I265" s="13"/>
      <c r="J265" s="13"/>
    </row>
    <row r="266" ht="15.75" customHeight="1">
      <c r="H266" s="44"/>
      <c r="I266" s="13"/>
      <c r="J266" s="13"/>
    </row>
    <row r="267" ht="15.75" customHeight="1">
      <c r="H267" s="44"/>
      <c r="I267" s="13"/>
      <c r="J267" s="13"/>
    </row>
    <row r="268" ht="15.75" customHeight="1">
      <c r="H268" s="44"/>
      <c r="I268" s="13"/>
      <c r="J268" s="13"/>
    </row>
    <row r="269" ht="15.75" customHeight="1">
      <c r="H269" s="44"/>
      <c r="I269" s="13"/>
      <c r="J269" s="13"/>
    </row>
    <row r="270" ht="15.75" customHeight="1">
      <c r="H270" s="44"/>
      <c r="I270" s="13"/>
      <c r="J270" s="13"/>
    </row>
    <row r="271" ht="15.75" customHeight="1">
      <c r="H271" s="44"/>
      <c r="I271" s="13"/>
      <c r="J271" s="13"/>
    </row>
    <row r="272" ht="15.75" customHeight="1">
      <c r="H272" s="44"/>
      <c r="I272" s="13"/>
      <c r="J272" s="13"/>
    </row>
    <row r="273" ht="15.75" customHeight="1">
      <c r="H273" s="44"/>
      <c r="I273" s="13"/>
      <c r="J273" s="13"/>
    </row>
    <row r="274" ht="15.75" customHeight="1">
      <c r="H274" s="44"/>
      <c r="I274" s="13"/>
      <c r="J274" s="13"/>
    </row>
    <row r="275" ht="15.75" customHeight="1">
      <c r="H275" s="44"/>
      <c r="I275" s="13"/>
      <c r="J275" s="13"/>
    </row>
    <row r="276" ht="15.75" customHeight="1">
      <c r="H276" s="44"/>
      <c r="I276" s="13"/>
      <c r="J276" s="13"/>
    </row>
    <row r="277" ht="15.75" customHeight="1">
      <c r="H277" s="44"/>
      <c r="I277" s="13"/>
      <c r="J277" s="13"/>
    </row>
    <row r="278" ht="15.75" customHeight="1">
      <c r="H278" s="44"/>
      <c r="I278" s="13"/>
      <c r="J278" s="13"/>
    </row>
    <row r="279" ht="15.75" customHeight="1">
      <c r="H279" s="44"/>
      <c r="I279" s="13"/>
      <c r="J279" s="13"/>
    </row>
    <row r="280" ht="15.75" customHeight="1">
      <c r="H280" s="44"/>
      <c r="I280" s="13"/>
      <c r="J280" s="13"/>
    </row>
    <row r="281" ht="15.75" customHeight="1">
      <c r="H281" s="44"/>
      <c r="I281" s="13"/>
      <c r="J281" s="13"/>
    </row>
    <row r="282" ht="15.75" customHeight="1">
      <c r="H282" s="44"/>
      <c r="I282" s="13"/>
      <c r="J282" s="13"/>
    </row>
    <row r="283" ht="15.75" customHeight="1">
      <c r="H283" s="44"/>
      <c r="I283" s="13"/>
      <c r="J283" s="13"/>
    </row>
    <row r="284" ht="15.75" customHeight="1">
      <c r="H284" s="44"/>
      <c r="I284" s="13"/>
      <c r="J284" s="13"/>
    </row>
    <row r="285" ht="15.75" customHeight="1">
      <c r="H285" s="44"/>
      <c r="I285" s="13"/>
      <c r="J285" s="13"/>
    </row>
    <row r="286" ht="15.75" customHeight="1">
      <c r="H286" s="44"/>
      <c r="I286" s="13"/>
      <c r="J286" s="13"/>
    </row>
    <row r="287" ht="15.75" customHeight="1">
      <c r="H287" s="44"/>
      <c r="I287" s="13"/>
      <c r="J287" s="13"/>
    </row>
    <row r="288" ht="15.75" customHeight="1">
      <c r="H288" s="44"/>
      <c r="I288" s="13"/>
      <c r="J288" s="13"/>
    </row>
    <row r="289" ht="15.75" customHeight="1">
      <c r="H289" s="44"/>
      <c r="I289" s="13"/>
      <c r="J289" s="13"/>
    </row>
    <row r="290" ht="15.75" customHeight="1">
      <c r="H290" s="44"/>
      <c r="I290" s="13"/>
      <c r="J290" s="13"/>
    </row>
    <row r="291" ht="15.75" customHeight="1">
      <c r="H291" s="44"/>
      <c r="I291" s="13"/>
      <c r="J291" s="13"/>
    </row>
    <row r="292" ht="15.75" customHeight="1">
      <c r="H292" s="44"/>
      <c r="I292" s="13"/>
      <c r="J292" s="13"/>
    </row>
    <row r="293" ht="15.75" customHeight="1">
      <c r="H293" s="44"/>
      <c r="I293" s="13"/>
      <c r="J293" s="13"/>
    </row>
    <row r="294" ht="15.75" customHeight="1">
      <c r="H294" s="44"/>
      <c r="I294" s="13"/>
      <c r="J294" s="13"/>
    </row>
    <row r="295" ht="15.75" customHeight="1">
      <c r="H295" s="44"/>
      <c r="I295" s="13"/>
      <c r="J295" s="13"/>
    </row>
    <row r="296" ht="15.75" customHeight="1">
      <c r="H296" s="44"/>
      <c r="I296" s="13"/>
      <c r="J296" s="13"/>
    </row>
    <row r="297" ht="15.75" customHeight="1">
      <c r="H297" s="44"/>
      <c r="I297" s="13"/>
      <c r="J297" s="13"/>
    </row>
    <row r="298" ht="15.75" customHeight="1">
      <c r="H298" s="44"/>
      <c r="I298" s="13"/>
      <c r="J298" s="13"/>
    </row>
    <row r="299" ht="15.75" customHeight="1">
      <c r="H299" s="44"/>
      <c r="I299" s="13"/>
      <c r="J299" s="13"/>
    </row>
    <row r="300" ht="15.75" customHeight="1">
      <c r="H300" s="44"/>
      <c r="I300" s="13"/>
      <c r="J300" s="13"/>
    </row>
    <row r="301" ht="15.75" customHeight="1">
      <c r="H301" s="44"/>
      <c r="I301" s="13"/>
      <c r="J301" s="13"/>
    </row>
    <row r="302" ht="15.75" customHeight="1">
      <c r="H302" s="44"/>
      <c r="I302" s="13"/>
      <c r="J302" s="13"/>
    </row>
    <row r="303" ht="15.75" customHeight="1">
      <c r="H303" s="44"/>
      <c r="I303" s="13"/>
      <c r="J303" s="13"/>
    </row>
    <row r="304" ht="15.75" customHeight="1">
      <c r="H304" s="44"/>
      <c r="I304" s="13"/>
      <c r="J304" s="13"/>
    </row>
    <row r="305" ht="15.75" customHeight="1">
      <c r="H305" s="44"/>
      <c r="I305" s="13"/>
      <c r="J305" s="13"/>
    </row>
    <row r="306" ht="15.75" customHeight="1">
      <c r="H306" s="44"/>
    </row>
    <row r="307" ht="15.75" customHeight="1">
      <c r="H307" s="44"/>
    </row>
    <row r="308" ht="15.75" customHeight="1">
      <c r="H308" s="44"/>
    </row>
    <row r="309" ht="15.75" customHeight="1">
      <c r="H309" s="44"/>
    </row>
    <row r="310" ht="15.75" customHeight="1">
      <c r="H310" s="44"/>
    </row>
    <row r="311" ht="15.75" customHeight="1">
      <c r="H311" s="44"/>
    </row>
    <row r="312" ht="15.75" customHeight="1">
      <c r="H312" s="44"/>
    </row>
    <row r="313" ht="15.75" customHeight="1">
      <c r="H313" s="44"/>
    </row>
    <row r="314" ht="15.75" customHeight="1">
      <c r="H314" s="44"/>
    </row>
    <row r="315" ht="15.75" customHeight="1">
      <c r="H315" s="44"/>
    </row>
    <row r="316" ht="15.75" customHeight="1">
      <c r="H316" s="44"/>
    </row>
    <row r="317" ht="15.75" customHeight="1">
      <c r="H317" s="44"/>
    </row>
    <row r="318" ht="15.75" customHeight="1">
      <c r="H318" s="44"/>
    </row>
    <row r="319" ht="15.75" customHeight="1">
      <c r="H319" s="44"/>
    </row>
    <row r="320" ht="15.75" customHeight="1">
      <c r="H320" s="44"/>
    </row>
    <row r="321" ht="15.75" customHeight="1">
      <c r="H321" s="44"/>
    </row>
    <row r="322" ht="15.75" customHeight="1">
      <c r="H322" s="44"/>
    </row>
    <row r="323" ht="15.75" customHeight="1">
      <c r="H323" s="44"/>
    </row>
    <row r="324" ht="15.75" customHeight="1">
      <c r="H324" s="44"/>
    </row>
    <row r="325" ht="15.75" customHeight="1">
      <c r="H325" s="44"/>
    </row>
    <row r="326" ht="15.75" customHeight="1">
      <c r="H326" s="44"/>
    </row>
    <row r="327" ht="15.75" customHeight="1">
      <c r="H327" s="44"/>
    </row>
    <row r="328" ht="15.75" customHeight="1">
      <c r="H328" s="44"/>
    </row>
    <row r="329" ht="15.75" customHeight="1">
      <c r="H329" s="44"/>
    </row>
    <row r="330" ht="15.75" customHeight="1">
      <c r="H330" s="44"/>
    </row>
    <row r="331" ht="15.75" customHeight="1">
      <c r="H331" s="44"/>
    </row>
    <row r="332" ht="15.75" customHeight="1">
      <c r="H332" s="44"/>
    </row>
    <row r="333" ht="15.75" customHeight="1">
      <c r="H333" s="44"/>
    </row>
    <row r="334" ht="15.75" customHeight="1">
      <c r="H334" s="44"/>
    </row>
    <row r="335" ht="15.75" customHeight="1">
      <c r="H335" s="44"/>
    </row>
    <row r="336" ht="15.75" customHeight="1">
      <c r="H336" s="44"/>
    </row>
    <row r="337" ht="15.75" customHeight="1">
      <c r="H337" s="44"/>
    </row>
    <row r="338" ht="15.75" customHeight="1">
      <c r="H338" s="44"/>
    </row>
    <row r="339" ht="15.75" customHeight="1">
      <c r="H339" s="44"/>
    </row>
    <row r="340" ht="15.75" customHeight="1">
      <c r="H340" s="44"/>
    </row>
    <row r="341" ht="15.75" customHeight="1">
      <c r="H341" s="44"/>
    </row>
    <row r="342" ht="15.75" customHeight="1">
      <c r="H342" s="44"/>
    </row>
    <row r="343" ht="15.75" customHeight="1">
      <c r="H343" s="44"/>
    </row>
    <row r="344" ht="15.75" customHeight="1">
      <c r="H344" s="44"/>
    </row>
    <row r="345" ht="15.75" customHeight="1">
      <c r="H345" s="44"/>
    </row>
    <row r="346" ht="15.75" customHeight="1">
      <c r="H346" s="44"/>
    </row>
    <row r="347" ht="15.75" customHeight="1">
      <c r="H347" s="44"/>
    </row>
    <row r="348" ht="15.75" customHeight="1">
      <c r="H348" s="44"/>
    </row>
    <row r="349" ht="15.75" customHeight="1">
      <c r="H349" s="44"/>
    </row>
    <row r="350" ht="15.75" customHeight="1">
      <c r="H350" s="44"/>
    </row>
    <row r="351" ht="15.75" customHeight="1">
      <c r="H351" s="44"/>
    </row>
    <row r="352" ht="15.75" customHeight="1">
      <c r="H352" s="44"/>
    </row>
    <row r="353" ht="15.75" customHeight="1">
      <c r="H353" s="44"/>
    </row>
    <row r="354" ht="15.75" customHeight="1">
      <c r="H354" s="44"/>
    </row>
    <row r="355" ht="15.75" customHeight="1">
      <c r="H355" s="44"/>
    </row>
    <row r="356" ht="15.75" customHeight="1">
      <c r="H356" s="44"/>
    </row>
    <row r="357" ht="15.75" customHeight="1">
      <c r="H357" s="44"/>
    </row>
    <row r="358" ht="15.75" customHeight="1">
      <c r="H358" s="44"/>
    </row>
    <row r="359" ht="15.75" customHeight="1">
      <c r="H359" s="44"/>
    </row>
    <row r="360" ht="15.75" customHeight="1">
      <c r="H360" s="44"/>
    </row>
    <row r="361" ht="15.75" customHeight="1">
      <c r="H361" s="44"/>
    </row>
    <row r="362" ht="15.75" customHeight="1">
      <c r="H362" s="44"/>
    </row>
    <row r="363" ht="15.75" customHeight="1">
      <c r="H363" s="44"/>
    </row>
    <row r="364" ht="15.75" customHeight="1">
      <c r="H364" s="44"/>
    </row>
    <row r="365" ht="15.75" customHeight="1">
      <c r="H365" s="44"/>
    </row>
    <row r="366" ht="15.75" customHeight="1">
      <c r="H366" s="44"/>
    </row>
    <row r="367" ht="15.75" customHeight="1">
      <c r="H367" s="44"/>
    </row>
    <row r="368" ht="15.75" customHeight="1">
      <c r="H368" s="44"/>
    </row>
    <row r="369" ht="15.75" customHeight="1">
      <c r="H369" s="44"/>
    </row>
    <row r="370" ht="15.75" customHeight="1">
      <c r="H370" s="44"/>
    </row>
    <row r="371" ht="15.75" customHeight="1">
      <c r="H371" s="44"/>
    </row>
    <row r="372" ht="15.75" customHeight="1">
      <c r="H372" s="44"/>
    </row>
    <row r="373" ht="15.75" customHeight="1">
      <c r="H373" s="44"/>
    </row>
    <row r="374" ht="15.75" customHeight="1">
      <c r="H374" s="44"/>
    </row>
    <row r="375" ht="15.75" customHeight="1">
      <c r="H375" s="44"/>
    </row>
    <row r="376" ht="15.75" customHeight="1">
      <c r="H376" s="44"/>
    </row>
    <row r="377" ht="15.75" customHeight="1">
      <c r="H377" s="44"/>
    </row>
    <row r="378" ht="15.75" customHeight="1">
      <c r="H378" s="44"/>
    </row>
    <row r="379" ht="15.75" customHeight="1">
      <c r="H379" s="44"/>
    </row>
    <row r="380" ht="15.75" customHeight="1">
      <c r="H380" s="44"/>
    </row>
    <row r="381" ht="15.75" customHeight="1">
      <c r="H381" s="44"/>
    </row>
    <row r="382" ht="15.75" customHeight="1">
      <c r="H382" s="44"/>
    </row>
    <row r="383" ht="15.75" customHeight="1">
      <c r="H383" s="44"/>
    </row>
    <row r="384" ht="15.75" customHeight="1">
      <c r="H384" s="44"/>
    </row>
    <row r="385" ht="15.75" customHeight="1">
      <c r="H385" s="44"/>
    </row>
    <row r="386" ht="15.75" customHeight="1">
      <c r="H386" s="44"/>
    </row>
    <row r="387" ht="15.75" customHeight="1">
      <c r="H387" s="44"/>
    </row>
    <row r="388" ht="15.75" customHeight="1">
      <c r="H388" s="44"/>
    </row>
    <row r="389" ht="15.75" customHeight="1">
      <c r="H389" s="44"/>
    </row>
    <row r="390" ht="15.75" customHeight="1">
      <c r="H390" s="44"/>
    </row>
    <row r="391" ht="15.75" customHeight="1">
      <c r="H391" s="44"/>
    </row>
    <row r="392" ht="15.75" customHeight="1">
      <c r="H392" s="44"/>
    </row>
    <row r="393" ht="15.75" customHeight="1">
      <c r="H393" s="44"/>
    </row>
    <row r="394" ht="15.75" customHeight="1">
      <c r="H394" s="44"/>
    </row>
    <row r="395" ht="15.75" customHeight="1">
      <c r="H395" s="44"/>
    </row>
    <row r="396" ht="15.75" customHeight="1">
      <c r="H396" s="44"/>
    </row>
    <row r="397" ht="15.75" customHeight="1">
      <c r="H397" s="44"/>
    </row>
    <row r="398" ht="15.75" customHeight="1">
      <c r="H398" s="44"/>
    </row>
    <row r="399" ht="15.75" customHeight="1">
      <c r="H399" s="44"/>
    </row>
    <row r="400" ht="15.75" customHeight="1">
      <c r="H400" s="44"/>
    </row>
    <row r="401" ht="15.75" customHeight="1">
      <c r="H401" s="44"/>
    </row>
    <row r="402" ht="15.75" customHeight="1">
      <c r="H402" s="44"/>
    </row>
    <row r="403" ht="15.75" customHeight="1">
      <c r="H403" s="44"/>
    </row>
    <row r="404" ht="15.75" customHeight="1">
      <c r="H404" s="44"/>
    </row>
    <row r="405" ht="15.75" customHeight="1">
      <c r="H405" s="44"/>
    </row>
    <row r="406" ht="15.75" customHeight="1">
      <c r="H406" s="44"/>
    </row>
    <row r="407" ht="15.75" customHeight="1">
      <c r="H407" s="44"/>
    </row>
    <row r="408" ht="15.75" customHeight="1">
      <c r="H408" s="44"/>
    </row>
    <row r="409" ht="15.75" customHeight="1">
      <c r="H409" s="44"/>
    </row>
    <row r="410" ht="15.75" customHeight="1">
      <c r="H410" s="44"/>
    </row>
    <row r="411" ht="15.75" customHeight="1">
      <c r="H411" s="44"/>
    </row>
    <row r="412" ht="15.75" customHeight="1">
      <c r="H412" s="44"/>
    </row>
    <row r="413" ht="15.75" customHeight="1">
      <c r="H413" s="44"/>
    </row>
    <row r="414" ht="15.75" customHeight="1">
      <c r="H414" s="44"/>
    </row>
    <row r="415" ht="15.75" customHeight="1">
      <c r="H415" s="44"/>
    </row>
    <row r="416" ht="15.75" customHeight="1">
      <c r="H416" s="44"/>
    </row>
    <row r="417" ht="15.75" customHeight="1">
      <c r="H417" s="44"/>
    </row>
    <row r="418" ht="15.75" customHeight="1">
      <c r="H418" s="44"/>
    </row>
    <row r="419" ht="15.75" customHeight="1">
      <c r="H419" s="44"/>
    </row>
    <row r="420" ht="15.75" customHeight="1">
      <c r="H420" s="44"/>
    </row>
    <row r="421" ht="15.75" customHeight="1">
      <c r="H421" s="44"/>
    </row>
    <row r="422" ht="15.75" customHeight="1">
      <c r="H422" s="44"/>
    </row>
    <row r="423" ht="15.75" customHeight="1">
      <c r="H423" s="44"/>
    </row>
    <row r="424" ht="15.75" customHeight="1">
      <c r="H424" s="44"/>
    </row>
    <row r="425" ht="15.75" customHeight="1">
      <c r="H425" s="44"/>
    </row>
    <row r="426" ht="15.75" customHeight="1">
      <c r="H426" s="44"/>
    </row>
    <row r="427" ht="15.75" customHeight="1">
      <c r="H427" s="44"/>
    </row>
    <row r="428" ht="15.75" customHeight="1">
      <c r="H428" s="44"/>
    </row>
    <row r="429" ht="15.75" customHeight="1">
      <c r="H429" s="44"/>
    </row>
    <row r="430" ht="15.75" customHeight="1">
      <c r="H430" s="44"/>
    </row>
    <row r="431" ht="15.75" customHeight="1">
      <c r="H431" s="44"/>
    </row>
    <row r="432" ht="15.75" customHeight="1">
      <c r="H432" s="44"/>
    </row>
    <row r="433" ht="15.75" customHeight="1">
      <c r="H433" s="44"/>
    </row>
    <row r="434" ht="15.75" customHeight="1">
      <c r="H434" s="44"/>
    </row>
    <row r="435" ht="15.75" customHeight="1">
      <c r="H435" s="44"/>
    </row>
    <row r="436" ht="15.75" customHeight="1">
      <c r="H436" s="44"/>
    </row>
    <row r="437" ht="15.75" customHeight="1">
      <c r="H437" s="44"/>
    </row>
    <row r="438" ht="15.75" customHeight="1">
      <c r="H438" s="44"/>
    </row>
    <row r="439" ht="15.75" customHeight="1">
      <c r="H439" s="44"/>
    </row>
    <row r="440" ht="15.75" customHeight="1">
      <c r="H440" s="44"/>
    </row>
    <row r="441" ht="15.75" customHeight="1">
      <c r="H441" s="44"/>
    </row>
    <row r="442" ht="15.75" customHeight="1">
      <c r="H442" s="44"/>
    </row>
    <row r="443" ht="15.75" customHeight="1">
      <c r="H443" s="44"/>
    </row>
    <row r="444" ht="15.75" customHeight="1">
      <c r="H444" s="44"/>
    </row>
    <row r="445" ht="15.75" customHeight="1">
      <c r="H445" s="44"/>
    </row>
    <row r="446" ht="15.75" customHeight="1">
      <c r="H446" s="44"/>
    </row>
    <row r="447" ht="15.75" customHeight="1">
      <c r="H447" s="44"/>
    </row>
    <row r="448" ht="15.75" customHeight="1">
      <c r="H448" s="44"/>
    </row>
    <row r="449" ht="15.75" customHeight="1">
      <c r="H449" s="44"/>
    </row>
    <row r="450" ht="15.75" customHeight="1">
      <c r="H450" s="44"/>
    </row>
    <row r="451" ht="15.75" customHeight="1">
      <c r="H451" s="44"/>
    </row>
    <row r="452" ht="15.75" customHeight="1">
      <c r="H452" s="44"/>
    </row>
    <row r="453" ht="15.75" customHeight="1">
      <c r="H453" s="44"/>
    </row>
    <row r="454" ht="15.75" customHeight="1">
      <c r="H454" s="44"/>
    </row>
    <row r="455" ht="15.75" customHeight="1">
      <c r="H455" s="44"/>
    </row>
    <row r="456" ht="15.75" customHeight="1">
      <c r="H456" s="44"/>
    </row>
    <row r="457" ht="15.75" customHeight="1">
      <c r="H457" s="44"/>
    </row>
    <row r="458" ht="15.75" customHeight="1">
      <c r="H458" s="44"/>
    </row>
    <row r="459" ht="15.75" customHeight="1">
      <c r="H459" s="44"/>
    </row>
    <row r="460" ht="15.75" customHeight="1">
      <c r="H460" s="44"/>
    </row>
    <row r="461" ht="15.75" customHeight="1">
      <c r="H461" s="44"/>
    </row>
    <row r="462" ht="15.75" customHeight="1">
      <c r="H462" s="44"/>
    </row>
    <row r="463" ht="15.75" customHeight="1">
      <c r="H463" s="44"/>
    </row>
    <row r="464" ht="15.75" customHeight="1">
      <c r="H464" s="44"/>
    </row>
    <row r="465" ht="15.75" customHeight="1">
      <c r="H465" s="44"/>
    </row>
    <row r="466" ht="15.75" customHeight="1">
      <c r="H466" s="44"/>
    </row>
    <row r="467" ht="15.75" customHeight="1">
      <c r="H467" s="44"/>
    </row>
    <row r="468" ht="15.75" customHeight="1">
      <c r="H468" s="44"/>
    </row>
    <row r="469" ht="15.75" customHeight="1">
      <c r="H469" s="44"/>
    </row>
    <row r="470" ht="15.75" customHeight="1">
      <c r="H470" s="44"/>
    </row>
    <row r="471" ht="15.75" customHeight="1">
      <c r="H471" s="44"/>
    </row>
    <row r="472" ht="15.75" customHeight="1">
      <c r="H472" s="44"/>
    </row>
    <row r="473" ht="15.75" customHeight="1">
      <c r="H473" s="44"/>
    </row>
    <row r="474" ht="15.75" customHeight="1">
      <c r="H474" s="44"/>
    </row>
    <row r="475" ht="15.75" customHeight="1">
      <c r="H475" s="44"/>
    </row>
    <row r="476" ht="15.75" customHeight="1">
      <c r="H476" s="44"/>
    </row>
    <row r="477" ht="15.75" customHeight="1">
      <c r="H477" s="44"/>
    </row>
    <row r="478" ht="15.75" customHeight="1">
      <c r="H478" s="44"/>
    </row>
    <row r="479" ht="15.75" customHeight="1">
      <c r="H479" s="44"/>
    </row>
    <row r="480" ht="15.75" customHeight="1">
      <c r="H480" s="44"/>
    </row>
    <row r="481" ht="15.75" customHeight="1">
      <c r="H481" s="44"/>
    </row>
    <row r="482" ht="15.75" customHeight="1">
      <c r="H482" s="44"/>
    </row>
    <row r="483" ht="15.75" customHeight="1">
      <c r="H483" s="44"/>
    </row>
    <row r="484" ht="15.75" customHeight="1">
      <c r="H484" s="44"/>
    </row>
    <row r="485" ht="15.75" customHeight="1">
      <c r="H485" s="44"/>
    </row>
    <row r="486" ht="15.75" customHeight="1">
      <c r="H486" s="44"/>
    </row>
    <row r="487" ht="15.75" customHeight="1">
      <c r="H487" s="44"/>
    </row>
    <row r="488" ht="15.75" customHeight="1">
      <c r="H488" s="44"/>
    </row>
    <row r="489" ht="15.75" customHeight="1">
      <c r="H489" s="44"/>
    </row>
    <row r="490" ht="15.75" customHeight="1">
      <c r="H490" s="44"/>
    </row>
    <row r="491" ht="15.75" customHeight="1">
      <c r="H491" s="44"/>
    </row>
    <row r="492" ht="15.75" customHeight="1">
      <c r="H492" s="44"/>
    </row>
    <row r="493" ht="15.75" customHeight="1">
      <c r="H493" s="44"/>
    </row>
    <row r="494" ht="15.75" customHeight="1">
      <c r="H494" s="44"/>
    </row>
    <row r="495" ht="15.75" customHeight="1">
      <c r="H495" s="44"/>
    </row>
    <row r="496" ht="15.75" customHeight="1">
      <c r="H496" s="44"/>
    </row>
    <row r="497" ht="15.75" customHeight="1">
      <c r="H497" s="44"/>
    </row>
    <row r="498" ht="15.75" customHeight="1">
      <c r="H498" s="44"/>
    </row>
    <row r="499" ht="15.75" customHeight="1">
      <c r="H499" s="44"/>
    </row>
    <row r="500" ht="15.75" customHeight="1">
      <c r="H500" s="44"/>
    </row>
    <row r="501" ht="15.75" customHeight="1">
      <c r="H501" s="44"/>
    </row>
    <row r="502" ht="15.75" customHeight="1">
      <c r="H502" s="44"/>
    </row>
    <row r="503" ht="15.75" customHeight="1">
      <c r="H503" s="44"/>
    </row>
    <row r="504" ht="15.75" customHeight="1">
      <c r="H504" s="44"/>
    </row>
    <row r="505" ht="15.75" customHeight="1">
      <c r="H505" s="44"/>
    </row>
    <row r="506" ht="15.75" customHeight="1">
      <c r="H506" s="44"/>
    </row>
    <row r="507" ht="15.75" customHeight="1">
      <c r="H507" s="44"/>
    </row>
    <row r="508" ht="15.75" customHeight="1">
      <c r="H508" s="44"/>
    </row>
    <row r="509" ht="15.75" customHeight="1">
      <c r="H509" s="44"/>
    </row>
    <row r="510" ht="15.75" customHeight="1">
      <c r="H510" s="44"/>
    </row>
    <row r="511" ht="15.75" customHeight="1">
      <c r="H511" s="44"/>
    </row>
    <row r="512" ht="15.75" customHeight="1">
      <c r="H512" s="44"/>
    </row>
    <row r="513" ht="15.75" customHeight="1">
      <c r="H513" s="44"/>
    </row>
    <row r="514" ht="15.75" customHeight="1">
      <c r="H514" s="44"/>
    </row>
    <row r="515" ht="15.75" customHeight="1">
      <c r="H515" s="44"/>
    </row>
    <row r="516" ht="15.75" customHeight="1">
      <c r="H516" s="44"/>
    </row>
    <row r="517" ht="15.75" customHeight="1">
      <c r="H517" s="44"/>
    </row>
    <row r="518" ht="15.75" customHeight="1">
      <c r="H518" s="44"/>
    </row>
    <row r="519" ht="15.75" customHeight="1">
      <c r="H519" s="44"/>
    </row>
    <row r="520" ht="15.75" customHeight="1">
      <c r="H520" s="44"/>
    </row>
    <row r="521" ht="15.75" customHeight="1">
      <c r="H521" s="44"/>
    </row>
    <row r="522" ht="15.75" customHeight="1">
      <c r="H522" s="44"/>
    </row>
    <row r="523" ht="15.75" customHeight="1">
      <c r="H523" s="44"/>
    </row>
    <row r="524" ht="15.75" customHeight="1">
      <c r="H524" s="44"/>
    </row>
    <row r="525" ht="15.75" customHeight="1">
      <c r="H525" s="44"/>
    </row>
    <row r="526" ht="15.75" customHeight="1">
      <c r="H526" s="44"/>
    </row>
    <row r="527" ht="15.75" customHeight="1">
      <c r="H527" s="44"/>
    </row>
    <row r="528" ht="15.75" customHeight="1">
      <c r="H528" s="44"/>
    </row>
    <row r="529" ht="15.75" customHeight="1">
      <c r="H529" s="44"/>
    </row>
    <row r="530" ht="15.75" customHeight="1">
      <c r="H530" s="44"/>
    </row>
    <row r="531" ht="15.75" customHeight="1">
      <c r="H531" s="44"/>
    </row>
    <row r="532" ht="15.75" customHeight="1">
      <c r="H532" s="44"/>
    </row>
    <row r="533" ht="15.75" customHeight="1">
      <c r="H533" s="44"/>
    </row>
    <row r="534" ht="15.75" customHeight="1">
      <c r="H534" s="44"/>
    </row>
    <row r="535" ht="15.75" customHeight="1">
      <c r="H535" s="44"/>
    </row>
    <row r="536" ht="15.75" customHeight="1">
      <c r="H536" s="44"/>
    </row>
    <row r="537" ht="15.75" customHeight="1">
      <c r="H537" s="44"/>
    </row>
    <row r="538" ht="15.75" customHeight="1">
      <c r="H538" s="44"/>
    </row>
    <row r="539" ht="15.75" customHeight="1">
      <c r="H539" s="44"/>
    </row>
    <row r="540" ht="15.75" customHeight="1">
      <c r="H540" s="44"/>
    </row>
    <row r="541" ht="15.75" customHeight="1">
      <c r="H541" s="44"/>
    </row>
    <row r="542" ht="15.75" customHeight="1">
      <c r="H542" s="44"/>
    </row>
    <row r="543" ht="15.75" customHeight="1">
      <c r="H543" s="44"/>
    </row>
    <row r="544" ht="15.75" customHeight="1">
      <c r="H544" s="44"/>
    </row>
    <row r="545" ht="15.75" customHeight="1">
      <c r="H545" s="44"/>
    </row>
    <row r="546" ht="15.75" customHeight="1">
      <c r="H546" s="44"/>
    </row>
    <row r="547" ht="15.75" customHeight="1">
      <c r="H547" s="44"/>
    </row>
    <row r="548" ht="15.75" customHeight="1">
      <c r="H548" s="44"/>
    </row>
    <row r="549" ht="15.75" customHeight="1">
      <c r="H549" s="44"/>
    </row>
    <row r="550" ht="15.75" customHeight="1">
      <c r="H550" s="44"/>
    </row>
    <row r="551" ht="15.75" customHeight="1">
      <c r="H551" s="44"/>
    </row>
    <row r="552" ht="15.75" customHeight="1">
      <c r="H552" s="44"/>
    </row>
    <row r="553" ht="15.75" customHeight="1">
      <c r="H553" s="44"/>
    </row>
    <row r="554" ht="15.75" customHeight="1">
      <c r="H554" s="44"/>
    </row>
    <row r="555" ht="15.75" customHeight="1">
      <c r="H555" s="44"/>
    </row>
    <row r="556" ht="15.75" customHeight="1">
      <c r="H556" s="44"/>
    </row>
    <row r="557" ht="15.75" customHeight="1">
      <c r="H557" s="44"/>
    </row>
    <row r="558" ht="15.75" customHeight="1">
      <c r="H558" s="44"/>
    </row>
    <row r="559" ht="15.75" customHeight="1">
      <c r="H559" s="44"/>
    </row>
    <row r="560" ht="15.75" customHeight="1">
      <c r="H560" s="44"/>
    </row>
    <row r="561" ht="15.75" customHeight="1">
      <c r="H561" s="44"/>
    </row>
    <row r="562" ht="15.75" customHeight="1">
      <c r="H562" s="44"/>
    </row>
    <row r="563" ht="15.75" customHeight="1">
      <c r="H563" s="44"/>
    </row>
    <row r="564" ht="15.75" customHeight="1">
      <c r="H564" s="44"/>
    </row>
    <row r="565" ht="15.75" customHeight="1">
      <c r="H565" s="44"/>
    </row>
    <row r="566" ht="15.75" customHeight="1">
      <c r="H566" s="44"/>
    </row>
    <row r="567" ht="15.75" customHeight="1">
      <c r="H567" s="44"/>
    </row>
    <row r="568" ht="15.75" customHeight="1">
      <c r="H568" s="44"/>
    </row>
    <row r="569" ht="15.75" customHeight="1">
      <c r="H569" s="44"/>
    </row>
    <row r="570" ht="15.75" customHeight="1">
      <c r="H570" s="44"/>
    </row>
    <row r="571" ht="15.75" customHeight="1">
      <c r="H571" s="44"/>
    </row>
    <row r="572" ht="15.75" customHeight="1">
      <c r="H572" s="44"/>
    </row>
    <row r="573" ht="15.75" customHeight="1">
      <c r="H573" s="44"/>
    </row>
    <row r="574" ht="15.75" customHeight="1">
      <c r="H574" s="44"/>
    </row>
    <row r="575" ht="15.75" customHeight="1">
      <c r="H575" s="44"/>
    </row>
    <row r="576" ht="15.75" customHeight="1">
      <c r="H576" s="44"/>
    </row>
    <row r="577" ht="15.75" customHeight="1">
      <c r="H577" s="44"/>
    </row>
    <row r="578" ht="15.75" customHeight="1">
      <c r="H578" s="44"/>
    </row>
    <row r="579" ht="15.75" customHeight="1">
      <c r="H579" s="44"/>
    </row>
    <row r="580" ht="15.75" customHeight="1">
      <c r="H580" s="44"/>
    </row>
    <row r="581" ht="15.75" customHeight="1">
      <c r="H581" s="44"/>
    </row>
    <row r="582" ht="15.75" customHeight="1">
      <c r="H582" s="44"/>
    </row>
    <row r="583" ht="15.75" customHeight="1">
      <c r="H583" s="44"/>
    </row>
    <row r="584" ht="15.75" customHeight="1">
      <c r="H584" s="44"/>
    </row>
    <row r="585" ht="15.75" customHeight="1">
      <c r="H585" s="44"/>
    </row>
    <row r="586" ht="15.75" customHeight="1">
      <c r="H586" s="44"/>
    </row>
    <row r="587" ht="15.75" customHeight="1">
      <c r="H587" s="44"/>
    </row>
    <row r="588" ht="15.75" customHeight="1">
      <c r="H588" s="44"/>
    </row>
    <row r="589" ht="15.75" customHeight="1">
      <c r="H589" s="44"/>
    </row>
    <row r="590" ht="15.75" customHeight="1">
      <c r="H590" s="44"/>
    </row>
    <row r="591" ht="15.75" customHeight="1">
      <c r="H591" s="44"/>
    </row>
    <row r="592" ht="15.75" customHeight="1">
      <c r="H592" s="44"/>
    </row>
    <row r="593" ht="15.75" customHeight="1">
      <c r="H593" s="44"/>
    </row>
    <row r="594" ht="15.75" customHeight="1">
      <c r="H594" s="44"/>
    </row>
    <row r="595" ht="15.75" customHeight="1">
      <c r="H595" s="44"/>
    </row>
    <row r="596" ht="15.75" customHeight="1">
      <c r="H596" s="44"/>
    </row>
    <row r="597" ht="15.75" customHeight="1">
      <c r="H597" s="44"/>
    </row>
    <row r="598" ht="15.75" customHeight="1">
      <c r="H598" s="44"/>
    </row>
    <row r="599" ht="15.75" customHeight="1">
      <c r="H599" s="44"/>
    </row>
    <row r="600" ht="15.75" customHeight="1">
      <c r="H600" s="44"/>
    </row>
    <row r="601" ht="15.75" customHeight="1">
      <c r="H601" s="44"/>
    </row>
    <row r="602" ht="15.75" customHeight="1">
      <c r="H602" s="44"/>
    </row>
    <row r="603" ht="15.75" customHeight="1">
      <c r="H603" s="44"/>
    </row>
    <row r="604" ht="15.75" customHeight="1">
      <c r="H604" s="44"/>
    </row>
    <row r="605" ht="15.75" customHeight="1">
      <c r="H605" s="44"/>
    </row>
    <row r="606" ht="15.75" customHeight="1">
      <c r="H606" s="44"/>
    </row>
    <row r="607" ht="15.75" customHeight="1">
      <c r="H607" s="44"/>
    </row>
    <row r="608" ht="15.75" customHeight="1">
      <c r="H608" s="44"/>
    </row>
    <row r="609" ht="15.75" customHeight="1">
      <c r="H609" s="44"/>
    </row>
    <row r="610" ht="15.75" customHeight="1">
      <c r="H610" s="44"/>
    </row>
    <row r="611" ht="15.75" customHeight="1">
      <c r="H611" s="44"/>
    </row>
    <row r="612" ht="15.75" customHeight="1">
      <c r="H612" s="44"/>
    </row>
    <row r="613" ht="15.75" customHeight="1">
      <c r="H613" s="44"/>
    </row>
    <row r="614" ht="15.75" customHeight="1">
      <c r="H614" s="44"/>
    </row>
    <row r="615" ht="15.75" customHeight="1">
      <c r="H615" s="44"/>
    </row>
    <row r="616" ht="15.75" customHeight="1">
      <c r="H616" s="44"/>
    </row>
    <row r="617" ht="15.75" customHeight="1">
      <c r="H617" s="44"/>
    </row>
    <row r="618" ht="15.75" customHeight="1">
      <c r="H618" s="44"/>
    </row>
    <row r="619" ht="15.75" customHeight="1">
      <c r="H619" s="44"/>
    </row>
    <row r="620" ht="15.75" customHeight="1">
      <c r="H620" s="44"/>
    </row>
    <row r="621" ht="15.75" customHeight="1">
      <c r="H621" s="44"/>
    </row>
    <row r="622" ht="15.75" customHeight="1">
      <c r="H622" s="44"/>
    </row>
    <row r="623" ht="15.75" customHeight="1">
      <c r="H623" s="44"/>
    </row>
    <row r="624" ht="15.75" customHeight="1">
      <c r="H624" s="44"/>
    </row>
    <row r="625" ht="15.75" customHeight="1">
      <c r="H625" s="44"/>
    </row>
    <row r="626" ht="15.75" customHeight="1">
      <c r="H626" s="44"/>
    </row>
    <row r="627" ht="15.75" customHeight="1">
      <c r="H627" s="44"/>
    </row>
    <row r="628" ht="15.75" customHeight="1">
      <c r="H628" s="44"/>
    </row>
    <row r="629" ht="15.75" customHeight="1">
      <c r="H629" s="44"/>
    </row>
    <row r="630" ht="15.75" customHeight="1">
      <c r="H630" s="44"/>
    </row>
    <row r="631" ht="15.75" customHeight="1">
      <c r="H631" s="44"/>
    </row>
    <row r="632" ht="15.75" customHeight="1">
      <c r="H632" s="44"/>
    </row>
    <row r="633" ht="15.75" customHeight="1">
      <c r="H633" s="44"/>
    </row>
    <row r="634" ht="15.75" customHeight="1">
      <c r="H634" s="44"/>
    </row>
    <row r="635" ht="15.75" customHeight="1">
      <c r="H635" s="44"/>
    </row>
    <row r="636" ht="15.75" customHeight="1">
      <c r="H636" s="44"/>
    </row>
    <row r="637" ht="15.75" customHeight="1">
      <c r="H637" s="44"/>
    </row>
    <row r="638" ht="15.75" customHeight="1">
      <c r="H638" s="44"/>
    </row>
    <row r="639" ht="15.75" customHeight="1">
      <c r="H639" s="44"/>
    </row>
    <row r="640" ht="15.75" customHeight="1">
      <c r="H640" s="44"/>
    </row>
    <row r="641" ht="15.75" customHeight="1">
      <c r="H641" s="44"/>
    </row>
    <row r="642" ht="15.75" customHeight="1">
      <c r="H642" s="44"/>
    </row>
    <row r="643" ht="15.75" customHeight="1">
      <c r="H643" s="44"/>
    </row>
    <row r="644" ht="15.75" customHeight="1">
      <c r="H644" s="44"/>
    </row>
    <row r="645" ht="15.75" customHeight="1">
      <c r="H645" s="44"/>
    </row>
    <row r="646" ht="15.75" customHeight="1">
      <c r="H646" s="44"/>
    </row>
    <row r="647" ht="15.75" customHeight="1">
      <c r="H647" s="44"/>
    </row>
    <row r="648" ht="15.75" customHeight="1">
      <c r="H648" s="44"/>
    </row>
    <row r="649" ht="15.75" customHeight="1">
      <c r="H649" s="44"/>
    </row>
    <row r="650" ht="15.75" customHeight="1">
      <c r="H650" s="44"/>
    </row>
    <row r="651" ht="15.75" customHeight="1">
      <c r="H651" s="44"/>
    </row>
    <row r="652" ht="15.75" customHeight="1">
      <c r="H652" s="44"/>
    </row>
    <row r="653" ht="15.75" customHeight="1">
      <c r="H653" s="44"/>
    </row>
    <row r="654" ht="15.75" customHeight="1">
      <c r="H654" s="44"/>
    </row>
    <row r="655" ht="15.75" customHeight="1">
      <c r="H655" s="44"/>
    </row>
    <row r="656" ht="15.75" customHeight="1">
      <c r="H656" s="44"/>
    </row>
    <row r="657" ht="15.75" customHeight="1">
      <c r="H657" s="44"/>
    </row>
    <row r="658" ht="15.75" customHeight="1">
      <c r="H658" s="44"/>
    </row>
    <row r="659" ht="15.75" customHeight="1">
      <c r="H659" s="44"/>
    </row>
    <row r="660" ht="15.75" customHeight="1">
      <c r="H660" s="44"/>
    </row>
    <row r="661" ht="15.75" customHeight="1">
      <c r="H661" s="44"/>
    </row>
    <row r="662" ht="15.75" customHeight="1">
      <c r="H662" s="44"/>
    </row>
    <row r="663" ht="15.75" customHeight="1">
      <c r="H663" s="44"/>
    </row>
    <row r="664" ht="15.75" customHeight="1">
      <c r="H664" s="44"/>
    </row>
    <row r="665" ht="15.75" customHeight="1">
      <c r="H665" s="44"/>
    </row>
    <row r="666" ht="15.75" customHeight="1">
      <c r="H666" s="44"/>
    </row>
    <row r="667" ht="15.75" customHeight="1">
      <c r="H667" s="44"/>
    </row>
    <row r="668" ht="15.75" customHeight="1">
      <c r="H668" s="44"/>
    </row>
    <row r="669" ht="15.75" customHeight="1">
      <c r="H669" s="44"/>
    </row>
    <row r="670" ht="15.75" customHeight="1">
      <c r="H670" s="44"/>
    </row>
    <row r="671" ht="15.75" customHeight="1">
      <c r="H671" s="44"/>
    </row>
    <row r="672" ht="15.75" customHeight="1">
      <c r="H672" s="44"/>
    </row>
    <row r="673" ht="15.75" customHeight="1">
      <c r="H673" s="44"/>
    </row>
    <row r="674" ht="15.75" customHeight="1">
      <c r="H674" s="44"/>
    </row>
    <row r="675" ht="15.75" customHeight="1">
      <c r="H675" s="44"/>
    </row>
    <row r="676" ht="15.75" customHeight="1">
      <c r="H676" s="44"/>
    </row>
    <row r="677" ht="15.75" customHeight="1">
      <c r="H677" s="44"/>
    </row>
    <row r="678" ht="15.75" customHeight="1">
      <c r="H678" s="44"/>
    </row>
    <row r="679" ht="15.75" customHeight="1">
      <c r="H679" s="44"/>
    </row>
    <row r="680" ht="15.75" customHeight="1">
      <c r="H680" s="44"/>
    </row>
    <row r="681" ht="15.75" customHeight="1">
      <c r="H681" s="44"/>
    </row>
    <row r="682" ht="15.75" customHeight="1">
      <c r="H682" s="44"/>
    </row>
    <row r="683" ht="15.75" customHeight="1">
      <c r="H683" s="44"/>
    </row>
    <row r="684" ht="15.75" customHeight="1">
      <c r="H684" s="44"/>
    </row>
    <row r="685" ht="15.75" customHeight="1">
      <c r="H685" s="44"/>
    </row>
    <row r="686" ht="15.75" customHeight="1">
      <c r="H686" s="44"/>
    </row>
    <row r="687" ht="15.75" customHeight="1">
      <c r="H687" s="44"/>
    </row>
    <row r="688" ht="15.75" customHeight="1">
      <c r="H688" s="44"/>
    </row>
    <row r="689" ht="15.75" customHeight="1">
      <c r="H689" s="44"/>
    </row>
    <row r="690" ht="15.75" customHeight="1">
      <c r="H690" s="44"/>
    </row>
    <row r="691" ht="15.75" customHeight="1">
      <c r="H691" s="44"/>
    </row>
    <row r="692" ht="15.75" customHeight="1">
      <c r="H692" s="44"/>
    </row>
    <row r="693" ht="15.75" customHeight="1">
      <c r="H693" s="44"/>
    </row>
    <row r="694" ht="15.75" customHeight="1">
      <c r="H694" s="44"/>
    </row>
    <row r="695" ht="15.75" customHeight="1">
      <c r="H695" s="44"/>
    </row>
    <row r="696" ht="15.75" customHeight="1">
      <c r="H696" s="44"/>
    </row>
    <row r="697" ht="15.75" customHeight="1">
      <c r="H697" s="44"/>
    </row>
    <row r="698" ht="15.75" customHeight="1">
      <c r="H698" s="44"/>
    </row>
    <row r="699" ht="15.75" customHeight="1">
      <c r="H699" s="44"/>
    </row>
    <row r="700" ht="15.75" customHeight="1">
      <c r="H700" s="44"/>
    </row>
    <row r="701" ht="15.75" customHeight="1">
      <c r="H701" s="44"/>
    </row>
    <row r="702" ht="15.75" customHeight="1">
      <c r="H702" s="44"/>
    </row>
    <row r="703" ht="15.75" customHeight="1">
      <c r="H703" s="44"/>
    </row>
    <row r="704" ht="15.75" customHeight="1">
      <c r="H704" s="44"/>
    </row>
    <row r="705" ht="15.75" customHeight="1">
      <c r="H705" s="44"/>
    </row>
    <row r="706" ht="15.75" customHeight="1">
      <c r="H706" s="44"/>
    </row>
    <row r="707" ht="15.75" customHeight="1">
      <c r="H707" s="44"/>
    </row>
    <row r="708" ht="15.75" customHeight="1">
      <c r="H708" s="44"/>
    </row>
    <row r="709" ht="15.75" customHeight="1">
      <c r="H709" s="44"/>
    </row>
    <row r="710" ht="15.75" customHeight="1">
      <c r="H710" s="44"/>
    </row>
    <row r="711" ht="15.75" customHeight="1">
      <c r="H711" s="44"/>
    </row>
    <row r="712" ht="15.75" customHeight="1">
      <c r="H712" s="44"/>
    </row>
    <row r="713" ht="15.75" customHeight="1">
      <c r="H713" s="44"/>
    </row>
    <row r="714" ht="15.75" customHeight="1">
      <c r="H714" s="44"/>
    </row>
    <row r="715" ht="15.75" customHeight="1">
      <c r="H715" s="44"/>
    </row>
    <row r="716" ht="15.75" customHeight="1">
      <c r="H716" s="44"/>
    </row>
    <row r="717" ht="15.75" customHeight="1">
      <c r="H717" s="44"/>
    </row>
    <row r="718" ht="15.75" customHeight="1">
      <c r="H718" s="44"/>
    </row>
    <row r="719" ht="15.75" customHeight="1">
      <c r="H719" s="44"/>
    </row>
    <row r="720" ht="15.75" customHeight="1">
      <c r="H720" s="44"/>
    </row>
    <row r="721" ht="15.75" customHeight="1">
      <c r="H721" s="44"/>
    </row>
    <row r="722" ht="15.75" customHeight="1">
      <c r="H722" s="44"/>
    </row>
    <row r="723" ht="15.75" customHeight="1">
      <c r="H723" s="44"/>
    </row>
    <row r="724" ht="15.75" customHeight="1">
      <c r="H724" s="44"/>
    </row>
    <row r="725" ht="15.75" customHeight="1">
      <c r="H725" s="44"/>
    </row>
    <row r="726" ht="15.75" customHeight="1">
      <c r="H726" s="44"/>
    </row>
    <row r="727" ht="15.75" customHeight="1">
      <c r="H727" s="44"/>
    </row>
    <row r="728" ht="15.75" customHeight="1">
      <c r="H728" s="44"/>
    </row>
    <row r="729" ht="15.75" customHeight="1">
      <c r="H729" s="44"/>
    </row>
    <row r="730" ht="15.75" customHeight="1">
      <c r="H730" s="44"/>
    </row>
    <row r="731" ht="15.75" customHeight="1">
      <c r="H731" s="44"/>
    </row>
    <row r="732" ht="15.75" customHeight="1">
      <c r="H732" s="44"/>
    </row>
    <row r="733" ht="15.75" customHeight="1">
      <c r="H733" s="44"/>
    </row>
    <row r="734" ht="15.75" customHeight="1">
      <c r="H734" s="44"/>
    </row>
    <row r="735" ht="15.75" customHeight="1">
      <c r="H735" s="44"/>
    </row>
    <row r="736" ht="15.75" customHeight="1">
      <c r="H736" s="44"/>
    </row>
    <row r="737" ht="15.75" customHeight="1">
      <c r="H737" s="44"/>
    </row>
    <row r="738" ht="15.75" customHeight="1">
      <c r="H738" s="44"/>
    </row>
    <row r="739" ht="15.75" customHeight="1">
      <c r="H739" s="44"/>
    </row>
    <row r="740" ht="15.75" customHeight="1">
      <c r="H740" s="44"/>
    </row>
    <row r="741" ht="15.75" customHeight="1">
      <c r="H741" s="44"/>
    </row>
    <row r="742" ht="15.75" customHeight="1">
      <c r="H742" s="44"/>
    </row>
    <row r="743" ht="15.75" customHeight="1">
      <c r="H743" s="44"/>
    </row>
    <row r="744" ht="15.75" customHeight="1">
      <c r="H744" s="44"/>
    </row>
    <row r="745" ht="15.75" customHeight="1">
      <c r="H745" s="44"/>
    </row>
    <row r="746" ht="15.75" customHeight="1">
      <c r="H746" s="44"/>
    </row>
    <row r="747" ht="15.75" customHeight="1">
      <c r="H747" s="44"/>
    </row>
    <row r="748" ht="15.75" customHeight="1">
      <c r="H748" s="44"/>
    </row>
    <row r="749" ht="15.75" customHeight="1">
      <c r="H749" s="44"/>
    </row>
    <row r="750" ht="15.75" customHeight="1">
      <c r="H750" s="44"/>
    </row>
    <row r="751" ht="15.75" customHeight="1">
      <c r="H751" s="44"/>
    </row>
    <row r="752" ht="15.75" customHeight="1">
      <c r="H752" s="44"/>
    </row>
    <row r="753" ht="15.75" customHeight="1">
      <c r="H753" s="44"/>
    </row>
    <row r="754" ht="15.75" customHeight="1">
      <c r="H754" s="44"/>
    </row>
    <row r="755" ht="15.75" customHeight="1">
      <c r="H755" s="44"/>
    </row>
    <row r="756" ht="15.75" customHeight="1">
      <c r="H756" s="44"/>
    </row>
    <row r="757" ht="15.75" customHeight="1">
      <c r="H757" s="44"/>
    </row>
    <row r="758" ht="15.75" customHeight="1">
      <c r="H758" s="44"/>
    </row>
    <row r="759" ht="15.75" customHeight="1">
      <c r="H759" s="44"/>
    </row>
    <row r="760" ht="15.75" customHeight="1">
      <c r="H760" s="44"/>
    </row>
    <row r="761" ht="15.75" customHeight="1">
      <c r="H761" s="44"/>
    </row>
    <row r="762" ht="15.75" customHeight="1">
      <c r="H762" s="44"/>
    </row>
    <row r="763" ht="15.75" customHeight="1">
      <c r="H763" s="44"/>
    </row>
    <row r="764" ht="15.75" customHeight="1">
      <c r="H764" s="44"/>
    </row>
    <row r="765" ht="15.75" customHeight="1">
      <c r="H765" s="44"/>
    </row>
    <row r="766" ht="15.75" customHeight="1">
      <c r="H766" s="44"/>
    </row>
    <row r="767" ht="15.75" customHeight="1">
      <c r="H767" s="44"/>
    </row>
    <row r="768" ht="15.75" customHeight="1">
      <c r="H768" s="44"/>
    </row>
    <row r="769" ht="15.75" customHeight="1">
      <c r="H769" s="44"/>
    </row>
    <row r="770" ht="15.75" customHeight="1">
      <c r="H770" s="44"/>
    </row>
    <row r="771" ht="15.75" customHeight="1">
      <c r="H771" s="44"/>
    </row>
    <row r="772" ht="15.75" customHeight="1">
      <c r="H772" s="44"/>
    </row>
    <row r="773" ht="15.75" customHeight="1">
      <c r="H773" s="44"/>
    </row>
    <row r="774" ht="15.75" customHeight="1">
      <c r="H774" s="44"/>
    </row>
    <row r="775" ht="15.75" customHeight="1">
      <c r="H775" s="44"/>
    </row>
    <row r="776" ht="15.75" customHeight="1">
      <c r="H776" s="44"/>
    </row>
    <row r="777" ht="15.75" customHeight="1">
      <c r="H777" s="44"/>
    </row>
    <row r="778" ht="15.75" customHeight="1">
      <c r="H778" s="44"/>
    </row>
    <row r="779" ht="15.75" customHeight="1">
      <c r="H779" s="44"/>
    </row>
    <row r="780" ht="15.75" customHeight="1">
      <c r="H780" s="44"/>
    </row>
    <row r="781" ht="15.75" customHeight="1">
      <c r="H781" s="44"/>
    </row>
    <row r="782" ht="15.75" customHeight="1">
      <c r="H782" s="44"/>
    </row>
    <row r="783" ht="15.75" customHeight="1">
      <c r="H783" s="44"/>
    </row>
    <row r="784" ht="15.75" customHeight="1">
      <c r="H784" s="44"/>
    </row>
    <row r="785" ht="15.75" customHeight="1">
      <c r="H785" s="44"/>
    </row>
    <row r="786" ht="15.75" customHeight="1">
      <c r="H786" s="44"/>
    </row>
    <row r="787" ht="15.75" customHeight="1">
      <c r="H787" s="44"/>
    </row>
    <row r="788" ht="15.75" customHeight="1">
      <c r="H788" s="44"/>
    </row>
    <row r="789" ht="15.75" customHeight="1">
      <c r="H789" s="44"/>
    </row>
    <row r="790" ht="15.75" customHeight="1">
      <c r="H790" s="44"/>
    </row>
    <row r="791" ht="15.75" customHeight="1">
      <c r="H791" s="44"/>
    </row>
    <row r="792" ht="15.75" customHeight="1">
      <c r="H792" s="44"/>
    </row>
    <row r="793" ht="15.75" customHeight="1">
      <c r="H793" s="44"/>
    </row>
    <row r="794" ht="15.75" customHeight="1">
      <c r="H794" s="44"/>
    </row>
    <row r="795" ht="15.75" customHeight="1">
      <c r="H795" s="44"/>
    </row>
    <row r="796" ht="15.75" customHeight="1">
      <c r="H796" s="44"/>
    </row>
    <row r="797" ht="15.75" customHeight="1">
      <c r="H797" s="44"/>
    </row>
    <row r="798" ht="15.75" customHeight="1">
      <c r="H798" s="44"/>
    </row>
    <row r="799" ht="15.75" customHeight="1">
      <c r="H799" s="44"/>
    </row>
    <row r="800" ht="15.75" customHeight="1">
      <c r="H800" s="44"/>
    </row>
    <row r="801" ht="15.75" customHeight="1">
      <c r="H801" s="44"/>
    </row>
    <row r="802" ht="15.75" customHeight="1">
      <c r="H802" s="44"/>
    </row>
    <row r="803" ht="15.75" customHeight="1">
      <c r="H803" s="44"/>
    </row>
    <row r="804" ht="15.75" customHeight="1">
      <c r="H804" s="44"/>
    </row>
    <row r="805" ht="15.75" customHeight="1">
      <c r="H805" s="44"/>
    </row>
    <row r="806" ht="15.75" customHeight="1">
      <c r="H806" s="44"/>
    </row>
    <row r="807" ht="15.75" customHeight="1">
      <c r="H807" s="44"/>
    </row>
    <row r="808" ht="15.75" customHeight="1">
      <c r="H808" s="44"/>
    </row>
    <row r="809" ht="15.75" customHeight="1">
      <c r="H809" s="44"/>
    </row>
    <row r="810" ht="15.75" customHeight="1">
      <c r="H810" s="44"/>
    </row>
    <row r="811" ht="15.75" customHeight="1">
      <c r="H811" s="44"/>
    </row>
    <row r="812" ht="15.75" customHeight="1">
      <c r="H812" s="44"/>
    </row>
    <row r="813" ht="15.75" customHeight="1">
      <c r="H813" s="44"/>
    </row>
    <row r="814" ht="15.75" customHeight="1">
      <c r="H814" s="44"/>
    </row>
    <row r="815" ht="15.75" customHeight="1">
      <c r="H815" s="44"/>
    </row>
    <row r="816" ht="15.75" customHeight="1">
      <c r="H816" s="44"/>
    </row>
    <row r="817" ht="15.75" customHeight="1">
      <c r="H817" s="44"/>
    </row>
    <row r="818" ht="15.75" customHeight="1">
      <c r="H818" s="44"/>
    </row>
    <row r="819" ht="15.75" customHeight="1">
      <c r="H819" s="44"/>
    </row>
    <row r="820" ht="15.75" customHeight="1">
      <c r="H820" s="44"/>
    </row>
    <row r="821" ht="15.75" customHeight="1">
      <c r="H821" s="44"/>
    </row>
    <row r="822" ht="15.75" customHeight="1">
      <c r="H822" s="44"/>
    </row>
    <row r="823" ht="15.75" customHeight="1">
      <c r="H823" s="44"/>
    </row>
    <row r="824" ht="15.75" customHeight="1">
      <c r="H824" s="44"/>
    </row>
    <row r="825" ht="15.75" customHeight="1">
      <c r="H825" s="44"/>
    </row>
    <row r="826" ht="15.75" customHeight="1">
      <c r="H826" s="44"/>
    </row>
    <row r="827" ht="15.75" customHeight="1">
      <c r="H827" s="44"/>
    </row>
    <row r="828" ht="15.75" customHeight="1">
      <c r="H828" s="44"/>
    </row>
    <row r="829" ht="15.75" customHeight="1">
      <c r="H829" s="44"/>
    </row>
    <row r="830" ht="15.75" customHeight="1">
      <c r="H830" s="44"/>
    </row>
    <row r="831" ht="15.75" customHeight="1">
      <c r="H831" s="44"/>
    </row>
    <row r="832" ht="15.75" customHeight="1">
      <c r="H832" s="44"/>
    </row>
    <row r="833" ht="15.75" customHeight="1">
      <c r="H833" s="44"/>
    </row>
    <row r="834" ht="15.75" customHeight="1">
      <c r="H834" s="44"/>
    </row>
    <row r="835" ht="15.75" customHeight="1">
      <c r="H835" s="44"/>
    </row>
    <row r="836" ht="15.75" customHeight="1">
      <c r="H836" s="44"/>
    </row>
    <row r="837" ht="15.75" customHeight="1">
      <c r="H837" s="44"/>
    </row>
    <row r="838" ht="15.75" customHeight="1">
      <c r="H838" s="44"/>
    </row>
    <row r="839" ht="15.75" customHeight="1">
      <c r="H839" s="44"/>
    </row>
    <row r="840" ht="15.75" customHeight="1">
      <c r="H840" s="44"/>
    </row>
    <row r="841" ht="15.75" customHeight="1">
      <c r="H841" s="44"/>
    </row>
    <row r="842" ht="15.75" customHeight="1">
      <c r="H842" s="44"/>
    </row>
    <row r="843" ht="15.75" customHeight="1">
      <c r="H843" s="44"/>
    </row>
    <row r="844" ht="15.75" customHeight="1">
      <c r="H844" s="44"/>
    </row>
    <row r="845" ht="15.75" customHeight="1">
      <c r="H845" s="44"/>
    </row>
    <row r="846" ht="15.75" customHeight="1">
      <c r="H846" s="44"/>
    </row>
    <row r="847" ht="15.75" customHeight="1">
      <c r="H847" s="44"/>
    </row>
    <row r="848" ht="15.75" customHeight="1">
      <c r="H848" s="44"/>
    </row>
    <row r="849" ht="15.75" customHeight="1">
      <c r="H849" s="44"/>
    </row>
    <row r="850" ht="15.75" customHeight="1">
      <c r="H850" s="44"/>
    </row>
    <row r="851" ht="15.75" customHeight="1">
      <c r="H851" s="44"/>
    </row>
    <row r="852" ht="15.75" customHeight="1">
      <c r="H852" s="44"/>
    </row>
    <row r="853" ht="15.75" customHeight="1">
      <c r="H853" s="44"/>
    </row>
    <row r="854" ht="15.75" customHeight="1">
      <c r="H854" s="44"/>
    </row>
    <row r="855" ht="15.75" customHeight="1">
      <c r="H855" s="44"/>
    </row>
    <row r="856" ht="15.75" customHeight="1">
      <c r="H856" s="44"/>
    </row>
    <row r="857" ht="15.75" customHeight="1">
      <c r="H857" s="44"/>
    </row>
    <row r="858" ht="15.75" customHeight="1">
      <c r="H858" s="44"/>
    </row>
    <row r="859" ht="15.75" customHeight="1">
      <c r="H859" s="44"/>
    </row>
    <row r="860" ht="15.75" customHeight="1">
      <c r="H860" s="44"/>
    </row>
    <row r="861" ht="15.75" customHeight="1">
      <c r="H861" s="44"/>
    </row>
    <row r="862" ht="15.75" customHeight="1">
      <c r="H862" s="44"/>
    </row>
    <row r="863" ht="15.75" customHeight="1">
      <c r="H863" s="44"/>
    </row>
    <row r="864" ht="15.75" customHeight="1">
      <c r="H864" s="44"/>
    </row>
    <row r="865" ht="15.75" customHeight="1">
      <c r="H865" s="44"/>
    </row>
    <row r="866" ht="15.75" customHeight="1">
      <c r="H866" s="44"/>
    </row>
    <row r="867" ht="15.75" customHeight="1">
      <c r="H867" s="44"/>
    </row>
    <row r="868" ht="15.75" customHeight="1">
      <c r="H868" s="44"/>
    </row>
    <row r="869" ht="15.75" customHeight="1">
      <c r="H869" s="44"/>
    </row>
    <row r="870" ht="15.75" customHeight="1">
      <c r="H870" s="44"/>
    </row>
    <row r="871" ht="15.75" customHeight="1">
      <c r="H871" s="44"/>
    </row>
    <row r="872" ht="15.75" customHeight="1">
      <c r="H872" s="44"/>
    </row>
    <row r="873" ht="15.75" customHeight="1">
      <c r="H873" s="44"/>
    </row>
    <row r="874" ht="15.75" customHeight="1">
      <c r="H874" s="44"/>
    </row>
    <row r="875" ht="15.75" customHeight="1">
      <c r="H875" s="44"/>
    </row>
    <row r="876" ht="15.75" customHeight="1">
      <c r="H876" s="44"/>
    </row>
    <row r="877" ht="15.75" customHeight="1">
      <c r="H877" s="44"/>
    </row>
    <row r="878" ht="15.75" customHeight="1">
      <c r="H878" s="44"/>
    </row>
    <row r="879" ht="15.75" customHeight="1">
      <c r="H879" s="44"/>
    </row>
    <row r="880" ht="15.75" customHeight="1">
      <c r="H880" s="44"/>
    </row>
    <row r="881" ht="15.75" customHeight="1">
      <c r="H881" s="44"/>
    </row>
    <row r="882" ht="15.75" customHeight="1">
      <c r="H882" s="44"/>
    </row>
    <row r="883" ht="15.75" customHeight="1">
      <c r="H883" s="44"/>
    </row>
    <row r="884" ht="15.75" customHeight="1">
      <c r="H884" s="44"/>
    </row>
    <row r="885" ht="15.75" customHeight="1">
      <c r="H885" s="44"/>
    </row>
    <row r="886" ht="15.75" customHeight="1">
      <c r="H886" s="44"/>
    </row>
    <row r="887" ht="15.75" customHeight="1">
      <c r="H887" s="44"/>
    </row>
    <row r="888" ht="15.75" customHeight="1">
      <c r="H888" s="44"/>
    </row>
    <row r="889" ht="15.75" customHeight="1">
      <c r="H889" s="44"/>
    </row>
    <row r="890" ht="15.75" customHeight="1">
      <c r="H890" s="44"/>
    </row>
    <row r="891" ht="15.75" customHeight="1">
      <c r="H891" s="44"/>
    </row>
    <row r="892" ht="15.75" customHeight="1">
      <c r="H892" s="44"/>
    </row>
    <row r="893" ht="15.75" customHeight="1">
      <c r="H893" s="44"/>
    </row>
    <row r="894" ht="15.75" customHeight="1">
      <c r="H894" s="44"/>
    </row>
    <row r="895" ht="15.75" customHeight="1">
      <c r="H895" s="44"/>
    </row>
    <row r="896" ht="15.75" customHeight="1">
      <c r="H896" s="44"/>
    </row>
    <row r="897" ht="15.75" customHeight="1">
      <c r="H897" s="44"/>
    </row>
    <row r="898" ht="15.75" customHeight="1">
      <c r="H898" s="44"/>
    </row>
    <row r="899" ht="15.75" customHeight="1">
      <c r="H899" s="44"/>
    </row>
    <row r="900" ht="15.75" customHeight="1">
      <c r="H900" s="44"/>
    </row>
    <row r="901" ht="15.75" customHeight="1">
      <c r="H901" s="44"/>
    </row>
    <row r="902" ht="15.75" customHeight="1">
      <c r="H902" s="44"/>
    </row>
    <row r="903" ht="15.75" customHeight="1">
      <c r="H903" s="44"/>
    </row>
    <row r="904" ht="15.75" customHeight="1">
      <c r="H904" s="44"/>
    </row>
    <row r="905" ht="15.75" customHeight="1">
      <c r="H905" s="44"/>
    </row>
    <row r="906" ht="15.75" customHeight="1">
      <c r="H906" s="44"/>
    </row>
    <row r="907" ht="15.75" customHeight="1">
      <c r="H907" s="44"/>
    </row>
    <row r="908" ht="15.75" customHeight="1">
      <c r="H908" s="44"/>
    </row>
    <row r="909" ht="15.75" customHeight="1">
      <c r="H909" s="44"/>
    </row>
    <row r="910" ht="15.75" customHeight="1">
      <c r="H910" s="44"/>
    </row>
    <row r="911" ht="15.75" customHeight="1">
      <c r="H911" s="44"/>
    </row>
    <row r="912" ht="15.75" customHeight="1">
      <c r="H912" s="44"/>
    </row>
    <row r="913" ht="15.75" customHeight="1">
      <c r="H913" s="44"/>
    </row>
    <row r="914" ht="15.75" customHeight="1">
      <c r="H914" s="44"/>
    </row>
    <row r="915" ht="15.75" customHeight="1">
      <c r="H915" s="44"/>
    </row>
    <row r="916" ht="15.75" customHeight="1">
      <c r="H916" s="44"/>
    </row>
    <row r="917" ht="15.75" customHeight="1">
      <c r="H917" s="44"/>
    </row>
    <row r="918" ht="15.75" customHeight="1">
      <c r="H918" s="44"/>
    </row>
    <row r="919" ht="15.75" customHeight="1">
      <c r="H919" s="44"/>
    </row>
    <row r="920" ht="15.75" customHeight="1">
      <c r="H920" s="44"/>
    </row>
    <row r="921" ht="15.75" customHeight="1">
      <c r="H921" s="44"/>
    </row>
    <row r="922" ht="15.75" customHeight="1">
      <c r="H922" s="44"/>
    </row>
    <row r="923" ht="15.75" customHeight="1">
      <c r="H923" s="44"/>
    </row>
    <row r="924" ht="15.75" customHeight="1">
      <c r="H924" s="44"/>
    </row>
    <row r="925" ht="15.75" customHeight="1">
      <c r="H925" s="44"/>
    </row>
    <row r="926" ht="15.75" customHeight="1">
      <c r="H926" s="44"/>
    </row>
    <row r="927" ht="15.75" customHeight="1">
      <c r="H927" s="44"/>
    </row>
    <row r="928" ht="15.75" customHeight="1">
      <c r="H928" s="44"/>
    </row>
    <row r="929" ht="15.75" customHeight="1">
      <c r="H929" s="44"/>
    </row>
    <row r="930" ht="15.75" customHeight="1">
      <c r="H930" s="44"/>
    </row>
    <row r="931" ht="15.75" customHeight="1">
      <c r="H931" s="44"/>
    </row>
    <row r="932" ht="15.75" customHeight="1">
      <c r="H932" s="44"/>
    </row>
    <row r="933" ht="15.75" customHeight="1">
      <c r="H933" s="44"/>
    </row>
    <row r="934" ht="15.75" customHeight="1">
      <c r="H934" s="44"/>
    </row>
    <row r="935" ht="15.75" customHeight="1">
      <c r="H935" s="44"/>
    </row>
    <row r="936" ht="15.75" customHeight="1">
      <c r="H936" s="44"/>
    </row>
    <row r="937" ht="15.75" customHeight="1">
      <c r="H937" s="44"/>
    </row>
    <row r="938" ht="15.75" customHeight="1">
      <c r="H938" s="44"/>
    </row>
    <row r="939" ht="15.75" customHeight="1">
      <c r="H939" s="44"/>
    </row>
    <row r="940" ht="15.75" customHeight="1">
      <c r="H940" s="44"/>
    </row>
    <row r="941" ht="15.75" customHeight="1">
      <c r="H941" s="44"/>
    </row>
    <row r="942" ht="15.75" customHeight="1">
      <c r="H942" s="44"/>
    </row>
    <row r="943" ht="15.75" customHeight="1">
      <c r="H943" s="44"/>
    </row>
    <row r="944" ht="15.75" customHeight="1">
      <c r="H944" s="44"/>
    </row>
    <row r="945" ht="15.75" customHeight="1">
      <c r="H945" s="44"/>
    </row>
    <row r="946" ht="15.75" customHeight="1">
      <c r="H946" s="44"/>
    </row>
    <row r="947" ht="15.75" customHeight="1">
      <c r="H947" s="44"/>
    </row>
    <row r="948" ht="15.75" customHeight="1">
      <c r="H948" s="44"/>
    </row>
    <row r="949" ht="15.75" customHeight="1">
      <c r="H949" s="44"/>
    </row>
    <row r="950" ht="15.75" customHeight="1">
      <c r="H950" s="44"/>
    </row>
    <row r="951" ht="15.75" customHeight="1">
      <c r="H951" s="44"/>
    </row>
    <row r="952" ht="15.75" customHeight="1">
      <c r="H952" s="44"/>
    </row>
    <row r="953" ht="15.75" customHeight="1">
      <c r="H953" s="44"/>
    </row>
    <row r="954" ht="15.75" customHeight="1">
      <c r="H954" s="44"/>
    </row>
    <row r="955" ht="15.75" customHeight="1">
      <c r="H955" s="44"/>
    </row>
    <row r="956" ht="15.75" customHeight="1">
      <c r="H956" s="44"/>
    </row>
    <row r="957" ht="15.75" customHeight="1">
      <c r="H957" s="44"/>
    </row>
    <row r="958" ht="15.75" customHeight="1">
      <c r="H958" s="44"/>
    </row>
    <row r="959" ht="15.75" customHeight="1">
      <c r="H959" s="44"/>
    </row>
    <row r="960" ht="15.75" customHeight="1">
      <c r="H960" s="44"/>
    </row>
    <row r="961" ht="15.75" customHeight="1">
      <c r="H961" s="44"/>
    </row>
    <row r="962" ht="15.75" customHeight="1">
      <c r="H962" s="44"/>
    </row>
    <row r="963" ht="15.75" customHeight="1">
      <c r="H963" s="44"/>
    </row>
    <row r="964" ht="15.75" customHeight="1">
      <c r="H964" s="44"/>
    </row>
    <row r="965" ht="15.75" customHeight="1">
      <c r="H965" s="44"/>
    </row>
    <row r="966" ht="15.75" customHeight="1">
      <c r="H966" s="44"/>
    </row>
    <row r="967" ht="15.75" customHeight="1">
      <c r="H967" s="44"/>
    </row>
    <row r="968" ht="15.75" customHeight="1">
      <c r="H968" s="44"/>
    </row>
    <row r="969" ht="15.75" customHeight="1">
      <c r="H969" s="44"/>
    </row>
    <row r="970" ht="15.75" customHeight="1">
      <c r="H970" s="44"/>
    </row>
    <row r="971" ht="15.75" customHeight="1">
      <c r="H971" s="44"/>
    </row>
    <row r="972" ht="15.75" customHeight="1">
      <c r="H972" s="44"/>
    </row>
    <row r="973" ht="15.75" customHeight="1">
      <c r="H973" s="44"/>
    </row>
    <row r="974" ht="15.75" customHeight="1">
      <c r="H974" s="44"/>
    </row>
    <row r="975" ht="15.75" customHeight="1">
      <c r="H975" s="44"/>
    </row>
    <row r="976" ht="15.75" customHeight="1">
      <c r="H976" s="44"/>
    </row>
    <row r="977" ht="15.75" customHeight="1">
      <c r="H977" s="44"/>
    </row>
    <row r="978" ht="15.75" customHeight="1">
      <c r="H978" s="44"/>
    </row>
    <row r="979" ht="15.75" customHeight="1">
      <c r="H979" s="44"/>
    </row>
    <row r="980" ht="15.75" customHeight="1">
      <c r="H980" s="44"/>
    </row>
    <row r="981" ht="15.75" customHeight="1">
      <c r="H981" s="44"/>
    </row>
    <row r="982" ht="15.75" customHeight="1">
      <c r="H982" s="44"/>
    </row>
    <row r="983" ht="15.75" customHeight="1">
      <c r="H983" s="44"/>
    </row>
    <row r="984" ht="15.75" customHeight="1">
      <c r="H984" s="44"/>
    </row>
    <row r="985" ht="15.75" customHeight="1">
      <c r="H985" s="44"/>
    </row>
    <row r="986" ht="15.75" customHeight="1">
      <c r="H986" s="44"/>
    </row>
    <row r="987" ht="15.75" customHeight="1">
      <c r="H987" s="44"/>
    </row>
    <row r="988" ht="15.75" customHeight="1">
      <c r="H988" s="44"/>
    </row>
    <row r="989" ht="15.75" customHeight="1">
      <c r="H989" s="44"/>
    </row>
    <row r="990" ht="15.75" customHeight="1">
      <c r="H990" s="44"/>
    </row>
    <row r="991" ht="15.75" customHeight="1">
      <c r="H991" s="44"/>
    </row>
    <row r="992" ht="15.75" customHeight="1">
      <c r="H992" s="44"/>
    </row>
    <row r="993" ht="15.75" customHeight="1">
      <c r="H993" s="44"/>
    </row>
    <row r="994" ht="15.75" customHeight="1">
      <c r="H994" s="44"/>
    </row>
    <row r="995" ht="15.75" customHeight="1">
      <c r="H995" s="44"/>
    </row>
    <row r="996" ht="15.75" customHeight="1">
      <c r="H996" s="44"/>
    </row>
    <row r="997" ht="15.75" customHeight="1">
      <c r="H997" s="44"/>
    </row>
    <row r="998" ht="15.75" customHeight="1">
      <c r="H998" s="44"/>
    </row>
    <row r="999" ht="15.75" customHeight="1">
      <c r="H999" s="44"/>
    </row>
    <row r="1000" ht="15.75" customHeight="1">
      <c r="H1000" s="44"/>
    </row>
  </sheetData>
  <mergeCells count="4">
    <mergeCell ref="A1:H1"/>
    <mergeCell ref="A2:B2"/>
    <mergeCell ref="D2:H2"/>
    <mergeCell ref="A4:H4"/>
  </mergeCells>
  <dataValidations>
    <dataValidation type="list" allowBlank="1" sqref="H6:H1000">
      <formula1>$I$4:$I$10</formula1>
    </dataValidation>
    <dataValidation type="list" allowBlank="1" sqref="C2">
      <formula1>$J$4:$J$200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1543</v>
      </c>
      <c r="B1" s="6" t="s">
        <v>1544</v>
      </c>
      <c r="C1" s="6" t="s">
        <v>6</v>
      </c>
      <c r="D1" s="6" t="s">
        <v>8</v>
      </c>
      <c r="E1" s="6" t="s">
        <v>9</v>
      </c>
      <c r="F1" s="6" t="s">
        <v>19</v>
      </c>
      <c r="G1" s="6" t="s">
        <v>17</v>
      </c>
      <c r="H1" s="6" t="s">
        <v>1545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1543</v>
      </c>
      <c r="B1" s="6" t="s">
        <v>1544</v>
      </c>
      <c r="C1" s="6" t="s">
        <v>6</v>
      </c>
      <c r="D1" s="6" t="s">
        <v>8</v>
      </c>
      <c r="E1" s="6" t="s">
        <v>9</v>
      </c>
      <c r="F1" s="6" t="s">
        <v>19</v>
      </c>
      <c r="G1" s="6" t="s">
        <v>17</v>
      </c>
      <c r="H1" s="6" t="s">
        <v>1545</v>
      </c>
    </row>
    <row r="2">
      <c r="A2" s="62">
        <v>1.0</v>
      </c>
      <c r="B2" s="63" t="s">
        <v>1560</v>
      </c>
      <c r="C2" s="64" t="s">
        <v>98</v>
      </c>
      <c r="D2" s="64" t="s">
        <v>567</v>
      </c>
      <c r="E2" s="65"/>
      <c r="F2" s="63" t="s">
        <v>1561</v>
      </c>
      <c r="G2" s="65"/>
      <c r="H2" s="66" t="s">
        <v>1542</v>
      </c>
    </row>
    <row r="3">
      <c r="A3" s="67">
        <v>2.0</v>
      </c>
      <c r="B3" s="68" t="s">
        <v>1562</v>
      </c>
      <c r="C3" s="69" t="s">
        <v>74</v>
      </c>
      <c r="D3" s="69" t="s">
        <v>494</v>
      </c>
      <c r="E3" s="70"/>
      <c r="F3" s="68" t="s">
        <v>1563</v>
      </c>
      <c r="G3" s="70"/>
      <c r="H3" s="70"/>
    </row>
    <row r="4">
      <c r="A4" s="62">
        <v>3.0</v>
      </c>
      <c r="B4" s="63" t="s">
        <v>1564</v>
      </c>
      <c r="C4" s="64" t="s">
        <v>126</v>
      </c>
      <c r="D4" s="64" t="s">
        <v>44</v>
      </c>
      <c r="E4" s="65"/>
      <c r="F4" s="63" t="s">
        <v>1565</v>
      </c>
      <c r="G4" s="65"/>
      <c r="H4" s="65"/>
    </row>
  </sheetData>
  <dataValidations>
    <dataValidation type="list" allowBlank="1" sqref="H2:H4">
      <formula1>$I$4:$I$10</formula1>
    </dataValidation>
  </dataValidations>
  <drawing r:id="rId1"/>
</worksheet>
</file>